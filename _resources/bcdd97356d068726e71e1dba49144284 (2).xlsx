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435389\Dropbox\Statistical Support Network\Current_folder_July_2018\"/>
    </mc:Choice>
  </mc:AlternateContent>
  <xr:revisionPtr revIDLastSave="0" documentId="13_ncr:1_{E3214FCC-EC6E-4761-8785-714E69B93B5D}" xr6:coauthVersionLast="33" xr6:coauthVersionMax="34" xr10:uidLastSave="{00000000-0000-0000-0000-000000000000}"/>
  <bookViews>
    <workbookView xWindow="0" yWindow="0" windowWidth="28800" windowHeight="12225" tabRatio="815" activeTab="3" xr2:uid="{7F7DF828-C594-4BDC-93BF-63264F21CDEF}"/>
  </bookViews>
  <sheets>
    <sheet name="Finalised_timesheet" sheetId="29" r:id="rId1"/>
    <sheet name="Final_Anthony" sheetId="28" r:id="rId2"/>
    <sheet name="Final_Angelica" sheetId="27" r:id="rId3"/>
    <sheet name="Final_Marg" sheetId="26" r:id="rId4"/>
    <sheet name="Final_kyle" sheetId="21" r:id="rId5"/>
    <sheet name="Anthony" sheetId="2" r:id="rId6"/>
    <sheet name="Anthony_hist" sheetId="15" r:id="rId7"/>
    <sheet name="Angelica_hist" sheetId="11" r:id="rId8"/>
    <sheet name="Marg_hist" sheetId="13" r:id="rId9"/>
    <sheet name="Kyle_hist" sheetId="25" r:id="rId10"/>
    <sheet name="Angelica" sheetId="8" r:id="rId11"/>
    <sheet name="Margarita" sheetId="4" r:id="rId12"/>
    <sheet name="Margarita (2)" sheetId="23" r:id="rId13"/>
    <sheet name="Kyle" sheetId="24" r:id="rId14"/>
    <sheet name="Draft_timesheet" sheetId="16" r:id="rId15"/>
    <sheet name="Dates" sheetId="14" r:id="rId16"/>
    <sheet name="2 CostByEmployee_Data" sheetId="20" r:id="rId17"/>
    <sheet name="Extra_earnings" sheetId="10" r:id="rId18"/>
    <sheet name="Removed_extra" sheetId="18" r:id="rId19"/>
    <sheet name="Split_by_advisor" sheetId="9" r:id="rId20"/>
    <sheet name="Templates" sheetId="17" r:id="rId21"/>
  </sheets>
  <externalReferences>
    <externalReference r:id="rId22"/>
    <externalReference r:id="rId23"/>
    <externalReference r:id="rId24"/>
  </externalReferences>
  <calcPr calcId="179016" concurrentCalc="0"/>
</workbook>
</file>

<file path=xl/calcChain.xml><?xml version="1.0" encoding="utf-8"?>
<calcChain xmlns="http://schemas.openxmlformats.org/spreadsheetml/2006/main">
  <c r="E247" i="26" l="1"/>
  <c r="G247" i="26"/>
  <c r="E236" i="26"/>
  <c r="J83" i="29"/>
  <c r="J85" i="29"/>
  <c r="J87" i="29"/>
  <c r="J91" i="29"/>
  <c r="J93" i="29"/>
  <c r="J94" i="29"/>
  <c r="I94" i="29"/>
  <c r="H94" i="29"/>
  <c r="G94" i="29"/>
  <c r="F94" i="29"/>
  <c r="E94" i="29"/>
  <c r="D94" i="29"/>
  <c r="C94" i="29"/>
  <c r="J68" i="29"/>
  <c r="J70" i="29"/>
  <c r="J72" i="29"/>
  <c r="J74" i="29"/>
  <c r="J78" i="29"/>
  <c r="J79" i="29"/>
  <c r="J52" i="29"/>
  <c r="J54" i="29"/>
  <c r="J56" i="29"/>
  <c r="J58" i="29"/>
  <c r="J62" i="29"/>
  <c r="J64" i="29"/>
  <c r="J38" i="29"/>
  <c r="J40" i="29"/>
  <c r="J42" i="29"/>
  <c r="J44" i="29"/>
  <c r="J46" i="29"/>
  <c r="J48" i="29"/>
  <c r="J23" i="29"/>
  <c r="J25" i="29"/>
  <c r="J27" i="29"/>
  <c r="J31" i="29"/>
  <c r="J33" i="29"/>
  <c r="J34" i="29"/>
  <c r="J10" i="29"/>
  <c r="J12" i="29"/>
  <c r="J14" i="29"/>
  <c r="J16" i="29"/>
  <c r="J19" i="29"/>
  <c r="F245" i="28"/>
  <c r="F218" i="28"/>
  <c r="F169" i="28"/>
  <c r="F194" i="28"/>
  <c r="F147" i="28"/>
  <c r="F124" i="28"/>
  <c r="F49" i="28"/>
  <c r="F19" i="28"/>
  <c r="B343" i="28"/>
  <c r="C6" i="28"/>
  <c r="C7" i="28"/>
  <c r="B342" i="28"/>
  <c r="E329" i="28"/>
  <c r="E311" i="28"/>
  <c r="E290" i="28"/>
  <c r="E255" i="28"/>
  <c r="E266" i="28"/>
  <c r="E267" i="28"/>
  <c r="E228" i="28"/>
  <c r="E244" i="28"/>
  <c r="E245" i="28"/>
  <c r="E218" i="28"/>
  <c r="E193" i="28"/>
  <c r="E182" i="28"/>
  <c r="E194" i="28"/>
  <c r="E109" i="28"/>
  <c r="E123" i="28"/>
  <c r="E124" i="28"/>
  <c r="E98" i="28"/>
  <c r="E60" i="28"/>
  <c r="E71" i="28"/>
  <c r="E72" i="28"/>
  <c r="E49" i="28"/>
  <c r="E33" i="28"/>
  <c r="E34" i="28"/>
  <c r="E35" i="28"/>
  <c r="E36" i="28"/>
  <c r="E18" i="28"/>
  <c r="E19" i="28"/>
  <c r="D7" i="28"/>
  <c r="G19" i="28"/>
  <c r="G37" i="28"/>
  <c r="G49" i="28"/>
  <c r="G72" i="28"/>
  <c r="G99" i="28"/>
  <c r="G124" i="28"/>
  <c r="E147" i="28"/>
  <c r="G147" i="28"/>
  <c r="E169" i="28"/>
  <c r="G169" i="28"/>
  <c r="G194" i="28"/>
  <c r="G218" i="28"/>
  <c r="G245" i="28"/>
  <c r="G267" i="28"/>
  <c r="G290" i="28"/>
  <c r="G311" i="28"/>
  <c r="G329" i="28"/>
  <c r="B338" i="28"/>
  <c r="B335" i="28"/>
  <c r="E289" i="28"/>
  <c r="E279" i="28"/>
  <c r="E217" i="28"/>
  <c r="E207" i="28"/>
  <c r="E168" i="28"/>
  <c r="E158" i="28"/>
  <c r="E146" i="28"/>
  <c r="E136" i="28"/>
  <c r="E97" i="28"/>
  <c r="E85" i="28"/>
  <c r="E48" i="28"/>
  <c r="B336" i="28"/>
  <c r="B337" i="28"/>
  <c r="K312" i="28"/>
  <c r="F254" i="27"/>
  <c r="F229" i="27"/>
  <c r="F205" i="27"/>
  <c r="F180" i="27"/>
  <c r="F157" i="27"/>
  <c r="F65" i="27"/>
  <c r="F43" i="27"/>
  <c r="F133" i="27"/>
  <c r="B347" i="27"/>
  <c r="E218" i="27"/>
  <c r="E264" i="27"/>
  <c r="E253" i="27"/>
  <c r="E228" i="27"/>
  <c r="E204" i="27"/>
  <c r="E193" i="27"/>
  <c r="E168" i="27"/>
  <c r="E179" i="27"/>
  <c r="E156" i="27"/>
  <c r="E102" i="27"/>
  <c r="E90" i="27"/>
  <c r="E76" i="27"/>
  <c r="E42" i="27"/>
  <c r="E54" i="27"/>
  <c r="E64" i="27"/>
  <c r="E119" i="27"/>
  <c r="E132" i="27"/>
  <c r="E240" i="27"/>
  <c r="E145" i="27"/>
  <c r="B345" i="27"/>
  <c r="B348" i="27"/>
  <c r="B344" i="27"/>
  <c r="B346" i="27"/>
  <c r="E327" i="27"/>
  <c r="E338" i="27"/>
  <c r="E317" i="27"/>
  <c r="E296" i="27"/>
  <c r="E275" i="27"/>
  <c r="E254" i="27"/>
  <c r="E229" i="27"/>
  <c r="E205" i="27"/>
  <c r="E133" i="27"/>
  <c r="E103" i="27"/>
  <c r="E65" i="27"/>
  <c r="E43" i="27"/>
  <c r="G43" i="27"/>
  <c r="G65" i="27"/>
  <c r="G104" i="27"/>
  <c r="G133" i="27"/>
  <c r="E157" i="27"/>
  <c r="G157" i="27"/>
  <c r="E180" i="27"/>
  <c r="G180" i="27"/>
  <c r="G205" i="27"/>
  <c r="G229" i="27"/>
  <c r="G254" i="27"/>
  <c r="G275" i="27"/>
  <c r="G296" i="27"/>
  <c r="G317" i="27"/>
  <c r="G338" i="27"/>
  <c r="E25" i="27"/>
  <c r="E20" i="26"/>
  <c r="E30" i="26"/>
  <c r="E31" i="26"/>
  <c r="F31" i="26"/>
  <c r="G31" i="26"/>
  <c r="E42" i="26"/>
  <c r="E52" i="26"/>
  <c r="E53" i="26"/>
  <c r="F53" i="26"/>
  <c r="G53" i="26"/>
  <c r="E63" i="26"/>
  <c r="E77" i="26"/>
  <c r="E78" i="26"/>
  <c r="G78" i="26"/>
  <c r="E89" i="26"/>
  <c r="E100" i="26"/>
  <c r="E101" i="26"/>
  <c r="F101" i="26"/>
  <c r="G101" i="26"/>
  <c r="E122" i="26"/>
  <c r="E123" i="26"/>
  <c r="F123" i="26"/>
  <c r="G123" i="26"/>
  <c r="E136" i="26"/>
  <c r="E147" i="26"/>
  <c r="E148" i="26"/>
  <c r="F148" i="26"/>
  <c r="G148" i="26"/>
  <c r="E158" i="26"/>
  <c r="E168" i="26"/>
  <c r="E169" i="26"/>
  <c r="F169" i="26"/>
  <c r="G169" i="26"/>
  <c r="E179" i="26"/>
  <c r="E189" i="26"/>
  <c r="E190" i="26"/>
  <c r="F190" i="26"/>
  <c r="G190" i="26"/>
  <c r="E200" i="26"/>
  <c r="E214" i="26"/>
  <c r="E215" i="26"/>
  <c r="F215" i="26"/>
  <c r="G215" i="26"/>
  <c r="B220" i="26"/>
  <c r="B221" i="26"/>
  <c r="B222" i="26"/>
  <c r="E268" i="26"/>
  <c r="G268" i="26"/>
  <c r="E289" i="26"/>
  <c r="G289" i="26"/>
  <c r="E310" i="26"/>
  <c r="G310" i="26"/>
  <c r="G93" i="17"/>
  <c r="H93" i="17"/>
  <c r="H67" i="25"/>
  <c r="G67" i="25"/>
  <c r="I67" i="25"/>
  <c r="E239" i="24"/>
  <c r="E228" i="24"/>
  <c r="E217" i="24"/>
  <c r="F197" i="24"/>
  <c r="G197" i="24"/>
  <c r="H197" i="24"/>
  <c r="F202" i="24"/>
  <c r="F196" i="24"/>
  <c r="G196" i="24"/>
  <c r="H196" i="24"/>
  <c r="E202" i="24"/>
  <c r="J172" i="24"/>
  <c r="J174" i="24"/>
  <c r="J176" i="24"/>
  <c r="J180" i="24"/>
  <c r="J181" i="24"/>
  <c r="F192" i="24"/>
  <c r="F193" i="24"/>
  <c r="F195" i="24"/>
  <c r="G195" i="24"/>
  <c r="H195" i="24"/>
  <c r="E195" i="24"/>
  <c r="F194" i="24"/>
  <c r="G194" i="24"/>
  <c r="H194" i="24"/>
  <c r="E194" i="24"/>
  <c r="G193" i="24"/>
  <c r="H193" i="24"/>
  <c r="G192" i="24"/>
  <c r="H192" i="24"/>
  <c r="J143" i="24"/>
  <c r="J145" i="24"/>
  <c r="J147" i="24"/>
  <c r="J151" i="24"/>
  <c r="J152" i="24"/>
  <c r="J130" i="24"/>
  <c r="J132" i="24"/>
  <c r="J134" i="24"/>
  <c r="J138" i="24"/>
  <c r="J139" i="24"/>
  <c r="J117" i="24"/>
  <c r="J119" i="24"/>
  <c r="J121" i="24"/>
  <c r="J125" i="24"/>
  <c r="J126" i="24"/>
  <c r="J104" i="24"/>
  <c r="J106" i="24"/>
  <c r="J108" i="24"/>
  <c r="J110" i="24"/>
  <c r="J112" i="24"/>
  <c r="J113" i="24"/>
  <c r="J89" i="24"/>
  <c r="J91" i="24"/>
  <c r="J97" i="24"/>
  <c r="J99" i="24"/>
  <c r="J100" i="24"/>
  <c r="R98" i="24"/>
  <c r="J76" i="24"/>
  <c r="J78" i="24"/>
  <c r="J82" i="24"/>
  <c r="J84" i="24"/>
  <c r="J85" i="24"/>
  <c r="R84" i="24"/>
  <c r="R72" i="24"/>
  <c r="E72" i="24"/>
  <c r="R60" i="24"/>
  <c r="E60" i="24"/>
  <c r="E19" i="24"/>
  <c r="E20" i="24"/>
  <c r="E22" i="24"/>
  <c r="E23" i="24"/>
  <c r="E24" i="24"/>
  <c r="E25" i="24"/>
  <c r="E26" i="24"/>
  <c r="E27" i="24"/>
  <c r="E28" i="24"/>
  <c r="E29" i="24"/>
  <c r="E30" i="24"/>
  <c r="E31" i="24"/>
  <c r="E44" i="24"/>
  <c r="E45" i="24"/>
  <c r="D45" i="24"/>
  <c r="E308" i="23"/>
  <c r="E287" i="23"/>
  <c r="E266" i="23"/>
  <c r="E234" i="23"/>
  <c r="E245" i="23"/>
  <c r="E215" i="23"/>
  <c r="E190" i="23"/>
  <c r="E169" i="23"/>
  <c r="E148" i="23"/>
  <c r="E123" i="23"/>
  <c r="E89" i="23"/>
  <c r="E100" i="23"/>
  <c r="E101" i="23"/>
  <c r="E77" i="23"/>
  <c r="E53" i="23"/>
  <c r="E30" i="23"/>
  <c r="E20" i="23"/>
  <c r="E31" i="23"/>
  <c r="F31" i="23"/>
  <c r="G31" i="23"/>
  <c r="F53" i="23"/>
  <c r="G53" i="23"/>
  <c r="E63" i="23"/>
  <c r="G78" i="23"/>
  <c r="F101" i="23"/>
  <c r="G101" i="23"/>
  <c r="F123" i="23"/>
  <c r="G123" i="23"/>
  <c r="F148" i="23"/>
  <c r="G148" i="23"/>
  <c r="F169" i="23"/>
  <c r="G169" i="23"/>
  <c r="F190" i="23"/>
  <c r="G190" i="23"/>
  <c r="F215" i="23"/>
  <c r="G215" i="23"/>
  <c r="G245" i="23"/>
  <c r="G266" i="23"/>
  <c r="G287" i="23"/>
  <c r="G308" i="23"/>
  <c r="B220" i="23"/>
  <c r="E214" i="23"/>
  <c r="E200" i="23"/>
  <c r="E189" i="23"/>
  <c r="E168" i="23"/>
  <c r="E158" i="23"/>
  <c r="E147" i="23"/>
  <c r="E136" i="23"/>
  <c r="E122" i="23"/>
  <c r="E42" i="23"/>
  <c r="E52" i="23"/>
  <c r="E179" i="23"/>
  <c r="B221" i="23"/>
  <c r="B222" i="23"/>
  <c r="E78" i="23"/>
  <c r="F60" i="21"/>
  <c r="G61" i="21"/>
  <c r="G81" i="21"/>
  <c r="G102" i="21"/>
  <c r="G123" i="21"/>
  <c r="G144" i="21"/>
  <c r="E143" i="21"/>
  <c r="E133" i="21"/>
  <c r="E122" i="21"/>
  <c r="E112" i="21"/>
  <c r="E101" i="21"/>
  <c r="E91" i="21"/>
  <c r="E80" i="21"/>
  <c r="G60" i="21"/>
  <c r="E59" i="21"/>
  <c r="E19" i="21"/>
  <c r="E20" i="21"/>
  <c r="E22" i="21"/>
  <c r="E23" i="21"/>
  <c r="E24" i="21"/>
  <c r="E25" i="21"/>
  <c r="E26" i="21"/>
  <c r="E27" i="21"/>
  <c r="E28" i="21"/>
  <c r="E29" i="21"/>
  <c r="E30" i="21"/>
  <c r="E31" i="21"/>
  <c r="E44" i="21"/>
  <c r="E45" i="21"/>
  <c r="D44" i="21"/>
  <c r="E46" i="21"/>
  <c r="K176" i="18"/>
  <c r="I176" i="18"/>
  <c r="J176" i="18"/>
  <c r="J12" i="16"/>
  <c r="J14" i="16"/>
  <c r="J16" i="16"/>
  <c r="J10" i="16"/>
  <c r="H88" i="16"/>
  <c r="I88" i="16"/>
  <c r="J79" i="16"/>
  <c r="J81" i="16"/>
  <c r="J83" i="16"/>
  <c r="J85" i="16"/>
  <c r="J87" i="16"/>
  <c r="J88" i="16"/>
  <c r="D88" i="16"/>
  <c r="E88" i="16"/>
  <c r="F88" i="16"/>
  <c r="G88" i="16"/>
  <c r="C88" i="16"/>
  <c r="J66" i="16"/>
  <c r="J68" i="16"/>
  <c r="J70" i="16"/>
  <c r="J72" i="16"/>
  <c r="J74" i="16"/>
  <c r="J75" i="16"/>
  <c r="J51" i="16"/>
  <c r="J53" i="16"/>
  <c r="J55" i="16"/>
  <c r="J57" i="16"/>
  <c r="J61" i="16"/>
  <c r="J62" i="16"/>
  <c r="J44" i="16"/>
  <c r="J42" i="16"/>
  <c r="J40" i="16"/>
  <c r="J38" i="16"/>
  <c r="J19" i="16"/>
  <c r="J31" i="16"/>
  <c r="J25" i="16"/>
  <c r="J23" i="16"/>
  <c r="E74" i="17"/>
  <c r="E63" i="17"/>
  <c r="E52" i="17"/>
  <c r="F32" i="17"/>
  <c r="G32" i="17"/>
  <c r="H32" i="17"/>
  <c r="F37" i="17"/>
  <c r="F31" i="17"/>
  <c r="G31" i="17"/>
  <c r="H31" i="17"/>
  <c r="E37" i="17"/>
  <c r="J7" i="17"/>
  <c r="J9" i="17"/>
  <c r="J11" i="17"/>
  <c r="J15" i="17"/>
  <c r="J16" i="17"/>
  <c r="F27" i="17"/>
  <c r="F28" i="17"/>
  <c r="F30" i="17"/>
  <c r="G30" i="17"/>
  <c r="H30" i="17"/>
  <c r="E30" i="17"/>
  <c r="F29" i="17"/>
  <c r="G29" i="17"/>
  <c r="H29" i="17"/>
  <c r="E29" i="17"/>
  <c r="G28" i="17"/>
  <c r="H28" i="17"/>
  <c r="G27" i="17"/>
  <c r="H27" i="17"/>
  <c r="B212" i="4"/>
  <c r="B210" i="4"/>
  <c r="H48" i="13"/>
  <c r="G48" i="13"/>
  <c r="B211" i="4"/>
  <c r="E337" i="8"/>
  <c r="E327" i="8"/>
  <c r="E316" i="8"/>
  <c r="E295" i="8"/>
  <c r="E285" i="8"/>
  <c r="E274" i="8"/>
  <c r="E264" i="8"/>
  <c r="E253" i="8"/>
  <c r="E228" i="8"/>
  <c r="E204" i="8"/>
  <c r="E193" i="8"/>
  <c r="E168" i="8"/>
  <c r="E179" i="8"/>
  <c r="E156" i="8"/>
  <c r="E102" i="8"/>
  <c r="E90" i="8"/>
  <c r="E76" i="8"/>
  <c r="E42" i="8"/>
  <c r="E54" i="8"/>
  <c r="E64" i="8"/>
  <c r="E119" i="8"/>
  <c r="E132" i="8"/>
  <c r="E240" i="8"/>
  <c r="E145" i="8"/>
  <c r="E306" i="8"/>
  <c r="B345" i="8"/>
  <c r="B344" i="8"/>
  <c r="B346" i="8"/>
  <c r="G54" i="11"/>
  <c r="J46" i="16"/>
  <c r="J47" i="16"/>
  <c r="J33" i="16"/>
  <c r="J34" i="16"/>
  <c r="I52" i="15"/>
  <c r="H52" i="15"/>
  <c r="G52" i="15"/>
  <c r="F24" i="4"/>
  <c r="G24" i="4"/>
  <c r="F46" i="4"/>
  <c r="G46" i="4"/>
  <c r="G71" i="4"/>
  <c r="F94" i="4"/>
  <c r="G94" i="4"/>
  <c r="F116" i="4"/>
  <c r="G116" i="4"/>
  <c r="F141" i="4"/>
  <c r="G141" i="4"/>
  <c r="F162" i="4"/>
  <c r="G162" i="4"/>
  <c r="F183" i="4"/>
  <c r="G183" i="4"/>
  <c r="F205" i="4"/>
  <c r="G205" i="4"/>
  <c r="G248" i="4"/>
  <c r="E248" i="4"/>
  <c r="E205" i="4"/>
  <c r="E204" i="4"/>
  <c r="E183" i="4"/>
  <c r="E172" i="4"/>
  <c r="E182" i="4"/>
  <c r="E162" i="4"/>
  <c r="E161" i="4"/>
  <c r="E141" i="4"/>
  <c r="E140" i="4"/>
  <c r="E116" i="4"/>
  <c r="E94" i="4"/>
  <c r="E93" i="4"/>
  <c r="E71" i="4"/>
  <c r="E24" i="4"/>
  <c r="E13" i="4"/>
  <c r="I48" i="13"/>
  <c r="E254" i="8"/>
  <c r="E229" i="8"/>
  <c r="E205" i="8"/>
  <c r="E133" i="8"/>
  <c r="E103" i="8"/>
  <c r="E65" i="8"/>
  <c r="E43" i="8"/>
  <c r="F43" i="8"/>
  <c r="G43" i="8"/>
  <c r="F65" i="8"/>
  <c r="G65" i="8"/>
  <c r="G104" i="8"/>
  <c r="F133" i="8"/>
  <c r="G133" i="8"/>
  <c r="E157" i="8"/>
  <c r="F157" i="8"/>
  <c r="G157" i="8"/>
  <c r="E180" i="8"/>
  <c r="F180" i="8"/>
  <c r="G180" i="8"/>
  <c r="F205" i="8"/>
  <c r="G205" i="8"/>
  <c r="F229" i="8"/>
  <c r="G229" i="8"/>
  <c r="F254" i="8"/>
  <c r="G254" i="8"/>
  <c r="G275" i="8"/>
  <c r="G296" i="8"/>
  <c r="G317" i="8"/>
  <c r="G338" i="8"/>
  <c r="I54" i="11"/>
  <c r="H54" i="11"/>
  <c r="E203" i="2"/>
  <c r="E192" i="2"/>
  <c r="E171" i="2"/>
  <c r="E160" i="2"/>
  <c r="E150" i="2"/>
  <c r="E139" i="2"/>
  <c r="E128" i="2"/>
  <c r="E115" i="2"/>
  <c r="E114" i="2"/>
  <c r="E71" i="2"/>
  <c r="E93" i="2"/>
  <c r="E92" i="2"/>
  <c r="E81" i="2"/>
  <c r="E69" i="2"/>
  <c r="E55" i="2"/>
  <c r="E45" i="2"/>
  <c r="E44" i="2"/>
  <c r="E34" i="2"/>
  <c r="E23" i="2"/>
  <c r="E22" i="2"/>
  <c r="E12" i="2"/>
  <c r="R9" i="2"/>
  <c r="R23" i="2"/>
  <c r="R24" i="2"/>
  <c r="R25" i="2"/>
  <c r="R26" i="2"/>
  <c r="R50" i="2"/>
  <c r="R62" i="2"/>
  <c r="R74" i="2"/>
  <c r="R85" i="2"/>
  <c r="J302" i="2"/>
  <c r="J304" i="2"/>
  <c r="J306" i="2"/>
  <c r="J310" i="2"/>
  <c r="J311" i="2"/>
  <c r="J289" i="2"/>
  <c r="J291" i="2"/>
  <c r="J293" i="2"/>
  <c r="J297" i="2"/>
  <c r="J298" i="2"/>
  <c r="J276" i="2"/>
  <c r="J278" i="2"/>
  <c r="J280" i="2"/>
  <c r="J284" i="2"/>
  <c r="J285" i="2"/>
  <c r="J263" i="2"/>
  <c r="J265" i="2"/>
  <c r="J267" i="2"/>
  <c r="J269" i="2"/>
  <c r="J271" i="2"/>
  <c r="J272" i="2"/>
  <c r="J248" i="2"/>
  <c r="J250" i="2"/>
  <c r="J256" i="2"/>
  <c r="J258" i="2"/>
  <c r="J259" i="2"/>
  <c r="J235" i="2"/>
  <c r="J237" i="2"/>
  <c r="J241" i="2"/>
  <c r="J243" i="2"/>
  <c r="J244" i="2"/>
  <c r="R243" i="2"/>
  <c r="R231" i="2"/>
  <c r="E231" i="2"/>
  <c r="R219" i="2"/>
  <c r="E219" i="2"/>
  <c r="J318" i="4"/>
  <c r="J320" i="4"/>
  <c r="J322" i="4"/>
  <c r="J326" i="4"/>
  <c r="J327" i="4"/>
  <c r="J305" i="4"/>
  <c r="J307" i="4"/>
  <c r="J309" i="4"/>
  <c r="J313" i="4"/>
  <c r="J314" i="4"/>
  <c r="J292" i="4"/>
  <c r="J294" i="4"/>
  <c r="J296" i="4"/>
  <c r="J300" i="4"/>
  <c r="J301" i="4"/>
  <c r="J279" i="4"/>
  <c r="J281" i="4"/>
  <c r="J283" i="4"/>
  <c r="J285" i="4"/>
  <c r="J287" i="4"/>
  <c r="J288" i="4"/>
  <c r="J264" i="4"/>
  <c r="J266" i="4"/>
  <c r="J272" i="4"/>
  <c r="J274" i="4"/>
  <c r="J275" i="4"/>
  <c r="J251" i="4"/>
  <c r="J253" i="4"/>
  <c r="J257" i="4"/>
  <c r="J259" i="4"/>
  <c r="J260" i="4"/>
  <c r="R247" i="4"/>
  <c r="R235" i="4"/>
  <c r="R207" i="4"/>
  <c r="E115" i="4"/>
  <c r="E56" i="4"/>
  <c r="E70" i="4"/>
  <c r="E46" i="4"/>
  <c r="R259" i="4"/>
  <c r="E247" i="4"/>
  <c r="E235" i="4"/>
  <c r="E193" i="4"/>
  <c r="E151" i="4"/>
  <c r="E129" i="4"/>
  <c r="E82" i="4"/>
  <c r="E45" i="4"/>
  <c r="E35" i="4"/>
  <c r="E23" i="4"/>
  <c r="E218" i="8"/>
  <c r="P254" i="8"/>
  <c r="P239" i="8"/>
  <c r="P216" i="8"/>
  <c r="P205" i="8"/>
  <c r="P194" i="8"/>
  <c r="P183" i="8"/>
  <c r="P171" i="8"/>
  <c r="O54" i="8"/>
  <c r="E25" i="8"/>
  <c r="P54" i="8"/>
  <c r="O65" i="8"/>
  <c r="O90" i="8"/>
  <c r="O103" i="8"/>
  <c r="O104" i="8"/>
  <c r="P104" i="8"/>
  <c r="O119" i="8"/>
  <c r="O135" i="8"/>
  <c r="O136" i="8"/>
  <c r="R67" i="4"/>
  <c r="R56" i="4"/>
  <c r="R45" i="4"/>
  <c r="R68" i="4"/>
  <c r="R12" i="4"/>
</calcChain>
</file>

<file path=xl/sharedStrings.xml><?xml version="1.0" encoding="utf-8"?>
<sst xmlns="http://schemas.openxmlformats.org/spreadsheetml/2006/main" count="11756" uniqueCount="543">
  <si>
    <t>Description</t>
  </si>
  <si>
    <t>Kyle</t>
  </si>
  <si>
    <t>Monday</t>
  </si>
  <si>
    <t>Tuesday</t>
  </si>
  <si>
    <t>Wednesday</t>
  </si>
  <si>
    <t>Thursday</t>
  </si>
  <si>
    <t>Friday</t>
  </si>
  <si>
    <t>Saturday</t>
  </si>
  <si>
    <t>Sunday</t>
  </si>
  <si>
    <t>Margarita</t>
  </si>
  <si>
    <t>Week of 26/03/2018</t>
  </si>
  <si>
    <t>Start</t>
  </si>
  <si>
    <t>Finish</t>
  </si>
  <si>
    <t>Hrs worked</t>
  </si>
  <si>
    <t xml:space="preserve"> Total Pay </t>
  </si>
  <si>
    <t>Week of 05/03/2018</t>
  </si>
  <si>
    <t>Seaching by courses using different terminology to list the list of statistical courses offered at UC. The whole dataset is complete it</t>
  </si>
  <si>
    <t>Regular Drop in</t>
  </si>
  <si>
    <t>organized files. In dropbox. Reading and organized the whole files and build a dataset of files.</t>
  </si>
  <si>
    <t>Statistical Network project process and possible tasks. In dropbox.</t>
  </si>
  <si>
    <t>meeting with Anthony check face</t>
  </si>
  <si>
    <t>Wednesday 28 march</t>
  </si>
  <si>
    <t xml:space="preserve">Buiding document for stats process. </t>
  </si>
  <si>
    <t xml:space="preserve"> </t>
  </si>
  <si>
    <t>Drop in session</t>
  </si>
  <si>
    <t>Writing Process document</t>
  </si>
  <si>
    <t>TOTAL</t>
  </si>
  <si>
    <t>PAID</t>
  </si>
  <si>
    <t>10hrs submitted</t>
  </si>
  <si>
    <t>Week of 02/04/2018</t>
  </si>
  <si>
    <t>Easter monday</t>
  </si>
  <si>
    <t>meeting Anthony, set up email and tasks</t>
  </si>
  <si>
    <t>Coding Anna meta analysis</t>
  </si>
  <si>
    <t>Emails and fixing plots for Anna</t>
  </si>
  <si>
    <t>Emails, follow up (Abel Zhou, conversation with Anna)</t>
  </si>
  <si>
    <t>minus5previous pay</t>
  </si>
  <si>
    <t>Week of 09/04/2018</t>
  </si>
  <si>
    <t>Individual consultation Anna</t>
  </si>
  <si>
    <t>15:30 PM</t>
  </si>
  <si>
    <t>Admin, answering and writing emails (Sam Kosari and Sucholana)</t>
  </si>
  <si>
    <t>Tuesday 17payday</t>
  </si>
  <si>
    <t>W5</t>
  </si>
  <si>
    <t>Week of 12/03/2018</t>
  </si>
  <si>
    <t>Payment received</t>
  </si>
  <si>
    <t>organized files. In dropbox. Reading and organized the whole files and build a dataset of files. Check face history for discussion</t>
  </si>
  <si>
    <t>W6</t>
  </si>
  <si>
    <t>Week of 19/03/2018</t>
  </si>
  <si>
    <t>W7</t>
  </si>
  <si>
    <t>Payment PROGRAMMED</t>
  </si>
  <si>
    <t>Meeting with Anthony. Check face history</t>
  </si>
  <si>
    <t>W8</t>
  </si>
  <si>
    <t>W9</t>
  </si>
  <si>
    <t>Meeting Anthony</t>
  </si>
  <si>
    <t>W10</t>
  </si>
  <si>
    <t>Week of 16/04/2018</t>
  </si>
  <si>
    <t>11.30 am</t>
  </si>
  <si>
    <t>Response emails, references to Anna and ackwoledgement</t>
  </si>
  <si>
    <t>Meeting with Kym</t>
  </si>
  <si>
    <t>First report Kym, see the email</t>
  </si>
  <si>
    <t>W11</t>
  </si>
  <si>
    <t>Week of 23/04/2018</t>
  </si>
  <si>
    <t>Update dataset of drop-in sessions and emails.</t>
  </si>
  <si>
    <t>4:30pm</t>
  </si>
  <si>
    <t>Response to Michelle Montgomery about her Logistic regression problem</t>
  </si>
  <si>
    <t>Second response to kym, analysis of survey II part</t>
  </si>
  <si>
    <t>ANZAC DAY</t>
  </si>
  <si>
    <t>10 (Ant Bank)</t>
  </si>
  <si>
    <t>planned please check after</t>
  </si>
  <si>
    <t>Meeting Kym</t>
  </si>
  <si>
    <t>W12</t>
  </si>
  <si>
    <t>Week of 30/04/2018</t>
  </si>
  <si>
    <t>Child survey Kym report</t>
  </si>
  <si>
    <t>Check, write and response email</t>
  </si>
  <si>
    <t>W13</t>
  </si>
  <si>
    <t>Week of 07/05/2018</t>
  </si>
  <si>
    <t>Meeting with Sam Kosari.</t>
  </si>
  <si>
    <t>Week of 26/02/2018</t>
  </si>
  <si>
    <t>Drop-in</t>
  </si>
  <si>
    <t>Jenni</t>
  </si>
  <si>
    <t>Ant+ Angelica</t>
  </si>
  <si>
    <t>Admin</t>
  </si>
  <si>
    <t>Emailing network people</t>
  </si>
  <si>
    <t xml:space="preserve">Haysem one-on-one. </t>
  </si>
  <si>
    <t>Regression and research management</t>
  </si>
  <si>
    <t>Admin(emails)</t>
  </si>
  <si>
    <t>Lecture</t>
  </si>
  <si>
    <t>Contracts meeting and admin</t>
  </si>
  <si>
    <t>Network building</t>
  </si>
  <si>
    <t>Haysem</t>
  </si>
  <si>
    <t>Admin meeting maths&amp;stats</t>
  </si>
  <si>
    <t>Shalini one-on-one</t>
  </si>
  <si>
    <t>Admin meeting contracts + anna</t>
  </si>
  <si>
    <t>30.75 hrs submitted 13/04/2018</t>
  </si>
  <si>
    <t>kasia stats</t>
  </si>
  <si>
    <t>maths&amp;stats meeting</t>
  </si>
  <si>
    <t>meeting mel</t>
  </si>
  <si>
    <t>Easter Friday</t>
  </si>
  <si>
    <t>Admin, emails to crew, hugh, and room location</t>
  </si>
  <si>
    <t>31.5hrs</t>
  </si>
  <si>
    <t>Timesheet</t>
  </si>
  <si>
    <t>14hrs</t>
  </si>
  <si>
    <t>Asking about job situation and lining up timetables</t>
  </si>
  <si>
    <t>Meeting for contracts etc</t>
  </si>
  <si>
    <t>10hrs paid</t>
  </si>
  <si>
    <t>8hrs owing</t>
  </si>
  <si>
    <t>Meeting /  admin /  emails</t>
  </si>
  <si>
    <t>Meeting with Angelica</t>
  </si>
  <si>
    <t>Survey for drop-in</t>
  </si>
  <si>
    <t>(9 hours worked, 0 owing)</t>
  </si>
  <si>
    <t>Fayah statistics one-on-one</t>
  </si>
  <si>
    <t>Admin meeting with Anthony</t>
  </si>
  <si>
    <t>survey</t>
  </si>
  <si>
    <t>admin emails</t>
  </si>
  <si>
    <t>minus2hrs from last week</t>
  </si>
  <si>
    <t>8hrs paid</t>
  </si>
  <si>
    <t>(5 hours worked)</t>
  </si>
  <si>
    <t>4hrs owing</t>
  </si>
  <si>
    <t>9;00</t>
  </si>
  <si>
    <t>mails in folders</t>
  </si>
  <si>
    <t>shut up and write</t>
  </si>
  <si>
    <t>admin</t>
  </si>
  <si>
    <t>fayha</t>
  </si>
  <si>
    <t>florence</t>
  </si>
  <si>
    <t>(owing 1)</t>
  </si>
  <si>
    <t>Fayha</t>
  </si>
  <si>
    <t>admin/emails</t>
  </si>
  <si>
    <t>(owing 3)</t>
  </si>
  <si>
    <t>Fayha meeting</t>
  </si>
  <si>
    <t>Week of 14/05/2018</t>
  </si>
  <si>
    <t>Florence maps</t>
  </si>
  <si>
    <t>Week of 21/05/2018</t>
  </si>
  <si>
    <t>meeting stats</t>
  </si>
  <si>
    <t>Week of 28/05/2018</t>
  </si>
  <si>
    <t>Week of 04/06/2018</t>
  </si>
  <si>
    <t>Florence stats advice</t>
  </si>
  <si>
    <t>drop in (fill in for Kyle)</t>
  </si>
  <si>
    <t>maps</t>
  </si>
  <si>
    <t>(owing 2)</t>
  </si>
  <si>
    <t>Week of 11/06/2018</t>
  </si>
  <si>
    <t>set up asana</t>
  </si>
  <si>
    <t>Week of 18/06/2018</t>
  </si>
  <si>
    <t>final figures and maps Florence</t>
  </si>
  <si>
    <t>dataset emails stats advice</t>
  </si>
  <si>
    <t>Week of 25/06/2018</t>
  </si>
  <si>
    <t>kioloa</t>
  </si>
  <si>
    <t>Weekly roster</t>
  </si>
  <si>
    <t>Drop-in session</t>
  </si>
  <si>
    <t>Kyle has been doing the drop-in sessions from the very beginning of the statistics network in 2017. There has been mininal variation in the timesheets or workload other than during transistion periods.</t>
  </si>
  <si>
    <t>Stock take 17/07/2018</t>
  </si>
  <si>
    <t>July….</t>
  </si>
  <si>
    <t>Hrs Paid</t>
  </si>
  <si>
    <t>Trial</t>
  </si>
  <si>
    <t>2months</t>
  </si>
  <si>
    <t>6months</t>
  </si>
  <si>
    <t>Cash received</t>
  </si>
  <si>
    <t>Estimated pay</t>
  </si>
  <si>
    <t xml:space="preserve">Difference </t>
  </si>
  <si>
    <t>Week of 02/07/2018</t>
  </si>
  <si>
    <t>Week of 09/07/2018</t>
  </si>
  <si>
    <t>Week of 16/07/2018</t>
  </si>
  <si>
    <t>Week of 23/07/2018</t>
  </si>
  <si>
    <t>Week of 06/08/2018</t>
  </si>
  <si>
    <t>Week of 30/07/2018</t>
  </si>
  <si>
    <t>Week of 13/08/2018</t>
  </si>
  <si>
    <t>Week of 20/08/2018</t>
  </si>
  <si>
    <t>Week of 26/08/2018</t>
  </si>
  <si>
    <t>ANTHONY's INPUT</t>
  </si>
  <si>
    <t>ANGELICA's RECORDED HOURS</t>
  </si>
  <si>
    <t>1st March - 31 December</t>
  </si>
  <si>
    <t>Total full wage (BUDGET)</t>
  </si>
  <si>
    <t>Total reduced wage (BUDGET)</t>
  </si>
  <si>
    <t>Reduced to budget</t>
  </si>
  <si>
    <t>Everything above</t>
  </si>
  <si>
    <t>Total actual state (BUDGET)</t>
  </si>
  <si>
    <t>Projected</t>
  </si>
  <si>
    <t>With wage cut</t>
  </si>
  <si>
    <t>2nd September - 31 December</t>
  </si>
  <si>
    <t>Stage four: Projected</t>
  </si>
  <si>
    <t>Outcome</t>
  </si>
  <si>
    <t>2 July 2018 - 1st September 2018</t>
  </si>
  <si>
    <t>Stage three: Current</t>
  </si>
  <si>
    <t>14th May - 1 July</t>
  </si>
  <si>
    <t>Stage two</t>
  </si>
  <si>
    <t>Orginal</t>
  </si>
  <si>
    <t xml:space="preserve">                    </t>
  </si>
  <si>
    <t>…</t>
  </si>
  <si>
    <t>1st February - 13th May</t>
  </si>
  <si>
    <t>Stage one</t>
  </si>
  <si>
    <t>On costs</t>
  </si>
  <si>
    <t>Hourly rate</t>
  </si>
  <si>
    <t>Total cost</t>
  </si>
  <si>
    <t>Plus_On_Costs (18.5%)</t>
  </si>
  <si>
    <t>Hours</t>
  </si>
  <si>
    <t>Weeks</t>
  </si>
  <si>
    <t>Duration</t>
  </si>
  <si>
    <t>Time period</t>
  </si>
  <si>
    <t>Parameters</t>
  </si>
  <si>
    <t>Total</t>
  </si>
  <si>
    <t>Researcher development</t>
  </si>
  <si>
    <t>Drop-in session (1:00 - 3:00)</t>
  </si>
  <si>
    <t>RDO</t>
  </si>
  <si>
    <t>Over weekend or evenings as needed</t>
  </si>
  <si>
    <t>Angelica</t>
  </si>
  <si>
    <t>One-on-one</t>
  </si>
  <si>
    <t>9am - 4.30pm (30min break)</t>
  </si>
  <si>
    <t>9am - 5pm office (3C3)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</si>
  <si>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3rd </t>
    </r>
  </si>
  <si>
    <t>Anthony</t>
  </si>
  <si>
    <t>WS=W4</t>
  </si>
  <si>
    <t>27 August - 2 September  2018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</si>
  <si>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27th </t>
    </r>
  </si>
  <si>
    <t>20-26 August 2018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</si>
  <si>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20th </t>
    </r>
  </si>
  <si>
    <t>13-19 August 2018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</si>
  <si>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13th </t>
    </r>
  </si>
  <si>
    <t>WS=W3</t>
  </si>
  <si>
    <t>6-12 August 2018</t>
  </si>
  <si>
    <t>New Staff 1</t>
  </si>
  <si>
    <t>2hrs over weekend or evenings with previous researchers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</si>
  <si>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6th </t>
    </r>
  </si>
  <si>
    <t>WS=W2</t>
  </si>
  <si>
    <t>30 July-5 August 2018</t>
  </si>
  <si>
    <t>5hrs over weekend or evenings with previous researchers</t>
  </si>
  <si>
    <r>
      <t>NOTE: Must have timesheet to be pay this by Monday</t>
    </r>
    <r>
      <rPr>
        <b/>
        <sz val="11"/>
        <color rgb="FFFF0000"/>
        <rFont val="Calibri"/>
        <family val="2"/>
        <scheme val="minor"/>
      </rPr>
      <t xml:space="preserve"> 30th </t>
    </r>
  </si>
  <si>
    <t>WS=W1</t>
  </si>
  <si>
    <t>23-29 July 2018</t>
  </si>
  <si>
    <t>before this point all work was PAID IN VOUCHERS…</t>
  </si>
  <si>
    <t>Payday</t>
  </si>
  <si>
    <t xml:space="preserve">Tuesday 3 April </t>
  </si>
  <si>
    <t xml:space="preserve"> Tuesday 3 April</t>
  </si>
  <si>
    <t>Tuesday 21 March</t>
  </si>
  <si>
    <t>Tuesday 17 April</t>
  </si>
  <si>
    <t>W14</t>
  </si>
  <si>
    <t>Office consultation</t>
  </si>
  <si>
    <t xml:space="preserve"> Reading information for Petrarki consultation</t>
  </si>
  <si>
    <t xml:space="preserve">Answering email and sending references </t>
  </si>
  <si>
    <t>W15</t>
  </si>
  <si>
    <t>Meeting preparation for Rebecca data management data</t>
  </si>
  <si>
    <t>Preparation, meeting and data exploration Mohammed.</t>
  </si>
  <si>
    <t>W16</t>
  </si>
  <si>
    <t xml:space="preserve">Consultation Sam Kosari (at university) and meeting Reihaneh </t>
  </si>
  <si>
    <t>W17</t>
  </si>
  <si>
    <t>Week of 4/06/2018</t>
  </si>
  <si>
    <t>Office consultation (Florence)</t>
  </si>
  <si>
    <t>Finishing consultation for E. Petraki/ Mohammed</t>
  </si>
  <si>
    <t>Answer mails and sending documentation.</t>
  </si>
  <si>
    <t>W18</t>
  </si>
  <si>
    <t>Preparing and sending plots (Sam and Robert)</t>
  </si>
  <si>
    <t>Answering mails and consultations</t>
  </si>
  <si>
    <t>W25</t>
  </si>
  <si>
    <t xml:space="preserve">Preparing consulation Jonathon </t>
  </si>
  <si>
    <t>Answer email and consultations</t>
  </si>
  <si>
    <t>END CONTRACT START A NEW ONE</t>
  </si>
  <si>
    <t>W26</t>
  </si>
  <si>
    <t>Cleaning database, sending invitation email</t>
  </si>
  <si>
    <t>Answering mails</t>
  </si>
  <si>
    <t>Answering Sam Kusori consultation</t>
  </si>
  <si>
    <t xml:space="preserve">Tuesday </t>
  </si>
  <si>
    <t>14hrs extra</t>
  </si>
  <si>
    <t>8hrs extra</t>
  </si>
  <si>
    <t>4hrs extra</t>
  </si>
  <si>
    <t>9hrs extra</t>
  </si>
  <si>
    <t>6hrs extra</t>
  </si>
  <si>
    <t>16hrs extra</t>
  </si>
  <si>
    <t>11hrs extra</t>
  </si>
  <si>
    <t>2hrs owed</t>
  </si>
  <si>
    <t>NEW CONTRACT</t>
  </si>
  <si>
    <t>7hrs extra</t>
  </si>
  <si>
    <t>17hrs extra</t>
  </si>
  <si>
    <t>15hrs extra</t>
  </si>
  <si>
    <t>13hrs extra</t>
  </si>
  <si>
    <t>23hrs extra</t>
  </si>
  <si>
    <t>19hrs extra</t>
  </si>
  <si>
    <t>24hrs extra</t>
  </si>
  <si>
    <t>20hrs extra</t>
  </si>
  <si>
    <t>25hrs extra</t>
  </si>
  <si>
    <t>Week of 2/07/2018</t>
  </si>
  <si>
    <t>photos</t>
  </si>
  <si>
    <t>admin/meeting</t>
  </si>
  <si>
    <t>meeting Sajida</t>
  </si>
  <si>
    <t>map Sajida</t>
  </si>
  <si>
    <t>final map Sajida</t>
  </si>
  <si>
    <t>admin/mails</t>
  </si>
  <si>
    <t>admin/slides</t>
  </si>
  <si>
    <t>(11-7=4)</t>
  </si>
  <si>
    <t>Week of 9/07/2018</t>
  </si>
  <si>
    <t>office</t>
  </si>
  <si>
    <t>florence meeting</t>
  </si>
  <si>
    <t>office/admin</t>
  </si>
  <si>
    <t>drop in</t>
  </si>
  <si>
    <t>map aim 3 Florence</t>
  </si>
  <si>
    <t>20hrs</t>
  </si>
  <si>
    <t>9hrs</t>
  </si>
  <si>
    <t>0 hrs</t>
  </si>
  <si>
    <t>SQUARE ONE!!</t>
  </si>
  <si>
    <t>1:00pm</t>
  </si>
  <si>
    <t>3:00pm</t>
  </si>
  <si>
    <t>12:30pm</t>
  </si>
  <si>
    <t>GIS stuff</t>
  </si>
  <si>
    <t>4.5hrs owed</t>
  </si>
  <si>
    <t>5.5hrs extra</t>
  </si>
  <si>
    <t>NEW CONTRACT July 1st - Sept 1st 2018</t>
  </si>
  <si>
    <t>First week of september</t>
  </si>
  <si>
    <t>TEMPLATES FOR FUTURE TIMESHEETS</t>
  </si>
  <si>
    <t xml:space="preserve">Week of </t>
  </si>
  <si>
    <t>Pay date</t>
  </si>
  <si>
    <t>TIMETABLE (Future)</t>
  </si>
  <si>
    <t>TIMESHEET (what you will get paid)</t>
  </si>
  <si>
    <t>Quick budget tempate</t>
  </si>
  <si>
    <t>Stage four: Current</t>
  </si>
  <si>
    <t>2nd September 2018 - 31st December 2018</t>
  </si>
  <si>
    <t>NEW CONTRACT (14th May - July 1st)</t>
  </si>
  <si>
    <t>NEW CONTRACT (2nd September - 31st December 2018)</t>
  </si>
  <si>
    <t>Hrs submitted</t>
  </si>
  <si>
    <t>Hrs paid</t>
  </si>
  <si>
    <t>Angelica Lopez</t>
  </si>
  <si>
    <t>Proposed hours</t>
  </si>
  <si>
    <t>Confirmed hours</t>
  </si>
  <si>
    <t>Kyle Hemming</t>
  </si>
  <si>
    <t>Submit electronic</t>
  </si>
  <si>
    <t>Submit paper forms</t>
  </si>
  <si>
    <t>11th January 2018</t>
  </si>
  <si>
    <t>25th January 2018</t>
  </si>
  <si>
    <t>8th February 2018</t>
  </si>
  <si>
    <t>22nd February 2018</t>
  </si>
  <si>
    <t>8th March 2018</t>
  </si>
  <si>
    <t>22nd March 2018</t>
  </si>
  <si>
    <t>5th April 2018</t>
  </si>
  <si>
    <t>19th April 2018</t>
  </si>
  <si>
    <t>3rd May 2018</t>
  </si>
  <si>
    <t>17th May 2018</t>
  </si>
  <si>
    <t>31st May 2018</t>
  </si>
  <si>
    <t>14th June 2018</t>
  </si>
  <si>
    <t>26th July 2018</t>
  </si>
  <si>
    <t>9th August 2018</t>
  </si>
  <si>
    <t>23rd August 2018</t>
  </si>
  <si>
    <t>6th September 2018</t>
  </si>
  <si>
    <t>20th September 2018</t>
  </si>
  <si>
    <t>4th October 2018</t>
  </si>
  <si>
    <t>18th October 2018</t>
  </si>
  <si>
    <t>1st November 2018</t>
  </si>
  <si>
    <t>15th Novermber 2018</t>
  </si>
  <si>
    <t>29th November 2018</t>
  </si>
  <si>
    <t>13th December 2018</t>
  </si>
  <si>
    <t>27th December 2018</t>
  </si>
  <si>
    <t>Previous trial period……</t>
  </si>
  <si>
    <t>TOTALS</t>
  </si>
  <si>
    <t>Period End Date</t>
  </si>
  <si>
    <t>Emp. No.</t>
  </si>
  <si>
    <t>Surname</t>
  </si>
  <si>
    <t>Preferred Name</t>
  </si>
  <si>
    <t>Job Number</t>
  </si>
  <si>
    <t>GL Record Type Description</t>
  </si>
  <si>
    <t>Account Number Prefix</t>
  </si>
  <si>
    <t>Paycode</t>
  </si>
  <si>
    <t>Salary Hours</t>
  </si>
  <si>
    <t>Amt$</t>
  </si>
  <si>
    <t>Graduate Research</t>
  </si>
  <si>
    <t>6283</t>
  </si>
  <si>
    <t>435389</t>
  </si>
  <si>
    <t>DAVIDSON</t>
  </si>
  <si>
    <t>02</t>
  </si>
  <si>
    <t>Earnings</t>
  </si>
  <si>
    <t>50007</t>
  </si>
  <si>
    <t>Salary Casual</t>
  </si>
  <si>
    <t>Oncosts</t>
  </si>
  <si>
    <t>50031</t>
  </si>
  <si>
    <t>50032</t>
  </si>
  <si>
    <t>50033</t>
  </si>
  <si>
    <t>Subsidies</t>
  </si>
  <si>
    <t>50027</t>
  </si>
  <si>
    <t>Super</t>
  </si>
  <si>
    <t>436862</t>
  </si>
  <si>
    <t>HEMMING</t>
  </si>
  <si>
    <t>432401</t>
  </si>
  <si>
    <t>GALVIN</t>
  </si>
  <si>
    <t>Catherine</t>
  </si>
  <si>
    <t>03</t>
  </si>
  <si>
    <t>50002</t>
  </si>
  <si>
    <t>Rate B - Lecturing</t>
  </si>
  <si>
    <t>50018</t>
  </si>
  <si>
    <t>50020</t>
  </si>
  <si>
    <t>50021</t>
  </si>
  <si>
    <t>50016</t>
  </si>
  <si>
    <t>429372</t>
  </si>
  <si>
    <t>LOPEZ</t>
  </si>
  <si>
    <t>04</t>
  </si>
  <si>
    <t>Rate P - Other</t>
  </si>
  <si>
    <t>430664</t>
  </si>
  <si>
    <t>MEDINA</t>
  </si>
  <si>
    <t>Rate O - Marking</t>
  </si>
  <si>
    <t>Rate Q - Other</t>
  </si>
  <si>
    <t>hours owing</t>
  </si>
  <si>
    <t>Hours submitted</t>
  </si>
  <si>
    <t>Tuesday 4th April</t>
  </si>
  <si>
    <t>Where did this come from?</t>
  </si>
  <si>
    <t>MISSED</t>
  </si>
  <si>
    <t>Hours owing</t>
  </si>
  <si>
    <t>n/a</t>
  </si>
  <si>
    <t>This includes missed hours from this pay</t>
  </si>
  <si>
    <t>Behind including pay missed from previous pay cycle</t>
  </si>
  <si>
    <t>Tuesday 2nd May 2018</t>
  </si>
  <si>
    <t>Tuesday 16th May 2018</t>
  </si>
  <si>
    <t>30th May 2018</t>
  </si>
  <si>
    <t>13th June 2018</t>
  </si>
  <si>
    <t>Where did this come from???</t>
  </si>
  <si>
    <t>27th June 2018</t>
  </si>
  <si>
    <t>11th July 2018</t>
  </si>
  <si>
    <t>,</t>
  </si>
  <si>
    <t>Back pay</t>
  </si>
  <si>
    <t>Pay screw-up</t>
  </si>
  <si>
    <t>Shut-up and write too…??</t>
  </si>
  <si>
    <t>Back pay difference</t>
  </si>
  <si>
    <t>Owe you 4hrs</t>
  </si>
  <si>
    <t>After this Margie owes network 5hrs</t>
  </si>
  <si>
    <t>Tuesday 16 May</t>
  </si>
  <si>
    <t>SN owed 11hrs</t>
  </si>
  <si>
    <t>Tuesday 30 May</t>
  </si>
  <si>
    <t>12:00PM</t>
  </si>
  <si>
    <t>2:00PM</t>
  </si>
  <si>
    <t>Meeting with Anthony re:network options (ANTHONY added as we had this meeting)</t>
  </si>
  <si>
    <t>Almost back to even stevens….2.5 hours owed to network….</t>
  </si>
  <si>
    <t>SUMIT ON 31st July 2018</t>
  </si>
  <si>
    <t>TOTALS THAT SHOULD MATCH PAYSHEET ON ALTERNATE SHEET (Angelica_hist)</t>
  </si>
  <si>
    <t>Angelica_hist</t>
  </si>
  <si>
    <t>Sheet</t>
  </si>
  <si>
    <t>Total hours</t>
  </si>
  <si>
    <t>Difference</t>
  </si>
  <si>
    <t>Statistic network is owed 38hours work…</t>
  </si>
  <si>
    <t>Timesheet_recorded above</t>
  </si>
  <si>
    <t>Notes</t>
  </si>
  <si>
    <t>This is the offical payment record from the university of canberra.</t>
  </si>
  <si>
    <t xml:space="preserve">This is the timesheet recorded here as I understand it. Your raw timesheet is to the left of the finalised timesheet above. If I have miss translated something please highlight this for me. </t>
  </si>
  <si>
    <t>TOTALS THAT SHOULD MATCH PAYSHEET ON ALTERNATE SHEET (Marg_hist)</t>
  </si>
  <si>
    <t>Marg_hist</t>
  </si>
  <si>
    <t>Use hours still owing to the statistics network for the rest of the month</t>
  </si>
  <si>
    <t>`</t>
  </si>
  <si>
    <t>Overall timesheet</t>
  </si>
  <si>
    <t>For the next set of Acidemic contracts: Stage three (July 2018 - September 2018)</t>
  </si>
  <si>
    <t>DONE</t>
  </si>
  <si>
    <t>CURRENT</t>
  </si>
  <si>
    <t>Stage</t>
  </si>
  <si>
    <t>Time</t>
  </si>
  <si>
    <t>Status</t>
  </si>
  <si>
    <t>Due date</t>
  </si>
  <si>
    <t>Stage four</t>
  </si>
  <si>
    <t>DRAFT NEEDED</t>
  </si>
  <si>
    <t>31st July 2018</t>
  </si>
  <si>
    <t>28th August 2018</t>
  </si>
  <si>
    <t>Stage three</t>
  </si>
  <si>
    <t>Report by Cost Centre - All Employees including Casuals/ Sessionals</t>
  </si>
  <si>
    <t>Includes Earning, Oncosts and Super ('Subsidies'). Excludes Deductions</t>
  </si>
  <si>
    <t>School</t>
  </si>
  <si>
    <t>Cost Centre Code</t>
  </si>
  <si>
    <t>Project Code</t>
  </si>
  <si>
    <t>Highest Classification</t>
  </si>
  <si>
    <t>Position Title</t>
  </si>
  <si>
    <t>Employees:</t>
  </si>
  <si>
    <t>Total:</t>
  </si>
  <si>
    <t>583.75 Hours</t>
  </si>
  <si>
    <t>NOTES</t>
  </si>
  <si>
    <t>4hours owing orginally</t>
  </si>
  <si>
    <t>Estimate</t>
  </si>
  <si>
    <t>Extra paid that shouldn't be there..Shutupand write etc…</t>
  </si>
  <si>
    <t>Accounting for issues</t>
  </si>
  <si>
    <t>extra work</t>
  </si>
  <si>
    <t>Final statement</t>
  </si>
  <si>
    <t>half an hour extra somewhere but don't worry about it….</t>
  </si>
  <si>
    <t>drop-in</t>
  </si>
  <si>
    <t>Now this should be set to 4hours extra from here….</t>
  </si>
  <si>
    <t>SQUARE!!!</t>
  </si>
  <si>
    <t>Statistic network is owed 11hours work…</t>
  </si>
  <si>
    <t>TOTAL After difference</t>
  </si>
  <si>
    <t>DATES</t>
  </si>
  <si>
    <t>Record hours for this week</t>
  </si>
  <si>
    <t>Record hours for this week (only 2 is fine to catch up)</t>
  </si>
  <si>
    <t>Record hours for this week (hopefully 10??)</t>
  </si>
  <si>
    <t>Where did this come from? I Have added this in as hours but not sure if this was a mistake or actual hours</t>
  </si>
  <si>
    <t>Statistic network will pay 15hrs over over the next two payment cycles as shown above…</t>
  </si>
  <si>
    <t>Hours to be paid if current timesheet and timetable is followed.</t>
  </si>
  <si>
    <t>Expected input total</t>
  </si>
  <si>
    <t>Finishing balance</t>
  </si>
  <si>
    <t>Anthony Davidson</t>
  </si>
  <si>
    <t xml:space="preserve">Tuesday 24th January </t>
  </si>
  <si>
    <t>Tuesday 7th Febuary</t>
  </si>
  <si>
    <t>General</t>
  </si>
  <si>
    <t>Details</t>
  </si>
  <si>
    <t>Tuesday 7th March</t>
  </si>
  <si>
    <t>Before this point all work was under trial but have carryover tooooo</t>
  </si>
  <si>
    <t>Jackson about publication options for network (Public holiday so caught up on this work instead)</t>
  </si>
  <si>
    <t>This includes hours from previous contract that will still be in this contracts hours for now</t>
  </si>
  <si>
    <t>Admin, emails and document development</t>
  </si>
  <si>
    <t>1:00PM</t>
  </si>
  <si>
    <t>3:00PM</t>
  </si>
  <si>
    <t>Admin dramas with Outlook</t>
  </si>
  <si>
    <t>Sick</t>
  </si>
  <si>
    <t>meeting with Angelica check face</t>
  </si>
  <si>
    <t>Eithics ideas and options for SN</t>
  </si>
  <si>
    <t>Admin/general running around over week</t>
  </si>
  <si>
    <t>Overall hours from admin and co-ordination over the week</t>
  </si>
  <si>
    <t>Haysem one-on-one</t>
  </si>
  <si>
    <t>Behind including pay missed from previous pay cycle. Still owed 42.5hrs</t>
  </si>
  <si>
    <t>NOT BILLED</t>
  </si>
  <si>
    <t>Plots for Phil and Rmarkdown file</t>
  </si>
  <si>
    <t>Contract</t>
  </si>
  <si>
    <t>Drone survey collaboration beginning</t>
  </si>
  <si>
    <t>datacamp organisation over the week</t>
  </si>
  <si>
    <t>Contracts</t>
  </si>
  <si>
    <t>Writing presentation etc for SN talk at Kioloa</t>
  </si>
  <si>
    <t>Check dates!!!</t>
  </si>
  <si>
    <t>Talk and other networking at Kioloa</t>
  </si>
  <si>
    <t>Admin, RazBaz and other emails</t>
  </si>
  <si>
    <t>Hugh and fish projects</t>
  </si>
  <si>
    <t>Admin and hotos etc</t>
  </si>
  <si>
    <t>Hugh Fish</t>
  </si>
  <si>
    <t>Mel meeting etc for handover</t>
  </si>
  <si>
    <t>Kerry meeting</t>
  </si>
  <si>
    <t>AA Awards</t>
  </si>
  <si>
    <t>Timesheets</t>
  </si>
  <si>
    <t>Missed meeting with AA pple. Admin instead</t>
  </si>
  <si>
    <t>Shalini</t>
  </si>
  <si>
    <t>Diana Fifield</t>
  </si>
  <si>
    <t>17:00 PM</t>
  </si>
  <si>
    <t>AA Awards?</t>
  </si>
  <si>
    <t>On and off for the afternoon</t>
  </si>
  <si>
    <t>18:00 PM</t>
  </si>
  <si>
    <t>22:00 PM</t>
  </si>
  <si>
    <t>Proposal for Drones, admin</t>
  </si>
  <si>
    <t>DataCamp organisation throughout the day</t>
  </si>
  <si>
    <t>Timesheets to submit</t>
  </si>
  <si>
    <t>TOTALS THAT SHOULD MATCH PAYSHEET ON ALTERNATE SHEET (Anthony_hist)</t>
  </si>
  <si>
    <t>Total hrs</t>
  </si>
  <si>
    <t>Total from payroll</t>
  </si>
  <si>
    <t>Total recorded above</t>
  </si>
  <si>
    <t>Observed here…</t>
  </si>
  <si>
    <t>Excluding old hours</t>
  </si>
  <si>
    <t>Anthony is owed 26+hrs still but not paid due to budget issues at end of year currently (July 2018)</t>
  </si>
  <si>
    <t>Overall proposed timesheet</t>
  </si>
  <si>
    <t>The extra two weeks of the contract are included in the finalised timesheets under each advisor</t>
  </si>
  <si>
    <t>`Angelica</t>
  </si>
  <si>
    <t>office and drop in</t>
  </si>
  <si>
    <t xml:space="preserve">reply emails stats support </t>
  </si>
  <si>
    <t>mails /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</si>
</sst>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164" formatCode="&quot;$&quot;#,##0.00"/>
    <numFmt numFmtId="165" formatCode="d\/mm\/yyyy"/>
    <numFmt numFmtId="166" formatCode="\$#,##0.00"/>
    <numFmt numFmtId="167" formatCode="[$-F400]h:mm:ss\ AM/PM"/>
    <numFmt numFmtId="169" formatCode="&quot;$&quot;#,##0.00;[Red]\-&quot;$&quot;#,##0.00"/>
  </numFmts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9"/>
      <color rgb="FF2B6A97"/>
      <name val="Arial"/>
      <family val="2"/>
    </font>
    <font>
      <sz val="8"/>
      <color rgb="FF0000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0"/>
      <color theme="1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rgb="FFCAC9D9"/>
      </left>
      <right/>
      <top style="thin">
        <color rgb="FFCAC9D9"/>
      </top>
      <bottom style="thin">
        <color rgb="FFCAC9D9"/>
      </bottom>
      <diagonal/>
    </border>
    <border>
      <left/>
      <right/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ACAD9"/>
      </left>
      <right/>
      <top style="thin">
        <color rgb="FFCACAD9"/>
      </top>
      <bottom style="thin">
        <color rgb="FFCACAD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648">
    <xf numFmtId="0" fontId="0" fillId="0" borderId="0" xfId="0"/>
    <xf numFmtId="0" fontId="1" fillId="0" borderId="0" xfId="0" applyFon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8" fontId="0" fillId="0" borderId="0" xfId="0" applyNumberFormat="1" applyProtection="1">
      <protection locked="0"/>
    </xf>
    <xf numFmtId="8" fontId="0" fillId="0" borderId="0" xfId="0" applyNumberFormat="1" applyProtection="1">
      <protection locked="0"/>
    </xf>
    <xf numFmtId="18" fontId="0" fillId="0" borderId="0" xfId="0" applyNumberFormat="1"/>
    <xf numFmtId="20" fontId="0" fillId="0" borderId="0" xfId="0" applyNumberFormat="1"/>
    <xf numFmtId="20" fontId="0" fillId="0" borderId="0" xfId="0" applyNumberFormat="1" applyProtection="1"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1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0" fontId="0" fillId="0" borderId="0" xfId="0" applyFill="1" applyAlignment="1" applyProtection="1">
      <alignment wrapText="1"/>
      <protection locked="0"/>
    </xf>
    <xf numFmtId="0" fontId="0" fillId="0" borderId="0" xfId="0" applyFill="1" applyAlignment="1">
      <alignment wrapText="1"/>
    </xf>
    <xf numFmtId="8" fontId="0" fillId="0" borderId="0" xfId="0" applyNumberFormat="1" applyFill="1" applyAlignment="1" applyProtection="1">
      <alignment wrapText="1"/>
      <protection locked="0"/>
    </xf>
    <xf numFmtId="8" fontId="0" fillId="0" borderId="0" xfId="0" applyNumberFormat="1" applyAlignment="1" applyProtection="1">
      <alignment wrapText="1"/>
      <protection locked="0"/>
    </xf>
    <xf numFmtId="18" fontId="0" fillId="0" borderId="0" xfId="0" applyNumberFormat="1" applyAlignment="1" applyProtection="1">
      <alignment wrapText="1"/>
      <protection locked="0"/>
    </xf>
    <xf numFmtId="20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18" fontId="5" fillId="0" borderId="0" xfId="0" applyNumberFormat="1" applyFont="1" applyAlignment="1">
      <alignment wrapText="1"/>
    </xf>
    <xf numFmtId="18" fontId="5" fillId="0" borderId="0" xfId="0" applyNumberFormat="1" applyFont="1" applyAlignment="1" applyProtection="1">
      <alignment wrapText="1"/>
      <protection locked="0"/>
    </xf>
    <xf numFmtId="0" fontId="5" fillId="0" borderId="0" xfId="0" applyFont="1" applyAlignment="1" applyProtection="1">
      <alignment wrapText="1"/>
      <protection locked="0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18" fontId="0" fillId="0" borderId="0" xfId="0" applyNumberFormat="1" applyAlignment="1">
      <alignment wrapText="1"/>
    </xf>
    <xf numFmtId="20" fontId="5" fillId="0" borderId="0" xfId="0" applyNumberFormat="1" applyFont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8" fontId="5" fillId="0" borderId="0" xfId="0" applyNumberFormat="1" applyFont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18" fontId="0" fillId="4" borderId="0" xfId="0" applyNumberFormat="1" applyFill="1" applyAlignment="1">
      <alignment wrapText="1"/>
    </xf>
    <xf numFmtId="18" fontId="0" fillId="4" borderId="0" xfId="0" applyNumberFormat="1" applyFill="1" applyAlignment="1" applyProtection="1">
      <alignment wrapText="1"/>
      <protection locked="0"/>
    </xf>
    <xf numFmtId="20" fontId="0" fillId="0" borderId="0" xfId="0" applyNumberFormat="1" applyAlignment="1" applyProtection="1">
      <alignment wrapText="1"/>
      <protection locked="0"/>
    </xf>
    <xf numFmtId="0" fontId="0" fillId="3" borderId="0" xfId="0" applyFill="1" applyAlignment="1">
      <alignment wrapText="1"/>
    </xf>
    <xf numFmtId="0" fontId="0" fillId="7" borderId="0" xfId="0" applyFill="1" applyAlignment="1">
      <alignment wrapText="1"/>
    </xf>
    <xf numFmtId="0" fontId="4" fillId="7" borderId="0" xfId="0" applyFont="1" applyFill="1" applyAlignment="1">
      <alignment wrapText="1"/>
    </xf>
    <xf numFmtId="0" fontId="5" fillId="3" borderId="0" xfId="0" applyFont="1" applyFill="1" applyAlignment="1" applyProtection="1">
      <alignment wrapText="1"/>
      <protection locked="0"/>
    </xf>
    <xf numFmtId="8" fontId="4" fillId="0" borderId="0" xfId="0" applyNumberFormat="1" applyFont="1" applyAlignment="1" applyProtection="1">
      <alignment wrapText="1"/>
      <protection locked="0"/>
    </xf>
    <xf numFmtId="18" fontId="0" fillId="0" borderId="0" xfId="0" applyNumberFormat="1" applyFill="1" applyAlignment="1">
      <alignment wrapText="1"/>
    </xf>
    <xf numFmtId="18" fontId="0" fillId="0" borderId="0" xfId="0" applyNumberFormat="1" applyFill="1" applyAlignment="1" applyProtection="1">
      <alignment wrapText="1"/>
      <protection locked="0"/>
    </xf>
    <xf numFmtId="0" fontId="1" fillId="7" borderId="0" xfId="0" applyFont="1" applyFill="1" applyAlignment="1">
      <alignment wrapText="1"/>
    </xf>
    <xf numFmtId="20" fontId="0" fillId="0" borderId="0" xfId="0" applyNumberFormat="1" applyFill="1" applyAlignment="1">
      <alignment wrapText="1"/>
    </xf>
    <xf numFmtId="20" fontId="0" fillId="0" borderId="0" xfId="0" applyNumberFormat="1" applyFill="1" applyAlignment="1" applyProtection="1">
      <alignment wrapText="1"/>
      <protection locked="0"/>
    </xf>
    <xf numFmtId="0" fontId="1" fillId="0" borderId="0" xfId="0" applyFont="1" applyFill="1" applyAlignment="1">
      <alignment wrapText="1"/>
    </xf>
    <xf numFmtId="20" fontId="2" fillId="0" borderId="0" xfId="0" applyNumberFormat="1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8" fontId="2" fillId="0" borderId="0" xfId="0" applyNumberFormat="1" applyFont="1" applyAlignment="1" applyProtection="1">
      <alignment wrapText="1"/>
      <protection locked="0"/>
    </xf>
    <xf numFmtId="0" fontId="0" fillId="8" borderId="0" xfId="0" applyFill="1" applyAlignment="1">
      <alignment wrapText="1"/>
    </xf>
    <xf numFmtId="0" fontId="1" fillId="8" borderId="0" xfId="0" applyFont="1" applyFill="1" applyAlignment="1">
      <alignment wrapText="1"/>
    </xf>
    <xf numFmtId="0" fontId="1" fillId="8" borderId="0" xfId="0" applyFont="1" applyFill="1" applyAlignment="1" applyProtection="1">
      <alignment wrapText="1"/>
      <protection locked="0"/>
    </xf>
    <xf numFmtId="18" fontId="1" fillId="4" borderId="0" xfId="0" applyNumberFormat="1" applyFont="1" applyFill="1" applyAlignment="1">
      <alignment wrapText="1"/>
    </xf>
    <xf numFmtId="18" fontId="1" fillId="4" borderId="0" xfId="0" applyNumberFormat="1" applyFont="1" applyFill="1" applyAlignment="1" applyProtection="1">
      <alignment wrapText="1"/>
      <protection locked="0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164" fontId="0" fillId="0" borderId="0" xfId="0" applyNumberFormat="1" applyAlignment="1">
      <alignment wrapText="1"/>
    </xf>
    <xf numFmtId="164" fontId="1" fillId="0" borderId="1" xfId="0" applyNumberFormat="1" applyFont="1" applyFill="1" applyBorder="1" applyAlignment="1">
      <alignment wrapText="1"/>
    </xf>
    <xf numFmtId="164" fontId="1" fillId="0" borderId="2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64" fontId="1" fillId="3" borderId="4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10" fontId="0" fillId="0" borderId="3" xfId="0" applyNumberForma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 applyProtection="1">
      <alignment horizontal="center" wrapText="1"/>
      <protection locked="0"/>
    </xf>
    <xf numFmtId="0" fontId="0" fillId="0" borderId="0" xfId="0" applyBorder="1" applyAlignment="1" applyProtection="1">
      <alignment horizontal="center" wrapText="1"/>
      <protection locked="0"/>
    </xf>
    <xf numFmtId="0" fontId="1" fillId="0" borderId="0" xfId="0" applyFont="1" applyFill="1" applyBorder="1" applyAlignment="1">
      <alignment wrapText="1"/>
    </xf>
    <xf numFmtId="0" fontId="7" fillId="0" borderId="0" xfId="0" applyFont="1" applyFill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8" borderId="0" xfId="0" applyFill="1" applyBorder="1" applyAlignment="1" applyProtection="1">
      <alignment horizontal="center" wrapText="1"/>
      <protection locked="0"/>
    </xf>
    <xf numFmtId="0" fontId="1" fillId="0" borderId="0" xfId="0" applyFont="1" applyBorder="1" applyAlignment="1">
      <alignment wrapText="1"/>
    </xf>
    <xf numFmtId="0" fontId="7" fillId="11" borderId="0" xfId="0" applyFont="1" applyFill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8" borderId="9" xfId="0" applyFill="1" applyBorder="1" applyAlignment="1" applyProtection="1">
      <alignment horizontal="center" wrapText="1"/>
      <protection locked="0"/>
    </xf>
    <xf numFmtId="0" fontId="0" fillId="0" borderId="9" xfId="0" applyBorder="1" applyAlignment="1" applyProtection="1">
      <alignment horizontal="center" wrapText="1"/>
      <protection locked="0"/>
    </xf>
    <xf numFmtId="0" fontId="1" fillId="0" borderId="10" xfId="0" applyFont="1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8" borderId="13" xfId="0" applyFill="1" applyBorder="1" applyAlignment="1" applyProtection="1">
      <alignment horizontal="center" wrapText="1"/>
      <protection locked="0"/>
    </xf>
    <xf numFmtId="0" fontId="1" fillId="0" borderId="8" xfId="0" applyFont="1" applyBorder="1" applyAlignment="1">
      <alignment wrapText="1"/>
    </xf>
    <xf numFmtId="0" fontId="0" fillId="0" borderId="14" xfId="0" applyFill="1" applyBorder="1" applyAlignment="1">
      <alignment horizont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14" xfId="0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9" xfId="0" applyFill="1" applyBorder="1" applyAlignment="1" applyProtection="1">
      <alignment horizontal="center" wrapText="1"/>
      <protection locked="0"/>
    </xf>
    <xf numFmtId="0" fontId="0" fillId="8" borderId="15" xfId="0" applyFill="1" applyBorder="1" applyAlignment="1">
      <alignment wrapText="1"/>
    </xf>
    <xf numFmtId="0" fontId="0" fillId="8" borderId="0" xfId="0" applyFill="1" applyAlignment="1" applyProtection="1">
      <alignment wrapText="1"/>
      <protection locked="0"/>
    </xf>
    <xf numFmtId="0" fontId="0" fillId="0" borderId="20" xfId="0" applyBorder="1" applyAlignment="1">
      <alignment wrapText="1"/>
    </xf>
    <xf numFmtId="0" fontId="1" fillId="0" borderId="8" xfId="0" applyFont="1" applyBorder="1" applyAlignment="1" applyProtection="1">
      <alignment horizontal="center" wrapText="1"/>
      <protection locked="0"/>
    </xf>
    <xf numFmtId="0" fontId="1" fillId="0" borderId="21" xfId="0" applyFont="1" applyBorder="1" applyAlignment="1" applyProtection="1">
      <alignment horizontal="center" wrapText="1"/>
      <protection locked="0"/>
    </xf>
    <xf numFmtId="0" fontId="0" fillId="5" borderId="8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7" borderId="9" xfId="0" applyFill="1" applyBorder="1" applyAlignment="1" applyProtection="1">
      <alignment horizontal="center" wrapText="1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13" borderId="0" xfId="0" applyFill="1" applyBorder="1" applyAlignment="1" applyProtection="1">
      <alignment horizontal="center" vertical="center" wrapText="1"/>
      <protection locked="0"/>
    </xf>
    <xf numFmtId="0" fontId="0" fillId="13" borderId="0" xfId="0" applyFill="1" applyBorder="1" applyAlignment="1" applyProtection="1">
      <alignment horizontal="center" wrapText="1"/>
      <protection locked="0"/>
    </xf>
    <xf numFmtId="0" fontId="1" fillId="13" borderId="16" xfId="0" applyFont="1" applyFill="1" applyBorder="1" applyAlignment="1">
      <alignment horizontal="center" wrapText="1"/>
    </xf>
    <xf numFmtId="0" fontId="0" fillId="0" borderId="15" xfId="0" applyFill="1" applyBorder="1" applyAlignment="1">
      <alignment wrapText="1"/>
    </xf>
    <xf numFmtId="0" fontId="0" fillId="0" borderId="19" xfId="0" applyFill="1" applyBorder="1" applyAlignment="1">
      <alignment wrapText="1"/>
    </xf>
    <xf numFmtId="0" fontId="1" fillId="15" borderId="0" xfId="0" applyFont="1" applyFill="1" applyAlignment="1" applyProtection="1">
      <alignment wrapText="1"/>
      <protection locked="0"/>
    </xf>
    <xf numFmtId="0" fontId="4" fillId="0" borderId="0" xfId="0" applyFont="1" applyFill="1" applyAlignment="1">
      <alignment wrapText="1"/>
    </xf>
    <xf numFmtId="0" fontId="0" fillId="0" borderId="0" xfId="0" applyFill="1"/>
    <xf numFmtId="8" fontId="1" fillId="9" borderId="0" xfId="0" applyNumberFormat="1" applyFont="1" applyFill="1" applyAlignment="1" applyProtection="1">
      <alignment wrapText="1"/>
      <protection locked="0"/>
    </xf>
    <xf numFmtId="0" fontId="0" fillId="8" borderId="0" xfId="0" applyFill="1"/>
    <xf numFmtId="0" fontId="1" fillId="16" borderId="0" xfId="0" applyFont="1" applyFill="1" applyAlignment="1" applyProtection="1">
      <alignment wrapText="1"/>
      <protection locked="0"/>
    </xf>
    <xf numFmtId="0" fontId="0" fillId="16" borderId="0" xfId="0" applyFill="1" applyAlignment="1" applyProtection="1">
      <alignment wrapText="1"/>
      <protection locked="0"/>
    </xf>
    <xf numFmtId="18" fontId="0" fillId="16" borderId="0" xfId="0" applyNumberFormat="1" applyFill="1" applyAlignment="1" applyProtection="1">
      <alignment wrapText="1"/>
      <protection locked="0"/>
    </xf>
    <xf numFmtId="8" fontId="0" fillId="16" borderId="0" xfId="0" applyNumberFormat="1" applyFill="1" applyAlignment="1" applyProtection="1">
      <alignment wrapText="1"/>
      <protection locked="0"/>
    </xf>
    <xf numFmtId="0" fontId="0" fillId="16" borderId="0" xfId="0" applyFill="1" applyAlignment="1">
      <alignment wrapText="1"/>
    </xf>
    <xf numFmtId="20" fontId="0" fillId="16" borderId="0" xfId="0" applyNumberFormat="1" applyFill="1" applyAlignment="1">
      <alignment wrapText="1"/>
    </xf>
    <xf numFmtId="20" fontId="0" fillId="16" borderId="0" xfId="0" applyNumberFormat="1" applyFill="1" applyAlignment="1" applyProtection="1">
      <alignment wrapText="1"/>
      <protection locked="0"/>
    </xf>
    <xf numFmtId="0" fontId="1" fillId="16" borderId="0" xfId="0" applyFont="1" applyFill="1" applyAlignment="1">
      <alignment wrapText="1"/>
    </xf>
    <xf numFmtId="8" fontId="1" fillId="0" borderId="0" xfId="0" applyNumberFormat="1" applyFont="1" applyFill="1" applyAlignment="1" applyProtection="1">
      <alignment wrapText="1"/>
      <protection locked="0"/>
    </xf>
    <xf numFmtId="0" fontId="1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8" fontId="0" fillId="0" borderId="0" xfId="0" applyNumberFormat="1" applyFill="1" applyProtection="1">
      <protection locked="0"/>
    </xf>
    <xf numFmtId="8" fontId="0" fillId="0" borderId="0" xfId="0" applyNumberFormat="1" applyFill="1" applyProtection="1">
      <protection locked="0"/>
    </xf>
    <xf numFmtId="18" fontId="0" fillId="0" borderId="0" xfId="0" applyNumberFormat="1" applyFill="1"/>
    <xf numFmtId="20" fontId="0" fillId="0" borderId="0" xfId="0" applyNumberFormat="1" applyFill="1"/>
    <xf numFmtId="8" fontId="5" fillId="0" borderId="0" xfId="0" applyNumberFormat="1" applyFont="1" applyFill="1" applyAlignment="1" applyProtection="1">
      <alignment wrapText="1"/>
      <protection locked="0"/>
    </xf>
    <xf numFmtId="18" fontId="0" fillId="16" borderId="0" xfId="0" applyNumberFormat="1" applyFill="1" applyAlignment="1">
      <alignment wrapText="1"/>
    </xf>
    <xf numFmtId="0" fontId="0" fillId="17" borderId="0" xfId="0" applyFill="1" applyAlignment="1">
      <alignment horizontal="center" wrapText="1"/>
    </xf>
    <xf numFmtId="0" fontId="0" fillId="0" borderId="0" xfId="0" applyNumberFormat="1" applyFill="1" applyAlignment="1" applyProtection="1">
      <alignment wrapText="1"/>
      <protection locked="0"/>
    </xf>
    <xf numFmtId="20" fontId="5" fillId="0" borderId="0" xfId="0" applyNumberFormat="1" applyFont="1" applyFill="1" applyAlignment="1" applyProtection="1">
      <alignment wrapText="1"/>
      <protection locked="0"/>
    </xf>
    <xf numFmtId="0" fontId="5" fillId="0" borderId="0" xfId="0" applyNumberFormat="1" applyFont="1" applyFill="1" applyAlignment="1" applyProtection="1">
      <alignment wrapText="1"/>
      <protection locked="0"/>
    </xf>
    <xf numFmtId="0" fontId="5" fillId="0" borderId="0" xfId="0" applyFont="1" applyFill="1" applyAlignment="1" applyProtection="1">
      <alignment wrapText="1"/>
      <protection locked="0"/>
    </xf>
    <xf numFmtId="0" fontId="5" fillId="8" borderId="0" xfId="0" applyFont="1" applyFill="1" applyAlignment="1">
      <alignment wrapText="1"/>
    </xf>
    <xf numFmtId="0" fontId="5" fillId="8" borderId="0" xfId="0" applyFont="1" applyFill="1" applyAlignment="1" applyProtection="1">
      <alignment wrapText="1"/>
      <protection locked="0"/>
    </xf>
    <xf numFmtId="0" fontId="1" fillId="18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18" fontId="1" fillId="0" borderId="0" xfId="0" applyNumberFormat="1" applyFont="1" applyFill="1" applyAlignment="1">
      <alignment wrapText="1"/>
    </xf>
    <xf numFmtId="18" fontId="1" fillId="0" borderId="0" xfId="0" applyNumberFormat="1" applyFont="1" applyFill="1" applyAlignment="1" applyProtection="1">
      <alignment wrapText="1"/>
      <protection locked="0"/>
    </xf>
    <xf numFmtId="0" fontId="4" fillId="0" borderId="0" xfId="0" applyFont="1" applyAlignment="1">
      <alignment wrapText="1"/>
    </xf>
    <xf numFmtId="0" fontId="0" fillId="8" borderId="0" xfId="0" applyFill="1" applyAlignment="1">
      <alignment horizontal="center" wrapText="1"/>
    </xf>
    <xf numFmtId="0" fontId="6" fillId="0" borderId="0" xfId="0" applyFont="1" applyFill="1" applyAlignment="1">
      <alignment wrapText="1"/>
    </xf>
    <xf numFmtId="0" fontId="6" fillId="3" borderId="0" xfId="0" applyFont="1" applyFill="1" applyAlignment="1" applyProtection="1">
      <alignment wrapText="1"/>
      <protection locked="0"/>
    </xf>
    <xf numFmtId="0" fontId="9" fillId="17" borderId="0" xfId="0" applyFont="1" applyFill="1" applyAlignment="1">
      <alignment wrapText="1"/>
    </xf>
    <xf numFmtId="0" fontId="9" fillId="0" borderId="0" xfId="0" applyFont="1" applyFill="1" applyAlignment="1">
      <alignment horizontal="center" wrapText="1"/>
    </xf>
    <xf numFmtId="0" fontId="6" fillId="0" borderId="0" xfId="0" applyFont="1" applyFill="1"/>
    <xf numFmtId="0" fontId="10" fillId="19" borderId="0" xfId="0" applyFont="1" applyFill="1" applyAlignment="1">
      <alignment wrapText="1"/>
    </xf>
    <xf numFmtId="0" fontId="1" fillId="0" borderId="0" xfId="0" applyFont="1" applyFill="1"/>
    <xf numFmtId="20" fontId="0" fillId="0" borderId="0" xfId="0" applyNumberFormat="1" applyFill="1" applyProtection="1">
      <protection locked="0"/>
    </xf>
    <xf numFmtId="0" fontId="6" fillId="0" borderId="0" xfId="0" applyFont="1" applyFill="1" applyAlignment="1" applyProtection="1">
      <alignment wrapText="1"/>
      <protection locked="0"/>
    </xf>
    <xf numFmtId="0" fontId="9" fillId="8" borderId="0" xfId="0" applyFont="1" applyFill="1" applyAlignment="1">
      <alignment horizontal="center" wrapText="1"/>
    </xf>
    <xf numFmtId="0" fontId="4" fillId="8" borderId="0" xfId="0" applyFont="1" applyFill="1" applyAlignment="1">
      <alignment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0" fontId="6" fillId="8" borderId="0" xfId="0" applyFont="1" applyFill="1" applyAlignment="1" applyProtection="1">
      <alignment wrapText="1"/>
      <protection locked="0"/>
    </xf>
    <xf numFmtId="0" fontId="0" fillId="10" borderId="6" xfId="0" applyFill="1" applyBorder="1" applyAlignment="1">
      <alignment horizontal="center" wrapText="1"/>
    </xf>
    <xf numFmtId="0" fontId="0" fillId="10" borderId="5" xfId="0" applyFill="1" applyBorder="1" applyAlignment="1">
      <alignment horizontal="center" wrapText="1"/>
    </xf>
    <xf numFmtId="0" fontId="0" fillId="8" borderId="9" xfId="0" applyFill="1" applyBorder="1" applyAlignment="1" applyProtection="1">
      <alignment vertical="center" wrapText="1"/>
      <protection locked="0"/>
    </xf>
    <xf numFmtId="0" fontId="0" fillId="8" borderId="15" xfId="0" applyFill="1" applyBorder="1" applyAlignment="1" applyProtection="1">
      <alignment vertical="center" wrapText="1"/>
      <protection locked="0"/>
    </xf>
    <xf numFmtId="0" fontId="1" fillId="0" borderId="12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0" fillId="7" borderId="9" xfId="0" applyFill="1" applyBorder="1" applyAlignment="1" applyProtection="1">
      <alignment wrapText="1"/>
      <protection locked="0"/>
    </xf>
    <xf numFmtId="0" fontId="0" fillId="7" borderId="15" xfId="0" applyFill="1" applyBorder="1" applyAlignment="1" applyProtection="1">
      <alignment wrapText="1"/>
      <protection locked="0"/>
    </xf>
    <xf numFmtId="0" fontId="0" fillId="0" borderId="9" xfId="0" applyFill="1" applyBorder="1" applyAlignment="1" applyProtection="1">
      <alignment vertical="center" wrapText="1"/>
      <protection locked="0"/>
    </xf>
    <xf numFmtId="0" fontId="0" fillId="0" borderId="18" xfId="0" applyFill="1" applyBorder="1" applyAlignment="1" applyProtection="1">
      <alignment vertical="center" wrapText="1"/>
      <protection locked="0"/>
    </xf>
    <xf numFmtId="0" fontId="0" fillId="0" borderId="15" xfId="0" applyFill="1" applyBorder="1" applyAlignment="1" applyProtection="1">
      <alignment vertical="center" wrapText="1"/>
      <protection locked="0"/>
    </xf>
    <xf numFmtId="0" fontId="0" fillId="0" borderId="17" xfId="0" applyFill="1" applyBorder="1" applyAlignment="1" applyProtection="1">
      <alignment vertical="center" wrapText="1"/>
      <protection locked="0"/>
    </xf>
    <xf numFmtId="0" fontId="7" fillId="11" borderId="0" xfId="0" applyFont="1" applyFill="1" applyAlignment="1">
      <alignment wrapText="1"/>
    </xf>
    <xf numFmtId="0" fontId="1" fillId="0" borderId="16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0" fillId="12" borderId="19" xfId="0" applyFill="1" applyBorder="1" applyAlignment="1" applyProtection="1">
      <alignment wrapText="1"/>
      <protection locked="0"/>
    </xf>
    <xf numFmtId="0" fontId="0" fillId="12" borderId="15" xfId="0" applyFill="1" applyBorder="1" applyAlignment="1" applyProtection="1">
      <alignment wrapText="1"/>
      <protection locked="0"/>
    </xf>
    <xf numFmtId="0" fontId="1" fillId="0" borderId="14" xfId="0" applyFont="1" applyBorder="1" applyAlignment="1">
      <alignment wrapText="1"/>
    </xf>
    <xf numFmtId="0" fontId="0" fillId="8" borderId="9" xfId="0" applyFill="1" applyBorder="1" applyAlignment="1" applyProtection="1">
      <alignment wrapText="1"/>
      <protection locked="0"/>
    </xf>
    <xf numFmtId="0" fontId="0" fillId="8" borderId="15" xfId="0" applyFill="1" applyBorder="1" applyAlignment="1" applyProtection="1">
      <alignment wrapText="1"/>
      <protection locked="0"/>
    </xf>
    <xf numFmtId="0" fontId="0" fillId="20" borderId="0" xfId="0" applyFill="1" applyAlignment="1">
      <alignment wrapText="1"/>
    </xf>
    <xf numFmtId="0" fontId="9" fillId="8" borderId="0" xfId="0" applyFont="1" applyFill="1" applyAlignment="1">
      <alignment wrapText="1"/>
    </xf>
    <xf numFmtId="0" fontId="0" fillId="0" borderId="0" xfId="0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1" fillId="0" borderId="0" xfId="0" applyFont="1" applyFill="1" applyBorder="1" applyAlignment="1" applyProtection="1">
      <alignment horizontal="center" wrapText="1"/>
      <protection locked="0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 applyProtection="1">
      <alignment wrapText="1"/>
      <protection locked="0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wrapText="1"/>
    </xf>
    <xf numFmtId="164" fontId="0" fillId="0" borderId="0" xfId="0" applyNumberFormat="1" applyFill="1" applyBorder="1" applyAlignment="1">
      <alignment wrapText="1"/>
    </xf>
    <xf numFmtId="164" fontId="1" fillId="0" borderId="0" xfId="0" applyNumberFormat="1" applyFont="1" applyFill="1" applyBorder="1" applyAlignment="1">
      <alignment wrapText="1"/>
    </xf>
    <xf numFmtId="10" fontId="0" fillId="0" borderId="0" xfId="0" applyNumberFormat="1" applyFill="1" applyBorder="1" applyAlignment="1">
      <alignment wrapText="1"/>
    </xf>
    <xf numFmtId="0" fontId="1" fillId="0" borderId="0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18" fontId="0" fillId="0" borderId="0" xfId="0" applyNumberFormat="1" applyFill="1" applyBorder="1"/>
    <xf numFmtId="18" fontId="0" fillId="0" borderId="0" xfId="0" applyNumberFormat="1" applyFill="1" applyBorder="1" applyProtection="1">
      <protection locked="0"/>
    </xf>
    <xf numFmtId="8" fontId="0" fillId="0" borderId="0" xfId="0" applyNumberFormat="1" applyFill="1" applyBorder="1" applyProtection="1">
      <protection locked="0"/>
    </xf>
    <xf numFmtId="20" fontId="0" fillId="0" borderId="0" xfId="0" applyNumberFormat="1" applyFill="1" applyBorder="1"/>
    <xf numFmtId="0" fontId="0" fillId="0" borderId="0" xfId="0" applyFill="1" applyBorder="1"/>
    <xf numFmtId="20" fontId="0" fillId="0" borderId="0" xfId="0" applyNumberFormat="1" applyFill="1" applyBorder="1" applyProtection="1">
      <protection locked="0"/>
    </xf>
    <xf numFmtId="0" fontId="1" fillId="0" borderId="0" xfId="0" applyFont="1" applyFill="1" applyBorder="1"/>
    <xf numFmtId="0" fontId="1" fillId="0" borderId="0" xfId="0" applyFont="1" applyFill="1" applyBorder="1" applyAlignment="1" applyProtection="1">
      <alignment wrapText="1"/>
      <protection locked="0"/>
    </xf>
    <xf numFmtId="18" fontId="1" fillId="0" borderId="0" xfId="0" applyNumberFormat="1" applyFont="1" applyFill="1" applyBorder="1" applyAlignment="1">
      <alignment wrapText="1"/>
    </xf>
    <xf numFmtId="18" fontId="1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Font="1" applyFill="1" applyBorder="1" applyAlignment="1" applyProtection="1">
      <alignment wrapText="1"/>
      <protection locked="0"/>
    </xf>
    <xf numFmtId="18" fontId="0" fillId="0" borderId="0" xfId="0" applyNumberFormat="1" applyFill="1" applyBorder="1" applyAlignment="1" applyProtection="1">
      <alignment wrapText="1"/>
      <protection locked="0"/>
    </xf>
    <xf numFmtId="0" fontId="0" fillId="0" borderId="0" xfId="0" applyNumberFormat="1" applyFill="1" applyBorder="1" applyAlignment="1" applyProtection="1">
      <alignment wrapText="1"/>
      <protection locked="0"/>
    </xf>
    <xf numFmtId="8" fontId="0" fillId="0" borderId="0" xfId="0" applyNumberFormat="1" applyFill="1" applyBorder="1" applyAlignment="1" applyProtection="1">
      <alignment wrapText="1"/>
      <protection locked="0"/>
    </xf>
    <xf numFmtId="18" fontId="0" fillId="0" borderId="0" xfId="0" applyNumberFormat="1" applyFill="1" applyBorder="1" applyAlignment="1">
      <alignment wrapText="1"/>
    </xf>
    <xf numFmtId="20" fontId="0" fillId="0" borderId="0" xfId="0" applyNumberFormat="1" applyFill="1" applyBorder="1" applyAlignment="1">
      <alignment wrapText="1"/>
    </xf>
    <xf numFmtId="0" fontId="1" fillId="18" borderId="27" xfId="0" applyFont="1" applyFill="1" applyBorder="1" applyAlignment="1">
      <alignment wrapText="1"/>
    </xf>
    <xf numFmtId="0" fontId="1" fillId="15" borderId="27" xfId="0" applyFont="1" applyFill="1" applyBorder="1" applyAlignment="1" applyProtection="1">
      <alignment wrapText="1"/>
      <protection locked="0"/>
    </xf>
    <xf numFmtId="0" fontId="0" fillId="3" borderId="27" xfId="0" applyFill="1" applyBorder="1" applyAlignment="1">
      <alignment wrapText="1"/>
    </xf>
    <xf numFmtId="0" fontId="1" fillId="0" borderId="21" xfId="0" applyFont="1" applyBorder="1"/>
    <xf numFmtId="0" fontId="1" fillId="0" borderId="5" xfId="0" applyFont="1" applyBorder="1"/>
    <xf numFmtId="0" fontId="1" fillId="0" borderId="8" xfId="0" applyFont="1" applyBorder="1"/>
    <xf numFmtId="0" fontId="0" fillId="0" borderId="0" xfId="0" applyBorder="1" applyAlignment="1">
      <alignment wrapText="1"/>
    </xf>
    <xf numFmtId="0" fontId="1" fillId="0" borderId="0" xfId="0" applyFont="1" applyBorder="1" applyProtection="1">
      <protection locked="0"/>
    </xf>
    <xf numFmtId="0" fontId="0" fillId="0" borderId="0" xfId="0" applyBorder="1"/>
    <xf numFmtId="0" fontId="1" fillId="0" borderId="0" xfId="0" applyFont="1" applyBorder="1" applyAlignment="1" applyProtection="1">
      <alignment wrapText="1"/>
      <protection locked="0"/>
    </xf>
    <xf numFmtId="0" fontId="10" fillId="0" borderId="0" xfId="0" applyFont="1" applyFill="1" applyAlignment="1">
      <alignment wrapText="1"/>
    </xf>
    <xf numFmtId="0" fontId="0" fillId="0" borderId="20" xfId="0" applyBorder="1" applyProtection="1">
      <protection locked="0"/>
    </xf>
    <xf numFmtId="0" fontId="0" fillId="0" borderId="23" xfId="0" applyBorder="1"/>
    <xf numFmtId="0" fontId="0" fillId="0" borderId="23" xfId="0" applyBorder="1" applyAlignment="1">
      <alignment wrapText="1"/>
    </xf>
    <xf numFmtId="0" fontId="0" fillId="0" borderId="25" xfId="0" applyBorder="1"/>
    <xf numFmtId="0" fontId="0" fillId="0" borderId="3" xfId="0" applyBorder="1"/>
    <xf numFmtId="0" fontId="0" fillId="0" borderId="11" xfId="0" applyBorder="1" applyProtection="1">
      <protection locked="0"/>
    </xf>
    <xf numFmtId="0" fontId="0" fillId="0" borderId="24" xfId="0" applyBorder="1" applyProtection="1">
      <protection locked="0"/>
    </xf>
    <xf numFmtId="0" fontId="0" fillId="0" borderId="26" xfId="0" applyBorder="1"/>
    <xf numFmtId="0" fontId="0" fillId="0" borderId="26" xfId="0" applyBorder="1" applyAlignment="1">
      <alignment wrapText="1"/>
    </xf>
    <xf numFmtId="0" fontId="0" fillId="0" borderId="26" xfId="0" applyFill="1" applyBorder="1"/>
    <xf numFmtId="0" fontId="0" fillId="0" borderId="1" xfId="0" applyBorder="1"/>
    <xf numFmtId="0" fontId="0" fillId="0" borderId="6" xfId="0" applyBorder="1"/>
    <xf numFmtId="0" fontId="1" fillId="0" borderId="21" xfId="0" applyFont="1" applyBorder="1" applyProtection="1">
      <protection locked="0"/>
    </xf>
    <xf numFmtId="0" fontId="1" fillId="0" borderId="21" xfId="0" applyFont="1" applyBorder="1" applyAlignment="1">
      <alignment wrapText="1"/>
    </xf>
    <xf numFmtId="0" fontId="0" fillId="0" borderId="5" xfId="0" applyBorder="1"/>
    <xf numFmtId="0" fontId="7" fillId="3" borderId="0" xfId="0" applyFont="1" applyFill="1" applyAlignment="1" applyProtection="1">
      <alignment wrapText="1"/>
      <protection locked="0"/>
    </xf>
    <xf numFmtId="0" fontId="0" fillId="0" borderId="0" xfId="0" applyFill="1" applyBorder="1" applyAlignment="1">
      <alignment horizontal="center" wrapText="1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18" xfId="0" applyFill="1" applyBorder="1" applyAlignment="1" applyProtection="1">
      <alignment horizontal="center" vertical="center" wrapText="1"/>
      <protection locked="0"/>
    </xf>
    <xf numFmtId="0" fontId="0" fillId="0" borderId="15" xfId="0" applyFill="1" applyBorder="1" applyAlignment="1" applyProtection="1">
      <alignment horizontal="center" vertical="center" wrapText="1"/>
      <protection locked="0"/>
    </xf>
    <xf numFmtId="0" fontId="0" fillId="0" borderId="17" xfId="0" applyFill="1" applyBorder="1" applyAlignment="1" applyProtection="1">
      <alignment horizontal="center" vertical="center" wrapText="1"/>
      <protection locked="0"/>
    </xf>
    <xf numFmtId="0" fontId="8" fillId="0" borderId="0" xfId="0" applyFont="1" applyFill="1" applyBorder="1" applyAlignment="1">
      <alignment horizontal="center" wrapText="1"/>
    </xf>
    <xf numFmtId="0" fontId="13" fillId="0" borderId="0" xfId="0" applyFont="1" applyAlignment="1">
      <alignment wrapText="1"/>
    </xf>
    <xf numFmtId="0" fontId="1" fillId="18" borderId="28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15" fontId="1" fillId="18" borderId="27" xfId="0" applyNumberFormat="1" applyFont="1" applyFill="1" applyBorder="1" applyAlignment="1">
      <alignment wrapText="1"/>
    </xf>
    <xf numFmtId="0" fontId="1" fillId="0" borderId="27" xfId="0" applyFont="1" applyFill="1" applyBorder="1" applyAlignment="1" applyProtection="1">
      <alignment wrapText="1"/>
      <protection locked="0"/>
    </xf>
    <xf numFmtId="0" fontId="1" fillId="0" borderId="27" xfId="0" applyFont="1" applyFill="1" applyBorder="1" applyAlignment="1">
      <alignment wrapText="1"/>
    </xf>
    <xf numFmtId="0" fontId="0" fillId="0" borderId="27" xfId="0" applyFill="1" applyBorder="1" applyAlignment="1">
      <alignment wrapText="1"/>
    </xf>
    <xf numFmtId="15" fontId="1" fillId="18" borderId="0" xfId="0" applyNumberFormat="1" applyFont="1" applyFill="1" applyBorder="1" applyAlignment="1">
      <alignment wrapText="1"/>
    </xf>
    <xf numFmtId="15" fontId="1" fillId="18" borderId="31" xfId="0" applyNumberFormat="1" applyFont="1" applyFill="1" applyBorder="1" applyAlignment="1">
      <alignment wrapText="1"/>
    </xf>
    <xf numFmtId="0" fontId="1" fillId="0" borderId="31" xfId="0" applyFont="1" applyFill="1" applyBorder="1" applyAlignment="1" applyProtection="1">
      <alignment wrapText="1"/>
      <protection locked="0"/>
    </xf>
    <xf numFmtId="0" fontId="1" fillId="0" borderId="31" xfId="0" applyFont="1" applyFill="1" applyBorder="1" applyAlignment="1">
      <alignment wrapText="1"/>
    </xf>
    <xf numFmtId="0" fontId="0" fillId="0" borderId="31" xfId="0" applyFill="1" applyBorder="1" applyAlignment="1">
      <alignment wrapText="1"/>
    </xf>
    <xf numFmtId="0" fontId="0" fillId="0" borderId="9" xfId="0" applyBorder="1"/>
    <xf numFmtId="0" fontId="1" fillId="18" borderId="9" xfId="0" applyFont="1" applyFill="1" applyBorder="1" applyAlignment="1">
      <alignment wrapText="1"/>
    </xf>
    <xf numFmtId="0" fontId="1" fillId="15" borderId="9" xfId="0" applyFont="1" applyFill="1" applyBorder="1" applyAlignment="1" applyProtection="1">
      <alignment wrapText="1"/>
      <protection locked="0"/>
    </xf>
    <xf numFmtId="0" fontId="0" fillId="0" borderId="15" xfId="0" applyBorder="1"/>
    <xf numFmtId="0" fontId="1" fillId="18" borderId="15" xfId="0" applyFont="1" applyFill="1" applyBorder="1" applyAlignment="1">
      <alignment wrapText="1"/>
    </xf>
    <xf numFmtId="0" fontId="1" fillId="18" borderId="27" xfId="0" applyFont="1" applyFill="1" applyBorder="1" applyAlignment="1">
      <alignment horizontal="center" wrapText="1"/>
    </xf>
    <xf numFmtId="0" fontId="0" fillId="0" borderId="18" xfId="0" applyFill="1" applyBorder="1" applyAlignment="1" applyProtection="1">
      <alignment horizontal="center" vertical="center" wrapText="1"/>
      <protection locked="0"/>
    </xf>
    <xf numFmtId="0" fontId="0" fillId="8" borderId="15" xfId="0" applyFill="1" applyBorder="1" applyAlignment="1" applyProtection="1">
      <alignment horizontal="center" wrapText="1"/>
      <protection locked="0"/>
    </xf>
    <xf numFmtId="0" fontId="0" fillId="0" borderId="15" xfId="0" applyFill="1" applyBorder="1" applyAlignment="1">
      <alignment horizontal="center" wrapText="1"/>
    </xf>
    <xf numFmtId="0" fontId="0" fillId="8" borderId="15" xfId="0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horizontal="center" wrapText="1"/>
    </xf>
    <xf numFmtId="0" fontId="15" fillId="21" borderId="0" xfId="1" applyFont="1" applyFill="1" applyAlignment="1">
      <alignment horizontal="left"/>
    </xf>
    <xf numFmtId="49" fontId="16" fillId="22" borderId="36" xfId="1" applyNumberFormat="1" applyFont="1" applyFill="1" applyBorder="1" applyAlignment="1">
      <alignment horizontal="center" vertical="center" wrapText="1"/>
    </xf>
    <xf numFmtId="165" fontId="17" fillId="21" borderId="37" xfId="1" applyNumberFormat="1" applyFont="1" applyFill="1" applyBorder="1" applyAlignment="1">
      <alignment horizontal="center" vertical="top"/>
    </xf>
    <xf numFmtId="49" fontId="17" fillId="21" borderId="37" xfId="1" applyNumberFormat="1" applyFont="1" applyFill="1" applyBorder="1" applyAlignment="1">
      <alignment horizontal="left" vertical="top" wrapText="1"/>
    </xf>
    <xf numFmtId="49" fontId="17" fillId="21" borderId="37" xfId="1" applyNumberFormat="1" applyFont="1" applyFill="1" applyBorder="1" applyAlignment="1">
      <alignment horizontal="center" vertical="top"/>
    </xf>
    <xf numFmtId="49" fontId="17" fillId="21" borderId="37" xfId="1" applyNumberFormat="1" applyFont="1" applyFill="1" applyBorder="1" applyAlignment="1">
      <alignment horizontal="left" vertical="center"/>
    </xf>
    <xf numFmtId="49" fontId="17" fillId="21" borderId="37" xfId="1" applyNumberFormat="1" applyFont="1" applyFill="1" applyBorder="1" applyAlignment="1">
      <alignment horizontal="center" vertical="center"/>
    </xf>
    <xf numFmtId="49" fontId="17" fillId="21" borderId="37" xfId="1" applyNumberFormat="1" applyFont="1" applyFill="1" applyBorder="1" applyAlignment="1">
      <alignment horizontal="left" wrapText="1"/>
    </xf>
    <xf numFmtId="2" fontId="17" fillId="21" borderId="37" xfId="1" applyNumberFormat="1" applyFont="1" applyFill="1" applyBorder="1" applyAlignment="1">
      <alignment horizontal="center"/>
    </xf>
    <xf numFmtId="166" fontId="17" fillId="21" borderId="37" xfId="1" applyNumberFormat="1" applyFont="1" applyFill="1" applyBorder="1" applyAlignment="1">
      <alignment horizontal="right"/>
    </xf>
    <xf numFmtId="0" fontId="14" fillId="0" borderId="0" xfId="1"/>
    <xf numFmtId="2" fontId="0" fillId="0" borderId="0" xfId="0" applyNumberFormat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9" fillId="17" borderId="0" xfId="0" applyFont="1" applyFill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7" borderId="9" xfId="0" applyFill="1" applyBorder="1" applyAlignment="1" applyProtection="1">
      <alignment horizontal="center" wrapText="1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7" fillId="11" borderId="0" xfId="0" applyFont="1" applyFill="1" applyAlignment="1">
      <alignment horizontal="center" wrapText="1"/>
    </xf>
    <xf numFmtId="0" fontId="0" fillId="8" borderId="9" xfId="0" applyFill="1" applyBorder="1" applyAlignment="1" applyProtection="1">
      <alignment horizontal="center" wrapText="1"/>
      <protection locked="0"/>
    </xf>
    <xf numFmtId="0" fontId="0" fillId="0" borderId="15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Fill="1" applyAlignment="1">
      <alignment horizontal="center" wrapText="1"/>
    </xf>
    <xf numFmtId="0" fontId="1" fillId="23" borderId="27" xfId="0" applyFont="1" applyFill="1" applyBorder="1"/>
    <xf numFmtId="2" fontId="1" fillId="23" borderId="27" xfId="0" applyNumberFormat="1" applyFont="1" applyFill="1" applyBorder="1"/>
    <xf numFmtId="0" fontId="6" fillId="0" borderId="0" xfId="0" applyFont="1" applyFill="1" applyBorder="1"/>
    <xf numFmtId="8" fontId="4" fillId="0" borderId="0" xfId="0" applyNumberFormat="1" applyFont="1" applyFill="1" applyAlignment="1" applyProtection="1">
      <alignment wrapText="1"/>
      <protection locked="0"/>
    </xf>
    <xf numFmtId="2" fontId="1" fillId="4" borderId="0" xfId="0" applyNumberFormat="1" applyFont="1" applyFill="1" applyAlignment="1" applyProtection="1">
      <alignment wrapText="1"/>
      <protection locked="0"/>
    </xf>
    <xf numFmtId="20" fontId="2" fillId="0" borderId="0" xfId="0" applyNumberFormat="1" applyFont="1" applyFill="1" applyAlignment="1" applyProtection="1">
      <alignment wrapText="1"/>
      <protection locked="0"/>
    </xf>
    <xf numFmtId="0" fontId="2" fillId="0" borderId="0" xfId="0" applyFont="1" applyFill="1" applyAlignment="1" applyProtection="1">
      <alignment wrapText="1"/>
      <protection locked="0"/>
    </xf>
    <xf numFmtId="8" fontId="2" fillId="0" borderId="0" xfId="0" applyNumberFormat="1" applyFont="1" applyFill="1" applyAlignment="1" applyProtection="1">
      <alignment wrapText="1"/>
      <protection locked="0"/>
    </xf>
    <xf numFmtId="0" fontId="1" fillId="26" borderId="0" xfId="0" applyFont="1" applyFill="1" applyAlignment="1">
      <alignment wrapText="1"/>
    </xf>
    <xf numFmtId="2" fontId="1" fillId="26" borderId="0" xfId="0" applyNumberFormat="1" applyFont="1" applyFill="1" applyAlignment="1">
      <alignment wrapText="1"/>
    </xf>
    <xf numFmtId="2" fontId="0" fillId="14" borderId="0" xfId="0" applyNumberFormat="1" applyFill="1" applyAlignment="1">
      <alignment wrapText="1"/>
    </xf>
    <xf numFmtId="2" fontId="1" fillId="27" borderId="0" xfId="0" applyNumberFormat="1" applyFont="1" applyFill="1" applyAlignment="1">
      <alignment wrapText="1"/>
    </xf>
    <xf numFmtId="2" fontId="1" fillId="15" borderId="0" xfId="0" applyNumberFormat="1" applyFont="1" applyFill="1" applyAlignment="1" applyProtection="1">
      <alignment wrapText="1"/>
      <protection locked="0"/>
    </xf>
    <xf numFmtId="15" fontId="1" fillId="18" borderId="0" xfId="0" applyNumberFormat="1" applyFont="1" applyFill="1" applyAlignment="1">
      <alignment wrapText="1"/>
    </xf>
    <xf numFmtId="2" fontId="1" fillId="0" borderId="0" xfId="0" applyNumberFormat="1" applyFont="1" applyFill="1" applyAlignment="1">
      <alignment wrapText="1"/>
    </xf>
    <xf numFmtId="165" fontId="17" fillId="21" borderId="38" xfId="1" applyNumberFormat="1" applyFont="1" applyFill="1" applyBorder="1" applyAlignment="1">
      <alignment horizontal="center" vertical="top"/>
    </xf>
    <xf numFmtId="49" fontId="17" fillId="21" borderId="39" xfId="1" applyNumberFormat="1" applyFont="1" applyFill="1" applyBorder="1" applyAlignment="1">
      <alignment horizontal="left" vertical="center"/>
    </xf>
    <xf numFmtId="49" fontId="17" fillId="21" borderId="39" xfId="1" applyNumberFormat="1" applyFont="1" applyFill="1" applyBorder="1" applyAlignment="1">
      <alignment horizontal="left" wrapText="1"/>
    </xf>
    <xf numFmtId="2" fontId="17" fillId="21" borderId="39" xfId="1" applyNumberFormat="1" applyFont="1" applyFill="1" applyBorder="1" applyAlignment="1">
      <alignment horizontal="center"/>
    </xf>
    <xf numFmtId="166" fontId="17" fillId="21" borderId="40" xfId="1" applyNumberFormat="1" applyFont="1" applyFill="1" applyBorder="1" applyAlignment="1">
      <alignment horizontal="right"/>
    </xf>
    <xf numFmtId="2" fontId="1" fillId="14" borderId="27" xfId="0" applyNumberFormat="1" applyFont="1" applyFill="1" applyBorder="1" applyAlignment="1">
      <alignment wrapText="1"/>
    </xf>
    <xf numFmtId="2" fontId="1" fillId="14" borderId="0" xfId="0" applyNumberFormat="1" applyFont="1" applyFill="1" applyBorder="1" applyAlignment="1">
      <alignment wrapText="1"/>
    </xf>
    <xf numFmtId="0" fontId="0" fillId="0" borderId="30" xfId="0" applyFill="1" applyBorder="1" applyAlignment="1">
      <alignment wrapText="1"/>
    </xf>
    <xf numFmtId="0" fontId="0" fillId="0" borderId="35" xfId="0" applyFill="1" applyBorder="1" applyAlignment="1">
      <alignment wrapText="1"/>
    </xf>
    <xf numFmtId="0" fontId="1" fillId="0" borderId="15" xfId="0" applyFont="1" applyFill="1" applyBorder="1" applyAlignment="1" applyProtection="1">
      <alignment wrapText="1"/>
      <protection locked="0"/>
    </xf>
    <xf numFmtId="0" fontId="1" fillId="0" borderId="15" xfId="0" applyFont="1" applyFill="1" applyBorder="1" applyAlignment="1">
      <alignment wrapText="1"/>
    </xf>
    <xf numFmtId="165" fontId="18" fillId="21" borderId="38" xfId="1" applyNumberFormat="1" applyFont="1" applyFill="1" applyBorder="1" applyAlignment="1">
      <alignment vertical="top"/>
    </xf>
    <xf numFmtId="165" fontId="18" fillId="21" borderId="39" xfId="1" applyNumberFormat="1" applyFont="1" applyFill="1" applyBorder="1" applyAlignment="1">
      <alignment vertical="top"/>
    </xf>
    <xf numFmtId="165" fontId="18" fillId="21" borderId="40" xfId="1" applyNumberFormat="1" applyFont="1" applyFill="1" applyBorder="1" applyAlignment="1">
      <alignment vertical="top"/>
    </xf>
    <xf numFmtId="0" fontId="1" fillId="23" borderId="0" xfId="0" applyFont="1" applyFill="1" applyAlignment="1">
      <alignment wrapText="1"/>
    </xf>
    <xf numFmtId="2" fontId="1" fillId="23" borderId="0" xfId="0" applyNumberFormat="1" applyFont="1" applyFill="1" applyAlignment="1">
      <alignment wrapText="1"/>
    </xf>
    <xf numFmtId="2" fontId="0" fillId="0" borderId="0" xfId="0" applyNumberFormat="1" applyFont="1" applyFill="1" applyAlignment="1" applyProtection="1">
      <alignment wrapText="1"/>
      <protection locked="0"/>
    </xf>
    <xf numFmtId="20" fontId="0" fillId="28" borderId="0" xfId="0" applyNumberFormat="1" applyFill="1" applyAlignment="1">
      <alignment wrapText="1"/>
    </xf>
    <xf numFmtId="0" fontId="0" fillId="28" borderId="0" xfId="0" applyFill="1" applyAlignment="1">
      <alignment wrapText="1"/>
    </xf>
    <xf numFmtId="0" fontId="0" fillId="0" borderId="0" xfId="0" applyFont="1" applyFill="1" applyAlignment="1" applyProtection="1">
      <alignment wrapText="1"/>
      <protection locked="0"/>
    </xf>
    <xf numFmtId="165" fontId="18" fillId="21" borderId="0" xfId="1" applyNumberFormat="1" applyFont="1" applyFill="1" applyBorder="1" applyAlignment="1">
      <alignment horizontal="center" vertical="top"/>
    </xf>
    <xf numFmtId="49" fontId="16" fillId="22" borderId="42" xfId="1" applyNumberFormat="1" applyFont="1" applyFill="1" applyBorder="1" applyAlignment="1">
      <alignment horizontal="center" vertical="center" wrapText="1"/>
    </xf>
    <xf numFmtId="166" fontId="17" fillId="21" borderId="38" xfId="1" applyNumberFormat="1" applyFont="1" applyFill="1" applyBorder="1" applyAlignment="1">
      <alignment horizontal="right"/>
    </xf>
    <xf numFmtId="0" fontId="0" fillId="14" borderId="0" xfId="0" applyFill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 applyFill="1" applyAlignment="1">
      <alignment wrapText="1"/>
    </xf>
    <xf numFmtId="0" fontId="19" fillId="0" borderId="27" xfId="0" applyFont="1" applyFill="1" applyBorder="1" applyAlignment="1">
      <alignment horizontal="center" wrapText="1"/>
    </xf>
    <xf numFmtId="2" fontId="20" fillId="27" borderId="0" xfId="0" applyNumberFormat="1" applyFont="1" applyFill="1" applyAlignment="1">
      <alignment wrapText="1"/>
    </xf>
    <xf numFmtId="0" fontId="19" fillId="0" borderId="41" xfId="0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0" fontId="1" fillId="0" borderId="21" xfId="0" applyFont="1" applyBorder="1" applyAlignment="1" applyProtection="1">
      <alignment horizontal="center"/>
      <protection locked="0"/>
    </xf>
    <xf numFmtId="0" fontId="0" fillId="0" borderId="16" xfId="0" applyBorder="1" applyAlignment="1">
      <alignment horizontal="center" wrapText="1"/>
    </xf>
    <xf numFmtId="0" fontId="1" fillId="0" borderId="43" xfId="0" applyFont="1" applyBorder="1" applyAlignment="1">
      <alignment wrapText="1"/>
    </xf>
    <xf numFmtId="0" fontId="0" fillId="0" borderId="27" xfId="0" applyBorder="1"/>
    <xf numFmtId="0" fontId="0" fillId="8" borderId="27" xfId="0" applyFill="1" applyBorder="1"/>
    <xf numFmtId="0" fontId="0" fillId="20" borderId="27" xfId="0" applyFill="1" applyBorder="1" applyAlignment="1">
      <alignment wrapText="1"/>
    </xf>
    <xf numFmtId="0" fontId="0" fillId="24" borderId="27" xfId="0" applyFill="1" applyBorder="1" applyAlignment="1">
      <alignment wrapText="1"/>
    </xf>
    <xf numFmtId="0" fontId="0" fillId="24" borderId="27" xfId="0" applyFill="1" applyBorder="1"/>
    <xf numFmtId="0" fontId="1" fillId="0" borderId="26" xfId="0" applyFont="1" applyBorder="1" applyAlignment="1" applyProtection="1">
      <alignment horizontal="center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18" xfId="0" applyFill="1" applyBorder="1" applyAlignment="1" applyProtection="1">
      <alignment horizontal="center" vertical="center" wrapText="1"/>
      <protection locked="0"/>
    </xf>
    <xf numFmtId="0" fontId="0" fillId="0" borderId="15" xfId="0" applyFill="1" applyBorder="1" applyAlignment="1" applyProtection="1">
      <alignment horizontal="center" vertical="center" wrapText="1"/>
      <protection locked="0"/>
    </xf>
    <xf numFmtId="0" fontId="0" fillId="0" borderId="17" xfId="0" applyFill="1" applyBorder="1" applyAlignment="1" applyProtection="1">
      <alignment horizontal="center" vertical="center" wrapText="1"/>
      <protection locked="0"/>
    </xf>
    <xf numFmtId="0" fontId="7" fillId="11" borderId="0" xfId="0" applyFont="1" applyFill="1" applyAlignment="1">
      <alignment horizontal="center" wrapText="1"/>
    </xf>
    <xf numFmtId="0" fontId="0" fillId="8" borderId="9" xfId="0" applyFill="1" applyBorder="1" applyAlignment="1" applyProtection="1">
      <alignment horizontal="center" wrapText="1"/>
      <protection locked="0"/>
    </xf>
    <xf numFmtId="0" fontId="0" fillId="0" borderId="15" xfId="0" applyFill="1" applyBorder="1" applyAlignment="1">
      <alignment horizontal="center" wrapText="1"/>
    </xf>
    <xf numFmtId="0" fontId="0" fillId="8" borderId="15" xfId="0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49" fontId="24" fillId="21" borderId="37" xfId="1" applyNumberFormat="1" applyFont="1" applyFill="1" applyBorder="1" applyAlignment="1">
      <alignment horizontal="left" vertical="center"/>
    </xf>
    <xf numFmtId="49" fontId="24" fillId="21" borderId="37" xfId="1" applyNumberFormat="1" applyFont="1" applyFill="1" applyBorder="1" applyAlignment="1">
      <alignment horizontal="right" vertical="center"/>
    </xf>
    <xf numFmtId="0" fontId="24" fillId="21" borderId="37" xfId="1" applyFont="1" applyFill="1" applyBorder="1" applyAlignment="1">
      <alignment horizontal="left" vertical="center"/>
    </xf>
    <xf numFmtId="49" fontId="25" fillId="21" borderId="37" xfId="1" applyNumberFormat="1" applyFont="1" applyFill="1" applyBorder="1" applyAlignment="1">
      <alignment horizontal="right" vertical="center"/>
    </xf>
    <xf numFmtId="49" fontId="25" fillId="21" borderId="37" xfId="1" applyNumberFormat="1" applyFont="1" applyFill="1" applyBorder="1" applyAlignment="1">
      <alignment horizontal="left" vertical="center"/>
    </xf>
    <xf numFmtId="49" fontId="24" fillId="21" borderId="37" xfId="1" applyNumberFormat="1" applyFont="1" applyFill="1" applyBorder="1" applyAlignment="1">
      <alignment horizontal="center" vertical="center"/>
    </xf>
    <xf numFmtId="49" fontId="24" fillId="21" borderId="37" xfId="1" applyNumberFormat="1" applyFont="1" applyFill="1" applyBorder="1" applyAlignment="1">
      <alignment horizontal="center" vertical="center" wrapText="1"/>
    </xf>
    <xf numFmtId="166" fontId="24" fillId="21" borderId="37" xfId="1" applyNumberFormat="1" applyFont="1" applyFill="1" applyBorder="1" applyAlignment="1">
      <alignment horizontal="right" vertical="center"/>
    </xf>
    <xf numFmtId="166" fontId="15" fillId="21" borderId="0" xfId="1" applyNumberFormat="1" applyFont="1" applyFill="1" applyAlignment="1">
      <alignment horizontal="left"/>
    </xf>
    <xf numFmtId="2" fontId="15" fillId="21" borderId="0" xfId="1" applyNumberFormat="1" applyFont="1" applyFill="1" applyAlignment="1">
      <alignment horizontal="left"/>
    </xf>
    <xf numFmtId="0" fontId="1" fillId="0" borderId="3" xfId="0" applyFont="1" applyFill="1" applyBorder="1"/>
    <xf numFmtId="0" fontId="1" fillId="29" borderId="0" xfId="0" applyFont="1" applyFill="1" applyAlignment="1" applyProtection="1">
      <alignment wrapText="1"/>
      <protection locked="0"/>
    </xf>
    <xf numFmtId="0" fontId="26" fillId="0" borderId="9" xfId="0" applyFont="1" applyBorder="1" applyAlignment="1">
      <alignment wrapText="1"/>
    </xf>
    <xf numFmtId="0" fontId="26" fillId="0" borderId="0" xfId="0" applyFont="1" applyBorder="1" applyAlignment="1">
      <alignment wrapText="1"/>
    </xf>
    <xf numFmtId="15" fontId="1" fillId="0" borderId="27" xfId="0" applyNumberFormat="1" applyFont="1" applyFill="1" applyBorder="1" applyAlignment="1">
      <alignment wrapText="1"/>
    </xf>
    <xf numFmtId="0" fontId="26" fillId="0" borderId="15" xfId="0" applyFont="1" applyBorder="1" applyAlignment="1">
      <alignment wrapText="1"/>
    </xf>
    <xf numFmtId="2" fontId="0" fillId="0" borderId="27" xfId="0" applyNumberFormat="1" applyBorder="1"/>
    <xf numFmtId="167" fontId="0" fillId="0" borderId="0" xfId="0" applyNumberFormat="1" applyFill="1" applyAlignment="1">
      <alignment wrapText="1"/>
    </xf>
    <xf numFmtId="0" fontId="0" fillId="0" borderId="0" xfId="0" applyNumberFormat="1" applyFill="1" applyAlignment="1">
      <alignment wrapText="1"/>
    </xf>
    <xf numFmtId="2" fontId="1" fillId="29" borderId="0" xfId="0" applyNumberFormat="1" applyFont="1" applyFill="1" applyAlignment="1">
      <alignment wrapText="1"/>
    </xf>
    <xf numFmtId="2" fontId="1" fillId="30" borderId="0" xfId="0" applyNumberFormat="1" applyFont="1" applyFill="1" applyAlignment="1">
      <alignment wrapText="1"/>
    </xf>
    <xf numFmtId="2" fontId="1" fillId="15" borderId="0" xfId="0" applyNumberFormat="1" applyFont="1" applyFill="1" applyAlignment="1">
      <alignment wrapText="1"/>
    </xf>
    <xf numFmtId="2" fontId="1" fillId="31" borderId="0" xfId="0" applyNumberFormat="1" applyFont="1" applyFill="1" applyAlignment="1">
      <alignment wrapText="1"/>
    </xf>
    <xf numFmtId="0" fontId="0" fillId="20" borderId="0" xfId="0" applyFill="1" applyAlignment="1">
      <alignment horizontal="center" wrapText="1"/>
    </xf>
    <xf numFmtId="0" fontId="9" fillId="20" borderId="0" xfId="0" applyFont="1" applyFill="1" applyAlignment="1">
      <alignment wrapText="1"/>
    </xf>
    <xf numFmtId="0" fontId="1" fillId="20" borderId="0" xfId="0" applyFont="1" applyFill="1" applyAlignment="1" applyProtection="1">
      <alignment wrapText="1"/>
      <protection locked="0"/>
    </xf>
    <xf numFmtId="0" fontId="0" fillId="20" borderId="0" xfId="0" applyFill="1" applyAlignment="1" applyProtection="1">
      <alignment wrapText="1"/>
      <protection locked="0"/>
    </xf>
    <xf numFmtId="18" fontId="0" fillId="20" borderId="0" xfId="0" applyNumberFormat="1" applyFill="1" applyAlignment="1" applyProtection="1">
      <alignment wrapText="1"/>
      <protection locked="0"/>
    </xf>
    <xf numFmtId="8" fontId="0" fillId="20" borderId="0" xfId="0" applyNumberFormat="1" applyFill="1" applyAlignment="1" applyProtection="1">
      <alignment wrapText="1"/>
      <protection locked="0"/>
    </xf>
    <xf numFmtId="0" fontId="1" fillId="20" borderId="0" xfId="0" applyFont="1" applyFill="1" applyAlignment="1">
      <alignment wrapText="1"/>
    </xf>
    <xf numFmtId="18" fontId="0" fillId="20" borderId="0" xfId="0" applyNumberFormat="1" applyFill="1" applyAlignment="1">
      <alignment wrapText="1"/>
    </xf>
    <xf numFmtId="20" fontId="0" fillId="20" borderId="0" xfId="0" applyNumberFormat="1" applyFill="1" applyAlignment="1">
      <alignment wrapText="1"/>
    </xf>
    <xf numFmtId="20" fontId="0" fillId="20" borderId="0" xfId="0" applyNumberFormat="1" applyFill="1" applyAlignment="1" applyProtection="1">
      <alignment wrapText="1"/>
      <protection locked="0"/>
    </xf>
    <xf numFmtId="0" fontId="4" fillId="20" borderId="0" xfId="0" applyFont="1" applyFill="1" applyAlignment="1">
      <alignment wrapText="1"/>
    </xf>
    <xf numFmtId="8" fontId="4" fillId="20" borderId="0" xfId="0" applyNumberFormat="1" applyFont="1" applyFill="1" applyAlignment="1" applyProtection="1">
      <alignment wrapText="1"/>
      <protection locked="0"/>
    </xf>
    <xf numFmtId="14" fontId="0" fillId="0" borderId="0" xfId="0" applyNumberFormat="1" applyAlignment="1">
      <alignment wrapText="1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vertical="center" wrapText="1"/>
    </xf>
    <xf numFmtId="0" fontId="6" fillId="20" borderId="0" xfId="0" applyFont="1" applyFill="1" applyAlignment="1">
      <alignment wrapText="1"/>
    </xf>
    <xf numFmtId="0" fontId="21" fillId="17" borderId="0" xfId="0" applyFont="1" applyFill="1" applyAlignment="1">
      <alignment wrapText="1"/>
    </xf>
    <xf numFmtId="0" fontId="21" fillId="20" borderId="0" xfId="0" applyFont="1" applyFill="1" applyAlignment="1">
      <alignment wrapText="1"/>
    </xf>
    <xf numFmtId="0" fontId="0" fillId="20" borderId="0" xfId="0" applyNumberFormat="1" applyFill="1" applyAlignment="1" applyProtection="1">
      <alignment wrapText="1"/>
      <protection locked="0"/>
    </xf>
    <xf numFmtId="0" fontId="29" fillId="0" borderId="0" xfId="0" applyFont="1" applyAlignment="1">
      <alignment wrapText="1"/>
    </xf>
    <xf numFmtId="2" fontId="30" fillId="23" borderId="0" xfId="0" applyNumberFormat="1" applyFont="1" applyFill="1" applyAlignment="1">
      <alignment wrapText="1"/>
    </xf>
    <xf numFmtId="20" fontId="5" fillId="20" borderId="0" xfId="0" applyNumberFormat="1" applyFont="1" applyFill="1" applyAlignment="1" applyProtection="1">
      <alignment wrapText="1"/>
      <protection locked="0"/>
    </xf>
    <xf numFmtId="0" fontId="5" fillId="20" borderId="0" xfId="0" applyNumberFormat="1" applyFont="1" applyFill="1" applyAlignment="1" applyProtection="1">
      <alignment wrapText="1"/>
      <protection locked="0"/>
    </xf>
    <xf numFmtId="8" fontId="5" fillId="20" borderId="0" xfId="0" applyNumberFormat="1" applyFont="1" applyFill="1" applyAlignment="1" applyProtection="1">
      <alignment wrapText="1"/>
      <protection locked="0"/>
    </xf>
    <xf numFmtId="0" fontId="5" fillId="20" borderId="0" xfId="0" applyFont="1" applyFill="1" applyAlignment="1" applyProtection="1">
      <alignment wrapText="1"/>
      <protection locked="0"/>
    </xf>
    <xf numFmtId="0" fontId="1" fillId="3" borderId="0" xfId="0" applyFont="1" applyFill="1" applyAlignment="1">
      <alignment wrapText="1"/>
    </xf>
    <xf numFmtId="0" fontId="1" fillId="9" borderId="0" xfId="0" applyNumberFormat="1" applyFont="1" applyFill="1" applyAlignment="1" applyProtection="1">
      <alignment wrapText="1"/>
      <protection locked="0"/>
    </xf>
    <xf numFmtId="2" fontId="1" fillId="20" borderId="0" xfId="0" applyNumberFormat="1" applyFont="1" applyFill="1" applyAlignment="1">
      <alignment wrapText="1"/>
    </xf>
    <xf numFmtId="0" fontId="11" fillId="0" borderId="0" xfId="0" applyFont="1" applyFill="1" applyAlignment="1">
      <alignment wrapText="1"/>
    </xf>
    <xf numFmtId="18" fontId="5" fillId="0" borderId="0" xfId="0" applyNumberFormat="1" applyFont="1" applyFill="1" applyAlignment="1">
      <alignment wrapText="1"/>
    </xf>
    <xf numFmtId="18" fontId="5" fillId="0" borderId="0" xfId="0" applyNumberFormat="1" applyFont="1" applyFill="1" applyAlignment="1" applyProtection="1">
      <alignment wrapText="1"/>
      <protection locked="0"/>
    </xf>
    <xf numFmtId="0" fontId="5" fillId="0" borderId="0" xfId="0" applyFont="1" applyFill="1" applyAlignment="1">
      <alignment wrapText="1"/>
    </xf>
    <xf numFmtId="0" fontId="4" fillId="0" borderId="0" xfId="0" applyFont="1" applyFill="1" applyAlignment="1" applyProtection="1">
      <alignment wrapText="1"/>
      <protection locked="0"/>
    </xf>
    <xf numFmtId="0" fontId="21" fillId="0" borderId="0" xfId="0" applyFont="1" applyFill="1" applyAlignment="1">
      <alignment wrapText="1"/>
    </xf>
    <xf numFmtId="0" fontId="1" fillId="3" borderId="0" xfId="0" applyFont="1" applyFill="1" applyAlignment="1" applyProtection="1">
      <alignment wrapText="1"/>
      <protection locked="0"/>
    </xf>
    <xf numFmtId="18" fontId="0" fillId="3" borderId="0" xfId="0" applyNumberFormat="1" applyFill="1" applyAlignment="1">
      <alignment wrapText="1"/>
    </xf>
    <xf numFmtId="18" fontId="0" fillId="3" borderId="0" xfId="0" applyNumberFormat="1" applyFill="1" applyAlignment="1" applyProtection="1">
      <alignment wrapText="1"/>
      <protection locked="0"/>
    </xf>
    <xf numFmtId="8" fontId="0" fillId="3" borderId="0" xfId="0" applyNumberFormat="1" applyFill="1" applyAlignment="1" applyProtection="1">
      <alignment wrapText="1"/>
      <protection locked="0"/>
    </xf>
    <xf numFmtId="20" fontId="0" fillId="3" borderId="0" xfId="0" applyNumberFormat="1" applyFill="1" applyAlignment="1">
      <alignment wrapText="1"/>
    </xf>
    <xf numFmtId="20" fontId="0" fillId="3" borderId="0" xfId="0" applyNumberFormat="1" applyFill="1" applyAlignment="1" applyProtection="1">
      <alignment wrapText="1"/>
      <protection locked="0"/>
    </xf>
    <xf numFmtId="2" fontId="12" fillId="23" borderId="0" xfId="0" applyNumberFormat="1" applyFont="1" applyFill="1" applyAlignment="1">
      <alignment wrapText="1"/>
    </xf>
    <xf numFmtId="2" fontId="32" fillId="8" borderId="0" xfId="0" applyNumberFormat="1" applyFont="1" applyFill="1" applyAlignment="1">
      <alignment wrapText="1"/>
    </xf>
    <xf numFmtId="0" fontId="33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left" wrapText="1"/>
    </xf>
    <xf numFmtId="0" fontId="34" fillId="0" borderId="0" xfId="0" applyNumberFormat="1" applyFont="1" applyAlignment="1">
      <alignment horizontal="left"/>
    </xf>
    <xf numFmtId="0" fontId="33" fillId="4" borderId="0" xfId="0" applyNumberFormat="1" applyFont="1" applyFill="1" applyAlignment="1" applyProtection="1">
      <alignment horizontal="left"/>
      <protection locked="0"/>
    </xf>
    <xf numFmtId="0" fontId="33" fillId="15" borderId="0" xfId="0" applyNumberFormat="1" applyFont="1" applyFill="1" applyAlignment="1" applyProtection="1">
      <alignment horizontal="left"/>
      <protection locked="0"/>
    </xf>
    <xf numFmtId="0" fontId="33" fillId="14" borderId="0" xfId="0" applyNumberFormat="1" applyFont="1" applyFill="1" applyAlignment="1">
      <alignment horizontal="left"/>
    </xf>
    <xf numFmtId="0" fontId="33" fillId="0" borderId="0" xfId="0" applyNumberFormat="1" applyFont="1" applyFill="1" applyAlignment="1">
      <alignment horizontal="left"/>
    </xf>
    <xf numFmtId="0" fontId="33" fillId="18" borderId="0" xfId="0" applyNumberFormat="1" applyFont="1" applyFill="1" applyAlignment="1">
      <alignment horizontal="left"/>
    </xf>
    <xf numFmtId="0" fontId="33" fillId="4" borderId="0" xfId="0" applyNumberFormat="1" applyFont="1" applyFill="1" applyAlignment="1">
      <alignment horizontal="left"/>
    </xf>
    <xf numFmtId="0" fontId="33" fillId="29" borderId="0" xfId="0" applyNumberFormat="1" applyFont="1" applyFill="1" applyAlignment="1">
      <alignment horizontal="left"/>
    </xf>
    <xf numFmtId="0" fontId="1" fillId="18" borderId="0" xfId="0" applyNumberFormat="1" applyFont="1" applyFill="1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 applyAlignment="1">
      <alignment wrapText="1"/>
    </xf>
    <xf numFmtId="0" fontId="0" fillId="0" borderId="0" xfId="0" applyNumberFormat="1" applyAlignment="1" applyProtection="1">
      <alignment wrapText="1"/>
      <protection locked="0"/>
    </xf>
    <xf numFmtId="167" fontId="0" fillId="0" borderId="0" xfId="0" applyNumberFormat="1" applyAlignment="1" applyProtection="1">
      <alignment wrapText="1"/>
      <protection locked="0"/>
    </xf>
    <xf numFmtId="0" fontId="1" fillId="15" borderId="0" xfId="0" applyNumberFormat="1" applyFont="1" applyFill="1" applyAlignment="1" applyProtection="1">
      <alignment wrapText="1"/>
      <protection locked="0"/>
    </xf>
    <xf numFmtId="0" fontId="1" fillId="14" borderId="0" xfId="0" applyNumberFormat="1" applyFont="1" applyFill="1" applyAlignment="1">
      <alignment wrapText="1"/>
    </xf>
    <xf numFmtId="0" fontId="1" fillId="4" borderId="0" xfId="0" applyNumberFormat="1" applyFont="1" applyFill="1" applyAlignment="1" applyProtection="1">
      <alignment wrapText="1"/>
      <protection locked="0"/>
    </xf>
    <xf numFmtId="0" fontId="1" fillId="4" borderId="0" xfId="0" applyNumberFormat="1" applyFont="1" applyFill="1" applyAlignment="1">
      <alignment wrapText="1"/>
    </xf>
    <xf numFmtId="0" fontId="0" fillId="3" borderId="0" xfId="0" applyNumberFormat="1" applyFill="1" applyAlignment="1">
      <alignment wrapText="1"/>
    </xf>
    <xf numFmtId="0" fontId="33" fillId="0" borderId="0" xfId="0" applyNumberFormat="1" applyFont="1" applyAlignment="1" applyProtection="1">
      <alignment horizontal="left"/>
      <protection locked="0"/>
    </xf>
    <xf numFmtId="0" fontId="34" fillId="0" borderId="0" xfId="0" applyNumberFormat="1" applyFont="1" applyFill="1" applyAlignment="1">
      <alignment horizontal="left"/>
    </xf>
    <xf numFmtId="167" fontId="0" fillId="0" borderId="0" xfId="0" applyNumberFormat="1" applyAlignment="1">
      <alignment wrapText="1"/>
    </xf>
    <xf numFmtId="0" fontId="11" fillId="0" borderId="0" xfId="0" applyNumberFormat="1" applyFont="1" applyFill="1" applyAlignment="1">
      <alignment wrapText="1"/>
    </xf>
    <xf numFmtId="0" fontId="0" fillId="8" borderId="0" xfId="0" applyNumberFormat="1" applyFill="1" applyAlignment="1">
      <alignment wrapText="1"/>
    </xf>
    <xf numFmtId="0" fontId="1" fillId="0" borderId="0" xfId="0" applyNumberFormat="1" applyFont="1" applyFill="1" applyProtection="1">
      <protection locked="0"/>
    </xf>
    <xf numFmtId="0" fontId="0" fillId="0" borderId="0" xfId="0" applyNumberFormat="1" applyFill="1" applyProtection="1">
      <protection locked="0"/>
    </xf>
    <xf numFmtId="0" fontId="0" fillId="0" borderId="0" xfId="0" applyNumberFormat="1" applyFill="1"/>
    <xf numFmtId="0" fontId="1" fillId="0" borderId="0" xfId="0" applyNumberFormat="1" applyFont="1" applyFill="1"/>
    <xf numFmtId="167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1" fillId="8" borderId="0" xfId="0" applyNumberFormat="1" applyFont="1" applyFill="1" applyAlignment="1">
      <alignment wrapText="1"/>
    </xf>
    <xf numFmtId="0" fontId="1" fillId="8" borderId="0" xfId="0" applyNumberFormat="1" applyFont="1" applyFill="1" applyAlignment="1" applyProtection="1">
      <alignment wrapText="1"/>
      <protection locked="0"/>
    </xf>
    <xf numFmtId="167" fontId="0" fillId="0" borderId="0" xfId="0" applyNumberFormat="1"/>
    <xf numFmtId="0" fontId="8" fillId="8" borderId="0" xfId="0" applyNumberFormat="1" applyFont="1" applyFill="1" applyAlignment="1" applyProtection="1">
      <alignment wrapText="1"/>
      <protection locked="0"/>
    </xf>
    <xf numFmtId="0" fontId="8" fillId="8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wrapText="1"/>
    </xf>
    <xf numFmtId="0" fontId="5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 applyProtection="1">
      <alignment wrapText="1"/>
      <protection locked="0"/>
    </xf>
    <xf numFmtId="0" fontId="2" fillId="0" borderId="0" xfId="0" applyNumberFormat="1" applyFont="1" applyAlignment="1" applyProtection="1">
      <alignment wrapText="1"/>
      <protection locked="0"/>
    </xf>
    <xf numFmtId="0" fontId="4" fillId="0" borderId="0" xfId="0" applyNumberFormat="1" applyFont="1" applyAlignment="1" applyProtection="1">
      <alignment wrapText="1"/>
      <protection locked="0"/>
    </xf>
    <xf numFmtId="0" fontId="1" fillId="0" borderId="0" xfId="0" applyNumberFormat="1" applyFont="1" applyFill="1" applyAlignment="1" applyProtection="1">
      <alignment wrapText="1"/>
      <protection locked="0"/>
    </xf>
    <xf numFmtId="0" fontId="13" fillId="0" borderId="0" xfId="0" applyNumberFormat="1" applyFont="1" applyFill="1" applyAlignment="1">
      <alignment wrapText="1"/>
    </xf>
    <xf numFmtId="0" fontId="13" fillId="0" borderId="0" xfId="0" applyNumberFormat="1" applyFont="1" applyAlignment="1">
      <alignment wrapText="1"/>
    </xf>
    <xf numFmtId="0" fontId="5" fillId="0" borderId="0" xfId="0" applyNumberFormat="1" applyFont="1" applyAlignment="1" applyProtection="1">
      <alignment wrapText="1"/>
      <protection locked="0"/>
    </xf>
    <xf numFmtId="0" fontId="4" fillId="0" borderId="0" xfId="0" applyNumberFormat="1" applyFont="1" applyFill="1" applyAlignment="1" applyProtection="1">
      <alignment wrapText="1"/>
      <protection locked="0"/>
    </xf>
    <xf numFmtId="0" fontId="21" fillId="8" borderId="0" xfId="0" applyNumberFormat="1" applyFont="1" applyFill="1" applyAlignment="1">
      <alignment horizontal="center" wrapText="1"/>
    </xf>
    <xf numFmtId="0" fontId="21" fillId="0" borderId="0" xfId="0" applyNumberFormat="1" applyFont="1" applyFill="1" applyAlignment="1">
      <alignment horizontal="center" wrapText="1"/>
    </xf>
    <xf numFmtId="0" fontId="2" fillId="0" borderId="0" xfId="0" applyNumberFormat="1" applyFont="1" applyFill="1" applyAlignment="1" applyProtection="1">
      <alignment wrapText="1"/>
      <protection locked="0"/>
    </xf>
    <xf numFmtId="0" fontId="0" fillId="13" borderId="0" xfId="0" applyNumberFormat="1" applyFill="1" applyAlignment="1">
      <alignment wrapText="1"/>
    </xf>
    <xf numFmtId="0" fontId="0" fillId="0" borderId="0" xfId="0" applyNumberFormat="1" applyFont="1" applyAlignment="1">
      <alignment wrapText="1"/>
    </xf>
    <xf numFmtId="0" fontId="2" fillId="8" borderId="0" xfId="0" applyNumberFormat="1" applyFont="1" applyFill="1" applyAlignment="1">
      <alignment wrapText="1"/>
    </xf>
    <xf numFmtId="0" fontId="0" fillId="0" borderId="0" xfId="0" applyNumberFormat="1" applyFont="1" applyFill="1" applyAlignment="1" applyProtection="1">
      <alignment horizontal="center" wrapText="1"/>
      <protection locked="0"/>
    </xf>
    <xf numFmtId="0" fontId="0" fillId="0" borderId="0" xfId="0" applyNumberFormat="1" applyFont="1" applyAlignment="1">
      <alignment horizontal="center" wrapText="1"/>
    </xf>
    <xf numFmtId="0" fontId="0" fillId="0" borderId="0" xfId="0" applyNumberFormat="1" applyFont="1" applyFill="1" applyAlignment="1">
      <alignment horizontal="center" wrapText="1"/>
    </xf>
    <xf numFmtId="0" fontId="1" fillId="3" borderId="0" xfId="0" applyNumberFormat="1" applyFont="1" applyFill="1" applyAlignment="1">
      <alignment wrapText="1"/>
    </xf>
    <xf numFmtId="0" fontId="0" fillId="4" borderId="0" xfId="0" applyNumberFormat="1" applyFill="1" applyAlignment="1">
      <alignment wrapText="1"/>
    </xf>
    <xf numFmtId="0" fontId="0" fillId="4" borderId="0" xfId="0" applyNumberFormat="1" applyFill="1" applyAlignment="1" applyProtection="1">
      <alignment wrapText="1"/>
      <protection locked="0"/>
    </xf>
    <xf numFmtId="0" fontId="1" fillId="32" borderId="0" xfId="0" applyNumberFormat="1" applyFont="1" applyFill="1" applyAlignment="1">
      <alignment wrapText="1"/>
    </xf>
    <xf numFmtId="0" fontId="0" fillId="32" borderId="0" xfId="0" applyNumberFormat="1" applyFill="1" applyAlignment="1" applyProtection="1">
      <alignment wrapText="1"/>
      <protection locked="0"/>
    </xf>
    <xf numFmtId="0" fontId="0" fillId="32" borderId="0" xfId="0" applyNumberFormat="1" applyFill="1" applyAlignment="1">
      <alignment wrapText="1"/>
    </xf>
    <xf numFmtId="0" fontId="1" fillId="32" borderId="0" xfId="0" applyNumberFormat="1" applyFont="1" applyFill="1" applyAlignment="1" applyProtection="1">
      <alignment wrapText="1"/>
      <protection locked="0"/>
    </xf>
    <xf numFmtId="0" fontId="19" fillId="0" borderId="27" xfId="0" applyNumberFormat="1" applyFont="1" applyFill="1" applyBorder="1" applyAlignment="1">
      <alignment horizontal="center" wrapText="1"/>
    </xf>
    <xf numFmtId="0" fontId="19" fillId="0" borderId="0" xfId="0" applyNumberFormat="1" applyFont="1" applyFill="1" applyBorder="1" applyAlignment="1">
      <alignment horizontal="center" wrapText="1"/>
    </xf>
    <xf numFmtId="2" fontId="0" fillId="0" borderId="0" xfId="0" applyNumberFormat="1" applyFill="1" applyAlignment="1">
      <alignment wrapText="1"/>
    </xf>
    <xf numFmtId="0" fontId="20" fillId="0" borderId="0" xfId="0" applyNumberFormat="1" applyFont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ill="1" applyBorder="1" applyProtection="1">
      <protection locked="0"/>
    </xf>
    <xf numFmtId="0" fontId="0" fillId="0" borderId="0" xfId="0" applyNumberFormat="1" applyFill="1" applyBorder="1"/>
    <xf numFmtId="0" fontId="0" fillId="0" borderId="0" xfId="0" applyNumberFormat="1" applyFill="1" applyBorder="1" applyAlignment="1">
      <alignment wrapText="1"/>
    </xf>
    <xf numFmtId="0" fontId="1" fillId="0" borderId="0" xfId="0" applyNumberFormat="1" applyFont="1" applyFill="1" applyBorder="1" applyProtection="1">
      <protection locked="0"/>
    </xf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wrapText="1"/>
      <protection locked="0"/>
    </xf>
    <xf numFmtId="0" fontId="35" fillId="8" borderId="0" xfId="0" applyNumberFormat="1" applyFont="1" applyFill="1" applyAlignment="1">
      <alignment wrapText="1"/>
    </xf>
    <xf numFmtId="0" fontId="12" fillId="23" borderId="0" xfId="0" applyNumberFormat="1" applyFont="1" applyFill="1" applyAlignment="1">
      <alignment wrapText="1"/>
    </xf>
    <xf numFmtId="0" fontId="1" fillId="23" borderId="27" xfId="0" applyFont="1" applyFill="1" applyBorder="1" applyAlignment="1">
      <alignment wrapText="1"/>
    </xf>
    <xf numFmtId="0" fontId="0" fillId="33" borderId="27" xfId="0" applyFill="1" applyBorder="1" applyAlignment="1">
      <alignment wrapText="1"/>
    </xf>
    <xf numFmtId="0" fontId="0" fillId="8" borderId="27" xfId="0" applyFill="1" applyBorder="1" applyAlignment="1">
      <alignment wrapText="1"/>
    </xf>
    <xf numFmtId="0" fontId="0" fillId="13" borderId="27" xfId="0" applyFill="1" applyBorder="1" applyAlignment="1">
      <alignment wrapText="1"/>
    </xf>
    <xf numFmtId="0" fontId="0" fillId="0" borderId="19" xfId="0" applyBorder="1" applyAlignment="1">
      <alignment horizontal="center" wrapText="1"/>
    </xf>
    <xf numFmtId="0" fontId="0" fillId="0" borderId="45" xfId="0" applyBorder="1" applyAlignment="1">
      <alignment horizontal="center" wrapText="1"/>
    </xf>
    <xf numFmtId="0" fontId="4" fillId="13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/>
    <xf numFmtId="0" fontId="0" fillId="0" borderId="9" xfId="0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/>
    </xf>
    <xf numFmtId="0" fontId="1" fillId="0" borderId="16" xfId="0" applyFont="1" applyBorder="1" applyAlignment="1"/>
    <xf numFmtId="0" fontId="0" fillId="0" borderId="15" xfId="0" applyFill="1" applyBorder="1" applyAlignment="1">
      <alignment vertical="center" wrapText="1"/>
    </xf>
    <xf numFmtId="0" fontId="0" fillId="8" borderId="0" xfId="0" applyFill="1" applyBorder="1" applyAlignment="1" applyProtection="1">
      <alignment vertical="center"/>
      <protection locked="0"/>
    </xf>
    <xf numFmtId="0" fontId="0" fillId="0" borderId="16" xfId="0" applyBorder="1" applyAlignment="1">
      <alignment horizontal="center"/>
    </xf>
    <xf numFmtId="167" fontId="2" fillId="0" borderId="0" xfId="0" applyNumberFormat="1" applyFont="1" applyAlignment="1">
      <alignment wrapText="1"/>
    </xf>
    <xf numFmtId="167" fontId="2" fillId="0" borderId="0" xfId="0" applyNumberFormat="1" applyFont="1" applyAlignment="1" applyProtection="1">
      <alignment wrapText="1"/>
      <protection locked="0"/>
    </xf>
    <xf numFmtId="167" fontId="0" fillId="0" borderId="0" xfId="0" applyNumberFormat="1" applyFill="1" applyAlignment="1" applyProtection="1">
      <alignment wrapText="1"/>
      <protection locked="0"/>
    </xf>
    <xf numFmtId="0" fontId="1" fillId="27" borderId="0" xfId="0" applyNumberFormat="1" applyFont="1" applyFill="1" applyAlignment="1">
      <alignment wrapText="1"/>
    </xf>
    <xf numFmtId="0" fontId="0" fillId="8" borderId="9" xfId="0" applyFill="1" applyBorder="1" applyAlignment="1" applyProtection="1">
      <alignment horizontal="center" vertical="center" wrapText="1"/>
      <protection locked="0"/>
    </xf>
    <xf numFmtId="0" fontId="0" fillId="8" borderId="15" xfId="0" applyFill="1" applyBorder="1" applyAlignment="1" applyProtection="1">
      <alignment horizontal="center" vertical="center" wrapText="1"/>
      <protection locked="0"/>
    </xf>
    <xf numFmtId="0" fontId="9" fillId="17" borderId="0" xfId="0" applyFont="1" applyFill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7" borderId="9" xfId="0" applyFill="1" applyBorder="1" applyAlignment="1" applyProtection="1">
      <alignment horizontal="center" wrapText="1"/>
      <protection locked="0"/>
    </xf>
    <xf numFmtId="0" fontId="0" fillId="7" borderId="15" xfId="0" applyFill="1" applyBorder="1" applyAlignment="1" applyProtection="1">
      <alignment horizontal="center" wrapText="1"/>
      <protection locked="0"/>
    </xf>
    <xf numFmtId="0" fontId="1" fillId="0" borderId="12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0" fillId="14" borderId="9" xfId="0" applyFill="1" applyBorder="1" applyAlignment="1" applyProtection="1">
      <alignment horizontal="center" wrapText="1"/>
      <protection locked="0"/>
    </xf>
    <xf numFmtId="0" fontId="0" fillId="14" borderId="0" xfId="0" applyFill="1" applyBorder="1" applyAlignment="1" applyProtection="1">
      <alignment horizontal="center" wrapText="1"/>
      <protection locked="0"/>
    </xf>
    <xf numFmtId="0" fontId="7" fillId="11" borderId="0" xfId="0" applyFont="1" applyFill="1" applyAlignment="1">
      <alignment horizont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4" fillId="13" borderId="10" xfId="0" applyFont="1" applyFill="1" applyBorder="1" applyAlignment="1">
      <alignment horizontal="center" vertical="center" wrapText="1"/>
    </xf>
    <xf numFmtId="0" fontId="0" fillId="12" borderId="19" xfId="0" applyFill="1" applyBorder="1" applyAlignment="1" applyProtection="1">
      <alignment horizontal="center" wrapText="1"/>
      <protection locked="0"/>
    </xf>
    <xf numFmtId="0" fontId="0" fillId="12" borderId="15" xfId="0" applyFill="1" applyBorder="1" applyAlignment="1" applyProtection="1">
      <alignment horizontal="center" wrapText="1"/>
      <protection locked="0"/>
    </xf>
    <xf numFmtId="0" fontId="1" fillId="0" borderId="14" xfId="0" applyFont="1" applyBorder="1" applyAlignment="1">
      <alignment horizontal="center" wrapText="1"/>
    </xf>
    <xf numFmtId="0" fontId="0" fillId="8" borderId="9" xfId="0" applyFill="1" applyBorder="1" applyAlignment="1" applyProtection="1">
      <alignment horizontal="center" wrapText="1"/>
      <protection locked="0"/>
    </xf>
    <xf numFmtId="0" fontId="0" fillId="8" borderId="15" xfId="0" applyFill="1" applyBorder="1" applyAlignment="1" applyProtection="1">
      <alignment horizontal="center" wrapText="1"/>
      <protection locked="0"/>
    </xf>
    <xf numFmtId="0" fontId="0" fillId="0" borderId="19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7" borderId="45" xfId="0" applyFill="1" applyBorder="1" applyAlignment="1" applyProtection="1">
      <alignment horizontal="center"/>
      <protection locked="0"/>
    </xf>
    <xf numFmtId="0" fontId="0" fillId="7" borderId="9" xfId="0" applyFill="1" applyBorder="1" applyAlignment="1" applyProtection="1">
      <alignment horizontal="center"/>
      <protection locked="0"/>
    </xf>
    <xf numFmtId="0" fontId="0" fillId="7" borderId="19" xfId="0" applyFill="1" applyBorder="1" applyAlignment="1" applyProtection="1">
      <alignment horizontal="center"/>
      <protection locked="0"/>
    </xf>
    <xf numFmtId="0" fontId="0" fillId="7" borderId="15" xfId="0" applyFill="1" applyBorder="1" applyAlignment="1" applyProtection="1">
      <alignment horizontal="center"/>
      <protection locked="0"/>
    </xf>
    <xf numFmtId="0" fontId="1" fillId="0" borderId="22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15" xfId="0" applyFill="1" applyBorder="1" applyAlignment="1" applyProtection="1">
      <alignment horizontal="center" vertical="center" wrapText="1"/>
      <protection locked="0"/>
    </xf>
    <xf numFmtId="0" fontId="0" fillId="0" borderId="17" xfId="0" applyFill="1" applyBorder="1" applyAlignment="1" applyProtection="1">
      <alignment horizontal="center" vertical="center" wrapText="1"/>
      <protection locked="0"/>
    </xf>
    <xf numFmtId="0" fontId="7" fillId="11" borderId="3" xfId="0" applyFont="1" applyFill="1" applyBorder="1" applyAlignment="1">
      <alignment horizontal="center" wrapText="1"/>
    </xf>
    <xf numFmtId="0" fontId="0" fillId="7" borderId="0" xfId="0" applyFill="1" applyBorder="1" applyAlignment="1" applyProtection="1">
      <alignment horizontal="center" wrapText="1"/>
      <protection locked="0"/>
    </xf>
    <xf numFmtId="0" fontId="0" fillId="0" borderId="9" xfId="0" applyFill="1" applyBorder="1" applyAlignment="1" applyProtection="1">
      <alignment horizontal="center" vertical="center" wrapText="1"/>
      <protection locked="0"/>
    </xf>
    <xf numFmtId="0" fontId="0" fillId="0" borderId="18" xfId="0" applyFill="1" applyBorder="1" applyAlignment="1" applyProtection="1">
      <alignment horizontal="center" vertical="center" wrapText="1"/>
      <protection locked="0"/>
    </xf>
    <xf numFmtId="0" fontId="20" fillId="23" borderId="0" xfId="0" applyFont="1" applyFill="1" applyBorder="1" applyAlignment="1">
      <alignment horizontal="center"/>
    </xf>
    <xf numFmtId="0" fontId="36" fillId="25" borderId="0" xfId="0" applyFont="1" applyFill="1" applyAlignment="1">
      <alignment horizontal="center" wrapText="1"/>
    </xf>
    <xf numFmtId="0" fontId="0" fillId="13" borderId="6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3" fillId="17" borderId="0" xfId="0" applyNumberFormat="1" applyFont="1" applyFill="1" applyAlignment="1">
      <alignment horizontal="center" wrapText="1"/>
    </xf>
    <xf numFmtId="0" fontId="19" fillId="17" borderId="0" xfId="0" applyNumberFormat="1" applyFont="1" applyFill="1" applyAlignment="1">
      <alignment horizontal="center" wrapText="1"/>
    </xf>
    <xf numFmtId="0" fontId="20" fillId="2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Alignment="1">
      <alignment horizontal="left" wrapText="1"/>
    </xf>
    <xf numFmtId="0" fontId="1" fillId="14" borderId="0" xfId="0" applyNumberFormat="1" applyFont="1" applyFill="1" applyAlignment="1">
      <alignment horizontal="center" wrapText="1"/>
    </xf>
    <xf numFmtId="0" fontId="11" fillId="2" borderId="0" xfId="0" applyNumberFormat="1" applyFont="1" applyFill="1" applyAlignment="1">
      <alignment horizontal="center" wrapText="1"/>
    </xf>
    <xf numFmtId="0" fontId="0" fillId="3" borderId="0" xfId="0" applyNumberFormat="1" applyFill="1" applyAlignment="1">
      <alignment horizontal="center" wrapText="1"/>
    </xf>
    <xf numFmtId="0" fontId="8" fillId="8" borderId="0" xfId="0" applyNumberFormat="1" applyFont="1" applyFill="1" applyAlignment="1">
      <alignment horizontal="center" wrapText="1"/>
    </xf>
    <xf numFmtId="0" fontId="21" fillId="17" borderId="0" xfId="0" applyFont="1" applyFill="1" applyAlignment="1">
      <alignment horizontal="center" wrapText="1"/>
    </xf>
    <xf numFmtId="0" fontId="12" fillId="0" borderId="0" xfId="0" applyFont="1" applyAlignment="1">
      <alignment horizontal="left" wrapText="1"/>
    </xf>
    <xf numFmtId="0" fontId="1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20" fillId="23" borderId="0" xfId="0" applyFont="1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20" fontId="0" fillId="3" borderId="0" xfId="0" applyNumberFormat="1" applyFill="1" applyAlignment="1">
      <alignment horizontal="center" wrapText="1"/>
    </xf>
    <xf numFmtId="0" fontId="19" fillId="17" borderId="0" xfId="0" applyFont="1" applyFill="1" applyAlignment="1">
      <alignment horizontal="center" wrapText="1"/>
    </xf>
    <xf numFmtId="0" fontId="20" fillId="23" borderId="0" xfId="0" applyFont="1" applyFill="1" applyAlignment="1">
      <alignment horizontal="center" wrapText="1"/>
    </xf>
    <xf numFmtId="0" fontId="28" fillId="20" borderId="0" xfId="0" applyFont="1" applyFill="1" applyAlignment="1">
      <alignment horizontal="center" wrapText="1"/>
    </xf>
    <xf numFmtId="0" fontId="27" fillId="0" borderId="0" xfId="0" applyFont="1" applyAlignment="1">
      <alignment horizontal="center" wrapText="1"/>
    </xf>
    <xf numFmtId="0" fontId="0" fillId="2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26" fillId="0" borderId="32" xfId="0" applyFont="1" applyBorder="1" applyAlignment="1">
      <alignment horizontal="center" wrapText="1"/>
    </xf>
    <xf numFmtId="0" fontId="26" fillId="0" borderId="33" xfId="0" applyFont="1" applyBorder="1" applyAlignment="1">
      <alignment horizontal="center" wrapText="1"/>
    </xf>
    <xf numFmtId="0" fontId="26" fillId="0" borderId="34" xfId="0" applyFont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12" borderId="9" xfId="0" applyFill="1" applyBorder="1" applyAlignment="1" applyProtection="1">
      <alignment horizontal="center" vertical="center" wrapText="1"/>
      <protection locked="0"/>
    </xf>
    <xf numFmtId="0" fontId="0" fillId="12" borderId="15" xfId="0" applyFill="1" applyBorder="1" applyAlignment="1" applyProtection="1">
      <alignment horizontal="center" vertical="center" wrapText="1"/>
      <protection locked="0"/>
    </xf>
    <xf numFmtId="0" fontId="0" fillId="7" borderId="19" xfId="0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8" fillId="8" borderId="0" xfId="0" applyFont="1" applyFill="1" applyAlignment="1">
      <alignment horizontal="center" wrapText="1"/>
    </xf>
    <xf numFmtId="165" fontId="18" fillId="21" borderId="38" xfId="1" applyNumberFormat="1" applyFont="1" applyFill="1" applyBorder="1" applyAlignment="1">
      <alignment horizontal="center" vertical="top"/>
    </xf>
    <xf numFmtId="165" fontId="18" fillId="21" borderId="39" xfId="1" applyNumberFormat="1" applyFont="1" applyFill="1" applyBorder="1" applyAlignment="1">
      <alignment horizontal="center" vertical="top"/>
    </xf>
    <xf numFmtId="165" fontId="18" fillId="21" borderId="0" xfId="1" applyNumberFormat="1" applyFont="1" applyFill="1" applyBorder="1" applyAlignment="1">
      <alignment horizontal="center" vertical="top"/>
    </xf>
    <xf numFmtId="165" fontId="18" fillId="21" borderId="40" xfId="1" applyNumberFormat="1" applyFont="1" applyFill="1" applyBorder="1" applyAlignment="1">
      <alignment horizontal="center" vertical="top"/>
    </xf>
    <xf numFmtId="0" fontId="20" fillId="0" borderId="0" xfId="0" applyFont="1" applyAlignment="1">
      <alignment horizontal="center" wrapText="1"/>
    </xf>
    <xf numFmtId="0" fontId="0" fillId="8" borderId="0" xfId="0" applyFill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9" fillId="17" borderId="6" xfId="0" applyFont="1" applyFill="1" applyBorder="1" applyAlignment="1">
      <alignment horizontal="center" wrapText="1"/>
    </xf>
    <xf numFmtId="0" fontId="9" fillId="17" borderId="21" xfId="0" applyFont="1" applyFill="1" applyBorder="1" applyAlignment="1">
      <alignment horizontal="center" wrapText="1"/>
    </xf>
    <xf numFmtId="0" fontId="9" fillId="17" borderId="5" xfId="0" applyFont="1" applyFill="1" applyBorder="1" applyAlignment="1">
      <alignment horizontal="center" wrapText="1"/>
    </xf>
    <xf numFmtId="0" fontId="0" fillId="25" borderId="0" xfId="0" applyFill="1" applyAlignment="1">
      <alignment horizontal="center"/>
    </xf>
    <xf numFmtId="49" fontId="22" fillId="21" borderId="44" xfId="1" applyNumberFormat="1" applyFont="1" applyFill="1" applyBorder="1" applyAlignment="1">
      <alignment horizontal="left" vertical="center"/>
    </xf>
    <xf numFmtId="49" fontId="23" fillId="21" borderId="0" xfId="1" applyNumberFormat="1" applyFont="1" applyFill="1" applyAlignment="1">
      <alignment horizontal="left" wrapText="1"/>
    </xf>
    <xf numFmtId="0" fontId="3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8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ill="1" applyAlignment="1" applyProtection="1">
      <alignment wrapText="1"/>
      <protection locked="0"/>
    </xf>
    <xf numFmtId="20" fontId="0" fillId="0" borderId="0" xfId="0" applyNumberFormat="1" applyFill="1" applyAlignment="1">
      <alignment wrapText="1"/>
    </xf>
    <xf numFmtId="0" fontId="1" fillId="34" borderId="0" xfId="0" applyFont="1" applyFill="1" applyAlignment="1" applyProtection="1">
      <alignment wrapText="1"/>
      <protection locked="0"/>
    </xf>
    <xf numFmtId="0" fontId="0" fillId="34" borderId="0" xfId="0" applyFill="1" applyAlignment="1">
      <alignment wrapText="1"/>
    </xf>
    <xf numFmtId="0" fontId="0" fillId="34" borderId="0" xfId="0" applyFill="1" applyAlignment="1" applyProtection="1">
      <alignment wrapText="1"/>
      <protection locked="0"/>
    </xf>
    <xf numFmtId="18" fontId="0" fillId="34" borderId="0" xfId="0" applyNumberFormat="1" applyFill="1"/>
    <xf numFmtId="18" fontId="0" fillId="34" borderId="0" xfId="0" applyNumberFormat="1" applyFill="1" applyProtection="1">
      <protection locked="0"/>
    </xf>
    <xf numFmtId="0" fontId="0" fillId="34" borderId="0" xfId="0" applyFill="1" applyProtection="1">
      <protection locked="0"/>
    </xf>
    <xf numFmtId="169" fontId="0" fillId="34" borderId="0" xfId="0" applyNumberFormat="1" applyFill="1" applyProtection="1">
      <protection locked="0"/>
    </xf>
    <xf numFmtId="20" fontId="0" fillId="34" borderId="0" xfId="0" applyNumberFormat="1" applyFill="1"/>
    <xf numFmtId="0" fontId="0" fillId="34" borderId="0" xfId="0" applyFill="1"/>
    <xf numFmtId="20" fontId="0" fillId="34" borderId="0" xfId="0" applyNumberFormat="1" applyFill="1" applyProtection="1">
      <protection locked="0"/>
    </xf>
    <xf numFmtId="0" fontId="1" fillId="34" borderId="0" xfId="0" applyFont="1" applyFill="1"/>
    <xf numFmtId="0" fontId="0" fillId="0" borderId="0" xfId="0" applyFill="1" applyAlignment="1">
      <alignment wrapText="1"/>
    </xf>
    <xf numFmtId="20" fontId="0" fillId="0" borderId="0" xfId="0" applyNumberFormat="1" applyFill="1" applyAlignment="1">
      <alignment wrapText="1"/>
    </xf>
    <xf numFmtId="0" fontId="0" fillId="34" borderId="0" xfId="0" applyFill="1" applyProtection="1">
      <protection locked="0"/>
    </xf>
    <xf numFmtId="169" fontId="0" fillId="34" borderId="0" xfId="0" applyNumberFormat="1" applyFill="1" applyProtection="1">
      <protection locked="0"/>
    </xf>
    <xf numFmtId="20" fontId="0" fillId="34" borderId="0" xfId="0" applyNumberFormat="1" applyFill="1"/>
    <xf numFmtId="0" fontId="0" fillId="34" borderId="0" xfId="0" applyFill="1"/>
    <xf numFmtId="20" fontId="0" fillId="34" borderId="0" xfId="0" applyNumberFormat="1" applyFill="1" applyProtection="1">
      <protection locked="0"/>
    </xf>
  </cellXfs>
  <cellStyles count="2">
    <cellStyle name="Normal" xfId="0" builtinId="0"/>
    <cellStyle name="Normal 2" xfId="1" xr:uid="{CDB20BF0-8BCF-4B6C-8E9D-BAC04A58C4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take_24072018/Anthony_stocktake_hours_2407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take_24072018/Angelica_stocktake_hours_240720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tocktake_24072018/Margarita_stocktake_hours_2407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hony_final"/>
      <sheetName val="Anthony_hist"/>
    </sheetNames>
    <sheetDataSet>
      <sheetData sheetId="0"/>
      <sheetData sheetId="1">
        <row r="3">
          <cell r="G3">
            <v>12.5</v>
          </cell>
        </row>
        <row r="9">
          <cell r="G9">
            <v>73.5</v>
          </cell>
        </row>
        <row r="15">
          <cell r="G15">
            <v>6</v>
          </cell>
        </row>
        <row r="19">
          <cell r="G19">
            <v>1</v>
          </cell>
        </row>
        <row r="23">
          <cell r="G23">
            <v>40.75</v>
          </cell>
        </row>
        <row r="29">
          <cell r="G29">
            <v>10</v>
          </cell>
        </row>
        <row r="35">
          <cell r="G35">
            <v>65.5</v>
          </cell>
        </row>
        <row r="41">
          <cell r="G41">
            <v>4</v>
          </cell>
        </row>
        <row r="45">
          <cell r="G45">
            <v>4</v>
          </cell>
        </row>
        <row r="49">
          <cell r="G49">
            <v>2</v>
          </cell>
        </row>
        <row r="52">
          <cell r="G52">
            <v>219.25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gelica"/>
      <sheetName val="Angelica_hist"/>
    </sheetNames>
    <sheetDataSet>
      <sheetData sheetId="0"/>
      <sheetData sheetId="1">
        <row r="3">
          <cell r="G3">
            <v>5</v>
          </cell>
        </row>
        <row r="9">
          <cell r="G9">
            <v>5</v>
          </cell>
        </row>
        <row r="15">
          <cell r="G15">
            <v>10</v>
          </cell>
        </row>
        <row r="21">
          <cell r="G21">
            <v>22.5</v>
          </cell>
        </row>
        <row r="27">
          <cell r="G27">
            <v>-22.5</v>
          </cell>
        </row>
        <row r="28">
          <cell r="G28">
            <v>52.5</v>
          </cell>
        </row>
        <row r="29">
          <cell r="G29">
            <v>25</v>
          </cell>
        </row>
        <row r="35">
          <cell r="G35">
            <v>30</v>
          </cell>
        </row>
        <row r="41">
          <cell r="G41">
            <v>30</v>
          </cell>
        </row>
        <row r="47">
          <cell r="G47">
            <v>15</v>
          </cell>
        </row>
        <row r="48">
          <cell r="G48">
            <v>16</v>
          </cell>
        </row>
        <row r="54">
          <cell r="G54">
            <v>188.5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g_hist"/>
    </sheetNames>
    <sheetDataSet>
      <sheetData sheetId="0">
        <row r="3">
          <cell r="G3">
            <v>5</v>
          </cell>
        </row>
        <row r="9">
          <cell r="G9">
            <v>5</v>
          </cell>
        </row>
        <row r="15">
          <cell r="G15">
            <v>18</v>
          </cell>
        </row>
        <row r="21">
          <cell r="G21">
            <v>10</v>
          </cell>
        </row>
        <row r="27">
          <cell r="G27">
            <v>14</v>
          </cell>
        </row>
        <row r="33">
          <cell r="G33">
            <v>14</v>
          </cell>
        </row>
        <row r="39">
          <cell r="G39">
            <v>14</v>
          </cell>
        </row>
        <row r="45">
          <cell r="G45">
            <v>7</v>
          </cell>
        </row>
        <row r="48">
          <cell r="G48">
            <v>87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C3EB-0819-4E6F-A3B5-1A39842A75B8}">
  <dimension ref="A1:K175"/>
  <sheetViews>
    <sheetView topLeftCell="A67" zoomScale="70" zoomScaleNormal="70" workbookViewId="0">
      <selection activeCell="N19" sqref="N19"/>
    </sheetView>
  </sheetViews>
  <sheetFormatPr defaultColWidth="13.28515625" defaultRowHeight="15" x14ac:dyDescent="0.25"/>
  <cols>
    <col min="6" max="6" width="18.28515625" customWidth="1"/>
    <col min="10" max="10" width="14.5703125" bestFit="1" customWidth="1"/>
  </cols>
  <sheetData>
    <row r="1" spans="1:11" ht="63.75" customHeight="1" x14ac:dyDescent="0.55000000000000004">
      <c r="A1" s="564" t="s">
        <v>537</v>
      </c>
      <c r="B1" s="564"/>
      <c r="C1" s="564"/>
      <c r="D1" s="564"/>
      <c r="E1" s="564"/>
      <c r="F1" s="564"/>
      <c r="G1" s="564"/>
      <c r="H1" s="509" t="s">
        <v>441</v>
      </c>
      <c r="I1" s="509" t="s">
        <v>442</v>
      </c>
      <c r="J1" s="509" t="s">
        <v>443</v>
      </c>
      <c r="K1" s="509" t="s">
        <v>444</v>
      </c>
    </row>
    <row r="2" spans="1:11" ht="31.5" customHeight="1" x14ac:dyDescent="0.25">
      <c r="A2" s="565" t="s">
        <v>438</v>
      </c>
      <c r="B2" s="565"/>
      <c r="C2" s="565"/>
      <c r="D2" s="565"/>
      <c r="E2" s="565"/>
      <c r="F2" s="565"/>
      <c r="H2" s="510" t="s">
        <v>187</v>
      </c>
      <c r="I2" s="510" t="s">
        <v>186</v>
      </c>
      <c r="J2" s="510" t="s">
        <v>439</v>
      </c>
      <c r="K2" s="511"/>
    </row>
    <row r="3" spans="1:11" ht="30" customHeight="1" x14ac:dyDescent="0.25">
      <c r="A3" s="565"/>
      <c r="B3" s="565"/>
      <c r="C3" s="565"/>
      <c r="D3" s="565"/>
      <c r="E3" s="565"/>
      <c r="F3" s="565"/>
      <c r="H3" s="510" t="s">
        <v>182</v>
      </c>
      <c r="I3" s="510" t="s">
        <v>181</v>
      </c>
      <c r="J3" s="510" t="s">
        <v>439</v>
      </c>
      <c r="K3" s="511"/>
    </row>
    <row r="4" spans="1:11" ht="60" customHeight="1" x14ac:dyDescent="0.25">
      <c r="A4" s="565"/>
      <c r="B4" s="565"/>
      <c r="C4" s="565"/>
      <c r="D4" s="565"/>
      <c r="E4" s="565"/>
      <c r="F4" s="565"/>
      <c r="H4" s="353" t="s">
        <v>449</v>
      </c>
      <c r="I4" s="353" t="s">
        <v>179</v>
      </c>
      <c r="J4" s="353" t="s">
        <v>440</v>
      </c>
      <c r="K4" s="353" t="s">
        <v>447</v>
      </c>
    </row>
    <row r="5" spans="1:11" ht="75" x14ac:dyDescent="0.25">
      <c r="H5" s="512" t="s">
        <v>445</v>
      </c>
      <c r="I5" s="512" t="s">
        <v>310</v>
      </c>
      <c r="J5" s="512" t="s">
        <v>446</v>
      </c>
      <c r="K5" s="512" t="s">
        <v>448</v>
      </c>
    </row>
    <row r="6" spans="1:11" ht="15.75" thickBot="1" x14ac:dyDescent="0.3"/>
    <row r="7" spans="1:11" ht="15.75" thickBot="1" x14ac:dyDescent="0.3">
      <c r="A7" s="566" t="s">
        <v>538</v>
      </c>
      <c r="B7" s="567"/>
      <c r="C7" s="567"/>
      <c r="D7" s="567"/>
      <c r="E7" s="567"/>
      <c r="F7" s="567"/>
      <c r="G7" s="567"/>
      <c r="H7" s="567"/>
      <c r="I7" s="567"/>
      <c r="J7" s="567"/>
      <c r="K7" s="568"/>
    </row>
    <row r="8" spans="1:11" ht="15.75" thickBot="1" x14ac:dyDescent="0.3">
      <c r="K8" s="227"/>
    </row>
    <row r="9" spans="1:11" ht="15.75" customHeight="1" thickBot="1" x14ac:dyDescent="0.3">
      <c r="A9" s="539" t="s">
        <v>225</v>
      </c>
      <c r="B9" s="105" t="s">
        <v>224</v>
      </c>
      <c r="C9" s="347" t="s">
        <v>2</v>
      </c>
      <c r="D9" s="347" t="s">
        <v>3</v>
      </c>
      <c r="E9" s="347" t="s">
        <v>4</v>
      </c>
      <c r="F9" s="347" t="s">
        <v>5</v>
      </c>
      <c r="G9" s="347" t="s">
        <v>6</v>
      </c>
      <c r="H9" s="347" t="s">
        <v>7</v>
      </c>
      <c r="I9" s="104" t="s">
        <v>8</v>
      </c>
      <c r="J9" s="103" t="s">
        <v>197</v>
      </c>
      <c r="K9" s="355"/>
    </row>
    <row r="10" spans="1:11" ht="75" customHeight="1" x14ac:dyDescent="0.25">
      <c r="A10" s="539"/>
      <c r="B10" s="569" t="s">
        <v>207</v>
      </c>
      <c r="C10" s="102"/>
      <c r="D10" s="15"/>
      <c r="E10" s="15">
        <v>4.5</v>
      </c>
      <c r="F10" s="15">
        <v>5</v>
      </c>
      <c r="G10" s="15">
        <v>5</v>
      </c>
      <c r="H10" s="21">
        <v>4</v>
      </c>
      <c r="I10" s="21">
        <v>5</v>
      </c>
      <c r="J10" s="89">
        <f>SUM(C10:I10)</f>
        <v>23.5</v>
      </c>
      <c r="K10" s="542" t="s">
        <v>223</v>
      </c>
    </row>
    <row r="11" spans="1:11" x14ac:dyDescent="0.25">
      <c r="A11" s="539"/>
      <c r="B11" s="541"/>
      <c r="C11" s="545" t="s">
        <v>205</v>
      </c>
      <c r="D11" s="546"/>
      <c r="E11" s="546"/>
      <c r="F11" s="546"/>
      <c r="G11" s="546"/>
      <c r="H11" s="100"/>
      <c r="I11" s="100"/>
      <c r="J11" s="89"/>
      <c r="K11" s="543"/>
    </row>
    <row r="12" spans="1:11" x14ac:dyDescent="0.25">
      <c r="A12" s="539"/>
      <c r="B12" s="535" t="s">
        <v>9</v>
      </c>
      <c r="C12" s="99">
        <v>0</v>
      </c>
      <c r="D12" s="99">
        <v>0</v>
      </c>
      <c r="E12" s="533" t="s">
        <v>200</v>
      </c>
      <c r="F12" s="87">
        <v>2</v>
      </c>
      <c r="G12" s="99">
        <v>0</v>
      </c>
      <c r="H12" s="361"/>
      <c r="I12" s="548"/>
      <c r="J12" s="89">
        <f>SUM(C12:I12)</f>
        <v>2</v>
      </c>
      <c r="K12" s="543"/>
    </row>
    <row r="13" spans="1:11" x14ac:dyDescent="0.25">
      <c r="A13" s="539"/>
      <c r="B13" s="547"/>
      <c r="C13" s="550" t="s">
        <v>203</v>
      </c>
      <c r="D13" s="551"/>
      <c r="E13" s="534"/>
      <c r="F13" s="108" t="s">
        <v>146</v>
      </c>
      <c r="G13" s="362" t="s">
        <v>203</v>
      </c>
      <c r="H13" s="96"/>
      <c r="I13" s="549"/>
      <c r="J13" s="89"/>
      <c r="K13" s="543"/>
    </row>
    <row r="14" spans="1:11" ht="39" customHeight="1" x14ac:dyDescent="0.25">
      <c r="A14" s="539"/>
      <c r="B14" s="535" t="s">
        <v>202</v>
      </c>
      <c r="C14" s="533" t="s">
        <v>200</v>
      </c>
      <c r="D14" s="533" t="s">
        <v>200</v>
      </c>
      <c r="E14" s="533" t="s">
        <v>200</v>
      </c>
      <c r="F14" s="533" t="s">
        <v>200</v>
      </c>
      <c r="G14" s="533" t="s">
        <v>200</v>
      </c>
      <c r="I14" s="357">
        <v>8</v>
      </c>
      <c r="J14" s="89">
        <f>SUM(C14:I14)</f>
        <v>8</v>
      </c>
      <c r="K14" s="543"/>
    </row>
    <row r="15" spans="1:11" ht="45.75" customHeight="1" x14ac:dyDescent="0.25">
      <c r="A15" s="539"/>
      <c r="B15" s="547"/>
      <c r="C15" s="534"/>
      <c r="D15" s="534"/>
      <c r="E15" s="534"/>
      <c r="F15" s="534"/>
      <c r="G15" s="534"/>
      <c r="H15" s="558" t="s">
        <v>222</v>
      </c>
      <c r="I15" s="559"/>
      <c r="J15" s="89"/>
      <c r="K15" s="543"/>
    </row>
    <row r="16" spans="1:11" x14ac:dyDescent="0.25">
      <c r="A16" s="539"/>
      <c r="B16" s="535" t="s">
        <v>1</v>
      </c>
      <c r="C16" s="533" t="s">
        <v>200</v>
      </c>
      <c r="D16" s="533" t="s">
        <v>200</v>
      </c>
      <c r="E16" s="533" t="s">
        <v>200</v>
      </c>
      <c r="F16" s="364">
        <v>2</v>
      </c>
      <c r="G16" s="533" t="s">
        <v>200</v>
      </c>
      <c r="H16" s="528"/>
      <c r="I16" s="528"/>
      <c r="J16" s="89">
        <f>SUM(C16:I16)</f>
        <v>2</v>
      </c>
      <c r="K16" s="543"/>
    </row>
    <row r="17" spans="1:11" ht="15.75" thickBot="1" x14ac:dyDescent="0.3">
      <c r="A17" s="539"/>
      <c r="B17" s="536"/>
      <c r="C17" s="534"/>
      <c r="D17" s="534"/>
      <c r="E17" s="534"/>
      <c r="F17" s="108" t="s">
        <v>146</v>
      </c>
      <c r="G17" s="534"/>
      <c r="H17" s="529"/>
      <c r="I17" s="529"/>
      <c r="J17" s="89"/>
      <c r="K17" s="543"/>
    </row>
    <row r="18" spans="1:11" ht="30.75" thickBot="1" x14ac:dyDescent="0.3">
      <c r="A18" s="539"/>
      <c r="B18" s="91" t="s">
        <v>198</v>
      </c>
      <c r="C18" s="90"/>
      <c r="D18" s="90"/>
      <c r="E18" s="90"/>
      <c r="F18" s="90"/>
      <c r="G18" s="90"/>
      <c r="H18" s="90"/>
      <c r="I18" s="90"/>
      <c r="J18" s="89"/>
      <c r="K18" s="544"/>
    </row>
    <row r="19" spans="1:11" ht="15.75" thickBot="1" x14ac:dyDescent="0.3">
      <c r="A19" s="360"/>
      <c r="B19" s="88" t="s">
        <v>197</v>
      </c>
      <c r="C19" s="87">
        <v>2</v>
      </c>
      <c r="D19" s="87">
        <v>4</v>
      </c>
      <c r="E19" s="87">
        <v>2</v>
      </c>
      <c r="F19" s="87">
        <v>7</v>
      </c>
      <c r="G19" s="87">
        <v>4</v>
      </c>
      <c r="H19" s="361"/>
      <c r="I19" s="361"/>
      <c r="J19" s="85">
        <f>SUM(J10:J18)</f>
        <v>35.5</v>
      </c>
      <c r="K19" s="7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5.75" thickBot="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.75" thickBot="1" x14ac:dyDescent="0.3">
      <c r="A22" s="539" t="s">
        <v>221</v>
      </c>
      <c r="B22" s="105" t="s">
        <v>220</v>
      </c>
      <c r="C22" s="104" t="s">
        <v>2</v>
      </c>
      <c r="D22" s="104" t="s">
        <v>3</v>
      </c>
      <c r="E22" s="104" t="s">
        <v>4</v>
      </c>
      <c r="F22" s="104" t="s">
        <v>5</v>
      </c>
      <c r="G22" s="104" t="s">
        <v>6</v>
      </c>
      <c r="H22" s="104" t="s">
        <v>7</v>
      </c>
      <c r="I22" s="104" t="s">
        <v>8</v>
      </c>
      <c r="J22" s="103" t="s">
        <v>197</v>
      </c>
      <c r="K22" s="15"/>
    </row>
    <row r="23" spans="1:11" ht="15" customHeight="1" x14ac:dyDescent="0.25">
      <c r="A23" s="539"/>
      <c r="B23" s="540" t="s">
        <v>207</v>
      </c>
      <c r="C23" s="102">
        <v>2</v>
      </c>
      <c r="D23" s="15">
        <v>3</v>
      </c>
      <c r="E23" s="15"/>
      <c r="F23" s="15"/>
      <c r="G23" s="15"/>
      <c r="H23" s="101"/>
      <c r="I23" s="101"/>
      <c r="J23" s="89">
        <f>SUM(C23:I23)</f>
        <v>5</v>
      </c>
      <c r="K23" s="542" t="s">
        <v>219</v>
      </c>
    </row>
    <row r="24" spans="1:11" x14ac:dyDescent="0.25">
      <c r="A24" s="539"/>
      <c r="B24" s="541"/>
      <c r="C24" s="545" t="s">
        <v>205</v>
      </c>
      <c r="D24" s="546"/>
      <c r="E24" s="546"/>
      <c r="F24" s="546"/>
      <c r="G24" s="546"/>
      <c r="H24" s="100"/>
      <c r="I24" s="100"/>
      <c r="J24" s="95"/>
      <c r="K24" s="543"/>
    </row>
    <row r="25" spans="1:11" x14ac:dyDescent="0.25">
      <c r="A25" s="539"/>
      <c r="B25" s="535" t="s">
        <v>9</v>
      </c>
      <c r="C25" s="99">
        <v>2</v>
      </c>
      <c r="D25" s="99">
        <v>0</v>
      </c>
      <c r="E25" s="533" t="s">
        <v>200</v>
      </c>
      <c r="F25" s="87">
        <v>3</v>
      </c>
      <c r="G25" s="99">
        <v>2</v>
      </c>
      <c r="H25" s="361"/>
      <c r="I25" s="548"/>
      <c r="J25" s="89">
        <f>SUM(C25:I25)</f>
        <v>7</v>
      </c>
      <c r="K25" s="543"/>
    </row>
    <row r="26" spans="1:11" ht="60" customHeight="1" x14ac:dyDescent="0.25">
      <c r="A26" s="539"/>
      <c r="B26" s="547"/>
      <c r="C26" s="550" t="s">
        <v>203</v>
      </c>
      <c r="D26" s="551"/>
      <c r="E26" s="534"/>
      <c r="F26" s="98" t="s">
        <v>204</v>
      </c>
      <c r="G26" s="362" t="s">
        <v>203</v>
      </c>
      <c r="H26" s="96"/>
      <c r="I26" s="549"/>
      <c r="J26" s="95"/>
      <c r="K26" s="543"/>
    </row>
    <row r="27" spans="1:11" ht="30" customHeight="1" x14ac:dyDescent="0.25">
      <c r="A27" s="539"/>
      <c r="B27" s="535" t="s">
        <v>202</v>
      </c>
      <c r="C27" s="533" t="s">
        <v>200</v>
      </c>
      <c r="D27" s="533" t="s">
        <v>200</v>
      </c>
      <c r="E27" s="533" t="s">
        <v>200</v>
      </c>
      <c r="F27" s="533" t="s">
        <v>200</v>
      </c>
      <c r="G27" s="533" t="s">
        <v>200</v>
      </c>
      <c r="I27" s="356">
        <v>6</v>
      </c>
      <c r="J27" s="89">
        <f>SUM(C27:I27)</f>
        <v>6</v>
      </c>
      <c r="K27" s="543"/>
    </row>
    <row r="28" spans="1:11" x14ac:dyDescent="0.25">
      <c r="A28" s="539"/>
      <c r="B28" s="547"/>
      <c r="C28" s="534"/>
      <c r="D28" s="534"/>
      <c r="E28" s="534"/>
      <c r="F28" s="534"/>
      <c r="G28" s="534"/>
      <c r="H28" s="558" t="s">
        <v>222</v>
      </c>
      <c r="I28" s="559"/>
      <c r="J28" s="95"/>
      <c r="K28" s="543"/>
    </row>
    <row r="29" spans="1:11" x14ac:dyDescent="0.25">
      <c r="A29" s="539"/>
      <c r="B29" s="112" t="s">
        <v>217</v>
      </c>
      <c r="C29" s="111"/>
      <c r="D29" s="111"/>
      <c r="E29" s="111"/>
      <c r="F29" s="364">
        <v>2</v>
      </c>
      <c r="G29" s="111"/>
      <c r="H29" s="110"/>
      <c r="I29" s="110"/>
      <c r="J29" s="110">
        <v>2</v>
      </c>
      <c r="K29" s="543"/>
    </row>
    <row r="30" spans="1:11" ht="30" customHeight="1" x14ac:dyDescent="0.25">
      <c r="A30" s="539"/>
      <c r="B30" s="112"/>
      <c r="C30" s="111"/>
      <c r="D30" s="111"/>
      <c r="E30" s="111"/>
      <c r="F30" s="108" t="s">
        <v>146</v>
      </c>
      <c r="G30" s="111"/>
      <c r="H30" s="110"/>
      <c r="I30" s="110"/>
      <c r="J30" s="110"/>
      <c r="K30" s="543"/>
    </row>
    <row r="31" spans="1:11" ht="15.75" thickBot="1" x14ac:dyDescent="0.3">
      <c r="A31" s="539"/>
      <c r="B31" s="535" t="s">
        <v>1</v>
      </c>
      <c r="C31" s="533" t="s">
        <v>200</v>
      </c>
      <c r="D31" s="533" t="s">
        <v>200</v>
      </c>
      <c r="E31" s="533" t="s">
        <v>200</v>
      </c>
      <c r="F31" s="364">
        <v>2</v>
      </c>
      <c r="G31" s="533" t="s">
        <v>200</v>
      </c>
      <c r="H31" s="528"/>
      <c r="I31" s="528"/>
      <c r="J31" s="89">
        <f>SUM(C31:I31)</f>
        <v>2</v>
      </c>
      <c r="K31" s="544"/>
    </row>
    <row r="32" spans="1:11" ht="30.75" customHeight="1" thickBot="1" x14ac:dyDescent="0.3">
      <c r="A32" s="539"/>
      <c r="B32" s="536"/>
      <c r="C32" s="534"/>
      <c r="D32" s="534"/>
      <c r="E32" s="534"/>
      <c r="F32" s="108" t="s">
        <v>146</v>
      </c>
      <c r="G32" s="534"/>
      <c r="H32" s="529"/>
      <c r="I32" s="529"/>
      <c r="J32" s="513"/>
      <c r="K32" s="193"/>
    </row>
    <row r="33" spans="1:11" ht="30.75" thickBot="1" x14ac:dyDescent="0.3">
      <c r="A33" s="539"/>
      <c r="B33" s="91" t="s">
        <v>198</v>
      </c>
      <c r="C33" s="90"/>
      <c r="D33" s="90"/>
      <c r="E33" s="90"/>
      <c r="F33" s="90"/>
      <c r="G33" s="90"/>
      <c r="H33" s="90"/>
      <c r="I33" s="90"/>
      <c r="J33" s="514">
        <f>SUM(C32:I32)</f>
        <v>0</v>
      </c>
      <c r="K33" s="193"/>
    </row>
    <row r="34" spans="1:11" ht="15.75" thickBot="1" x14ac:dyDescent="0.3">
      <c r="A34" s="360"/>
      <c r="B34" s="88" t="s">
        <v>197</v>
      </c>
      <c r="C34" s="87">
        <v>2</v>
      </c>
      <c r="D34" s="87">
        <v>4</v>
      </c>
      <c r="E34" s="87">
        <v>2</v>
      </c>
      <c r="F34" s="87">
        <v>7</v>
      </c>
      <c r="G34" s="87">
        <v>4</v>
      </c>
      <c r="H34" s="361"/>
      <c r="I34" s="361"/>
      <c r="J34" s="85">
        <f>SUM(J23:J33)</f>
        <v>22</v>
      </c>
      <c r="K34" s="75"/>
    </row>
    <row r="35" spans="1:1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5.75" thickBo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5.75" thickBot="1" x14ac:dyDescent="0.3">
      <c r="A37" s="539" t="s">
        <v>216</v>
      </c>
      <c r="B37" s="105" t="s">
        <v>215</v>
      </c>
      <c r="C37" s="104" t="s">
        <v>2</v>
      </c>
      <c r="D37" s="104" t="s">
        <v>3</v>
      </c>
      <c r="E37" s="104" t="s">
        <v>4</v>
      </c>
      <c r="F37" s="104" t="s">
        <v>5</v>
      </c>
      <c r="G37" s="104" t="s">
        <v>6</v>
      </c>
      <c r="H37" s="104" t="s">
        <v>7</v>
      </c>
      <c r="I37" s="104" t="s">
        <v>8</v>
      </c>
      <c r="J37" s="103" t="s">
        <v>197</v>
      </c>
      <c r="K37" s="15"/>
    </row>
    <row r="38" spans="1:11" x14ac:dyDescent="0.25">
      <c r="A38" s="539"/>
      <c r="B38" s="540" t="s">
        <v>207</v>
      </c>
      <c r="C38" s="102"/>
      <c r="D38" s="15">
        <v>0.5</v>
      </c>
      <c r="E38" s="15"/>
      <c r="F38" s="15"/>
      <c r="G38" s="15"/>
      <c r="H38" s="101"/>
      <c r="I38" s="101"/>
      <c r="J38" s="89">
        <f>SUM(C38:I38)</f>
        <v>0.5</v>
      </c>
      <c r="K38" s="542" t="s">
        <v>214</v>
      </c>
    </row>
    <row r="39" spans="1:11" x14ac:dyDescent="0.25">
      <c r="A39" s="539"/>
      <c r="B39" s="541"/>
      <c r="C39" s="545" t="s">
        <v>205</v>
      </c>
      <c r="D39" s="546"/>
      <c r="E39" s="546"/>
      <c r="F39" s="546"/>
      <c r="G39" s="546"/>
      <c r="H39" s="100"/>
      <c r="I39" s="100"/>
      <c r="J39" s="95"/>
      <c r="K39" s="543"/>
    </row>
    <row r="40" spans="1:11" x14ac:dyDescent="0.25">
      <c r="A40" s="539"/>
      <c r="B40" s="535" t="s">
        <v>9</v>
      </c>
      <c r="C40" s="99">
        <v>2</v>
      </c>
      <c r="D40" s="99">
        <v>4</v>
      </c>
      <c r="E40" s="533" t="s">
        <v>200</v>
      </c>
      <c r="F40" s="87">
        <v>7</v>
      </c>
      <c r="G40" s="99">
        <v>2</v>
      </c>
      <c r="H40" s="361"/>
      <c r="I40" s="548"/>
      <c r="J40" s="89">
        <f>SUM(C40:I40)</f>
        <v>15</v>
      </c>
      <c r="K40" s="543"/>
    </row>
    <row r="41" spans="1:11" ht="30" x14ac:dyDescent="0.25">
      <c r="A41" s="539"/>
      <c r="B41" s="547"/>
      <c r="C41" s="550" t="s">
        <v>203</v>
      </c>
      <c r="D41" s="551"/>
      <c r="E41" s="534"/>
      <c r="F41" s="98" t="s">
        <v>204</v>
      </c>
      <c r="G41" s="362" t="s">
        <v>203</v>
      </c>
      <c r="H41" s="96"/>
      <c r="I41" s="549"/>
      <c r="J41" s="95"/>
      <c r="K41" s="543"/>
    </row>
    <row r="42" spans="1:11" ht="60" x14ac:dyDescent="0.25">
      <c r="A42" s="539"/>
      <c r="B42" s="112" t="s">
        <v>217</v>
      </c>
      <c r="C42" s="533" t="s">
        <v>200</v>
      </c>
      <c r="D42" s="533" t="s">
        <v>200</v>
      </c>
      <c r="E42" s="533" t="s">
        <v>200</v>
      </c>
      <c r="F42" s="364">
        <v>2</v>
      </c>
      <c r="G42" s="533" t="s">
        <v>200</v>
      </c>
      <c r="H42" s="356" t="s">
        <v>201</v>
      </c>
      <c r="I42" s="357"/>
      <c r="J42" s="89">
        <f>SUM(C42:I42)</f>
        <v>2</v>
      </c>
      <c r="K42" s="543"/>
    </row>
    <row r="43" spans="1:11" ht="15" customHeight="1" x14ac:dyDescent="0.25">
      <c r="A43" s="539"/>
      <c r="B43" s="112"/>
      <c r="C43" s="534"/>
      <c r="D43" s="534"/>
      <c r="E43" s="534"/>
      <c r="F43" s="108" t="s">
        <v>146</v>
      </c>
      <c r="G43" s="534"/>
      <c r="H43" s="358"/>
      <c r="I43" s="359"/>
      <c r="J43" s="95"/>
      <c r="K43" s="543"/>
    </row>
    <row r="44" spans="1:11" x14ac:dyDescent="0.25">
      <c r="A44" s="539"/>
      <c r="B44" s="535" t="s">
        <v>1</v>
      </c>
      <c r="C44" s="533" t="s">
        <v>200</v>
      </c>
      <c r="D44" s="533" t="s">
        <v>200</v>
      </c>
      <c r="E44" s="533" t="s">
        <v>200</v>
      </c>
      <c r="F44" s="364">
        <v>2</v>
      </c>
      <c r="G44" s="533" t="s">
        <v>200</v>
      </c>
      <c r="H44" s="528"/>
      <c r="I44" s="528"/>
      <c r="J44" s="89">
        <f>SUM(C44:I44)</f>
        <v>2</v>
      </c>
      <c r="K44" s="543"/>
    </row>
    <row r="45" spans="1:11" ht="15.75" thickBot="1" x14ac:dyDescent="0.3">
      <c r="A45" s="539"/>
      <c r="B45" s="536"/>
      <c r="C45" s="534"/>
      <c r="D45" s="534"/>
      <c r="E45" s="534"/>
      <c r="F45" s="108" t="s">
        <v>146</v>
      </c>
      <c r="G45" s="534"/>
      <c r="H45" s="529"/>
      <c r="I45" s="529"/>
      <c r="J45" s="95"/>
      <c r="K45" s="543"/>
    </row>
    <row r="46" spans="1:11" ht="15.75" customHeight="1" thickBot="1" x14ac:dyDescent="0.3">
      <c r="A46" s="539"/>
      <c r="B46" s="556" t="s">
        <v>202</v>
      </c>
      <c r="C46" s="90"/>
      <c r="D46" s="90"/>
      <c r="E46" s="90"/>
      <c r="F46" s="90"/>
      <c r="G46" s="90"/>
      <c r="I46" s="356">
        <v>5</v>
      </c>
      <c r="J46" s="89">
        <f>SUM(H46:I46)</f>
        <v>5</v>
      </c>
      <c r="K46" s="544"/>
    </row>
    <row r="47" spans="1:11" ht="15.75" customHeight="1" thickBot="1" x14ac:dyDescent="0.3">
      <c r="A47" s="360"/>
      <c r="B47" s="557"/>
      <c r="C47" s="361"/>
      <c r="D47" s="361"/>
      <c r="E47" s="361"/>
      <c r="F47" s="361"/>
      <c r="G47" s="361"/>
      <c r="H47" s="558" t="s">
        <v>222</v>
      </c>
      <c r="I47" s="559"/>
      <c r="J47" s="348"/>
      <c r="K47" s="515"/>
    </row>
    <row r="48" spans="1:11" ht="15.75" customHeight="1" thickBot="1" x14ac:dyDescent="0.3">
      <c r="A48" s="360"/>
      <c r="B48" s="88" t="s">
        <v>197</v>
      </c>
      <c r="C48" s="87">
        <v>2</v>
      </c>
      <c r="D48" s="87">
        <v>4</v>
      </c>
      <c r="E48" s="87">
        <v>2</v>
      </c>
      <c r="F48" s="87">
        <v>7</v>
      </c>
      <c r="G48" s="87">
        <v>4</v>
      </c>
      <c r="H48" s="361"/>
      <c r="I48" s="361"/>
      <c r="J48" s="85">
        <f>SUM(J38:J47)</f>
        <v>24.5</v>
      </c>
      <c r="K48" s="75"/>
    </row>
    <row r="49" spans="1:1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75" thickBot="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ht="15.75" thickBot="1" x14ac:dyDescent="0.3">
      <c r="A51" s="539" t="s">
        <v>213</v>
      </c>
      <c r="B51" s="105" t="s">
        <v>208</v>
      </c>
      <c r="C51" s="104" t="s">
        <v>2</v>
      </c>
      <c r="D51" s="104" t="s">
        <v>3</v>
      </c>
      <c r="E51" s="104" t="s">
        <v>4</v>
      </c>
      <c r="F51" s="104" t="s">
        <v>5</v>
      </c>
      <c r="G51" s="104" t="s">
        <v>6</v>
      </c>
      <c r="H51" s="104" t="s">
        <v>7</v>
      </c>
      <c r="I51" s="104" t="s">
        <v>8</v>
      </c>
      <c r="J51" s="103" t="s">
        <v>197</v>
      </c>
      <c r="K51" s="15"/>
    </row>
    <row r="52" spans="1:11" x14ac:dyDescent="0.25">
      <c r="A52" s="539"/>
      <c r="B52" s="540" t="s">
        <v>207</v>
      </c>
      <c r="C52" s="102"/>
      <c r="D52" s="15">
        <v>2</v>
      </c>
      <c r="E52" s="15"/>
      <c r="F52" s="15"/>
      <c r="G52" s="15"/>
      <c r="H52" s="101"/>
      <c r="I52" s="101"/>
      <c r="J52" s="89">
        <f>SUM(C52:I52)</f>
        <v>2</v>
      </c>
      <c r="K52" s="542" t="s">
        <v>212</v>
      </c>
    </row>
    <row r="53" spans="1:11" x14ac:dyDescent="0.25">
      <c r="A53" s="539"/>
      <c r="B53" s="541"/>
      <c r="C53" s="545" t="s">
        <v>205</v>
      </c>
      <c r="D53" s="546"/>
      <c r="E53" s="546"/>
      <c r="F53" s="546"/>
      <c r="G53" s="546"/>
      <c r="H53" s="100"/>
      <c r="I53" s="100"/>
      <c r="J53" s="95"/>
      <c r="K53" s="543"/>
    </row>
    <row r="54" spans="1:11" x14ac:dyDescent="0.25">
      <c r="A54" s="539"/>
      <c r="B54" s="535" t="s">
        <v>9</v>
      </c>
      <c r="C54" s="99">
        <v>2</v>
      </c>
      <c r="D54" s="99">
        <v>4</v>
      </c>
      <c r="E54" s="533" t="s">
        <v>200</v>
      </c>
      <c r="F54" s="87">
        <v>7</v>
      </c>
      <c r="G54" s="99">
        <v>2</v>
      </c>
      <c r="H54" s="361"/>
      <c r="I54" s="548"/>
      <c r="J54" s="89">
        <f>SUM(C54:I54)</f>
        <v>15</v>
      </c>
      <c r="K54" s="543"/>
    </row>
    <row r="55" spans="1:11" ht="30" x14ac:dyDescent="0.25">
      <c r="A55" s="539"/>
      <c r="B55" s="547"/>
      <c r="C55" s="550" t="s">
        <v>203</v>
      </c>
      <c r="D55" s="551"/>
      <c r="E55" s="534"/>
      <c r="F55" s="98" t="s">
        <v>204</v>
      </c>
      <c r="G55" s="362" t="s">
        <v>203</v>
      </c>
      <c r="H55" s="96"/>
      <c r="I55" s="549"/>
      <c r="J55" s="95"/>
      <c r="K55" s="543"/>
    </row>
    <row r="56" spans="1:11" ht="30" customHeight="1" x14ac:dyDescent="0.25">
      <c r="A56" s="539"/>
      <c r="B56" s="112" t="s">
        <v>217</v>
      </c>
      <c r="C56" s="533" t="s">
        <v>200</v>
      </c>
      <c r="D56" s="533" t="s">
        <v>200</v>
      </c>
      <c r="E56" s="533" t="s">
        <v>200</v>
      </c>
      <c r="F56" s="364">
        <v>2</v>
      </c>
      <c r="G56" s="533" t="s">
        <v>200</v>
      </c>
      <c r="H56" s="562" t="s">
        <v>201</v>
      </c>
      <c r="I56" s="563"/>
      <c r="J56" s="89">
        <f>SUM(C56:I56)</f>
        <v>2</v>
      </c>
      <c r="K56" s="543"/>
    </row>
    <row r="57" spans="1:11" x14ac:dyDescent="0.25">
      <c r="A57" s="539"/>
      <c r="B57" s="112"/>
      <c r="C57" s="534"/>
      <c r="D57" s="534"/>
      <c r="E57" s="534"/>
      <c r="F57" s="108" t="s">
        <v>146</v>
      </c>
      <c r="G57" s="534"/>
      <c r="H57" s="558"/>
      <c r="I57" s="559"/>
      <c r="J57" s="95"/>
      <c r="K57" s="543"/>
    </row>
    <row r="58" spans="1:11" x14ac:dyDescent="0.25">
      <c r="A58" s="539"/>
      <c r="B58" s="535" t="s">
        <v>1</v>
      </c>
      <c r="C58" s="533" t="s">
        <v>200</v>
      </c>
      <c r="D58" s="533" t="s">
        <v>200</v>
      </c>
      <c r="E58" s="533" t="s">
        <v>200</v>
      </c>
      <c r="F58" s="356">
        <v>2</v>
      </c>
      <c r="G58" s="533" t="s">
        <v>200</v>
      </c>
      <c r="H58" s="528"/>
      <c r="I58" s="528"/>
      <c r="J58" s="89">
        <f>SUM(C58:I58)</f>
        <v>2</v>
      </c>
      <c r="K58" s="543"/>
    </row>
    <row r="59" spans="1:11" x14ac:dyDescent="0.25">
      <c r="A59" s="539"/>
      <c r="B59" s="536"/>
      <c r="C59" s="561"/>
      <c r="D59" s="561"/>
      <c r="E59" s="561"/>
      <c r="F59" s="196" t="s">
        <v>146</v>
      </c>
      <c r="G59" s="561"/>
      <c r="H59" s="529"/>
      <c r="I59" s="529"/>
      <c r="J59" s="95"/>
      <c r="K59" s="543"/>
    </row>
    <row r="60" spans="1:11" x14ac:dyDescent="0.25">
      <c r="A60" s="539"/>
      <c r="B60" s="535" t="s">
        <v>539</v>
      </c>
      <c r="C60" s="537" t="s">
        <v>435</v>
      </c>
      <c r="D60" s="537"/>
      <c r="E60" s="537"/>
      <c r="F60" s="537"/>
      <c r="G60" s="537"/>
      <c r="H60" s="363"/>
      <c r="I60" s="363"/>
      <c r="J60" s="348"/>
      <c r="K60" s="543"/>
    </row>
    <row r="61" spans="1:11" ht="15.75" thickBot="1" x14ac:dyDescent="0.3">
      <c r="A61" s="539"/>
      <c r="B61" s="536"/>
      <c r="C61" s="538"/>
      <c r="D61" s="538"/>
      <c r="E61" s="538"/>
      <c r="F61" s="538"/>
      <c r="G61" s="538"/>
      <c r="H61" s="363"/>
      <c r="I61" s="363"/>
      <c r="J61" s="348"/>
      <c r="K61" s="543"/>
    </row>
    <row r="62" spans="1:11" ht="15.75" thickBot="1" x14ac:dyDescent="0.3">
      <c r="A62" s="539"/>
      <c r="B62" s="556" t="s">
        <v>202</v>
      </c>
      <c r="C62" s="90"/>
      <c r="D62" s="90"/>
      <c r="E62" s="90"/>
      <c r="F62" s="90"/>
      <c r="G62" s="90"/>
      <c r="I62" s="356">
        <v>5</v>
      </c>
      <c r="J62" s="89">
        <f>SUM(H62:I62)</f>
        <v>5</v>
      </c>
      <c r="K62" s="544"/>
    </row>
    <row r="63" spans="1:11" ht="15.75" thickBot="1" x14ac:dyDescent="0.3">
      <c r="A63" s="360"/>
      <c r="B63" s="557"/>
      <c r="C63" s="361"/>
      <c r="D63" s="361"/>
      <c r="E63" s="361"/>
      <c r="F63" s="361"/>
      <c r="G63" s="361"/>
      <c r="H63" s="558" t="s">
        <v>222</v>
      </c>
      <c r="I63" s="559"/>
      <c r="J63" s="348"/>
      <c r="K63" s="515"/>
    </row>
    <row r="64" spans="1:11" ht="15.75" thickBot="1" x14ac:dyDescent="0.3">
      <c r="A64" s="360"/>
      <c r="B64" s="88" t="s">
        <v>197</v>
      </c>
      <c r="C64" s="87">
        <v>2</v>
      </c>
      <c r="D64" s="87">
        <v>4</v>
      </c>
      <c r="E64" s="87">
        <v>2</v>
      </c>
      <c r="F64" s="87">
        <v>7</v>
      </c>
      <c r="G64" s="87">
        <v>4</v>
      </c>
      <c r="H64" s="361"/>
      <c r="I64" s="361"/>
      <c r="J64" s="85">
        <f>SUM(J52:J63)</f>
        <v>26</v>
      </c>
      <c r="K64" s="75"/>
    </row>
    <row r="65" spans="1:11" x14ac:dyDescent="0.25">
      <c r="A65" s="80"/>
      <c r="B65" s="79"/>
      <c r="C65" s="78"/>
      <c r="D65" s="78"/>
      <c r="E65" s="78"/>
      <c r="F65" s="78"/>
      <c r="G65" s="78"/>
      <c r="H65" s="77"/>
      <c r="I65" s="77"/>
      <c r="J65" s="365"/>
      <c r="K65" s="75"/>
    </row>
    <row r="66" spans="1:11" ht="15.75" thickBot="1" x14ac:dyDescent="0.3">
      <c r="A66" s="80"/>
      <c r="B66" s="79"/>
      <c r="C66" s="78"/>
      <c r="D66" s="78"/>
      <c r="E66" s="78"/>
      <c r="F66" s="78"/>
      <c r="G66" s="78"/>
      <c r="H66" s="77"/>
      <c r="I66" s="77"/>
      <c r="J66" s="365"/>
      <c r="K66" s="75"/>
    </row>
    <row r="67" spans="1:11" ht="15.75" customHeight="1" thickBot="1" x14ac:dyDescent="0.3">
      <c r="A67" s="560" t="s">
        <v>211</v>
      </c>
      <c r="B67" s="105" t="s">
        <v>208</v>
      </c>
      <c r="C67" s="104" t="s">
        <v>2</v>
      </c>
      <c r="D67" s="104" t="s">
        <v>3</v>
      </c>
      <c r="E67" s="104" t="s">
        <v>4</v>
      </c>
      <c r="F67" s="104" t="s">
        <v>5</v>
      </c>
      <c r="G67" s="104" t="s">
        <v>6</v>
      </c>
      <c r="H67" s="104" t="s">
        <v>7</v>
      </c>
      <c r="I67" s="104" t="s">
        <v>8</v>
      </c>
      <c r="J67" s="103" t="s">
        <v>197</v>
      </c>
      <c r="K67" s="15"/>
    </row>
    <row r="68" spans="1:11" x14ac:dyDescent="0.25">
      <c r="A68" s="560"/>
      <c r="B68" s="540" t="s">
        <v>207</v>
      </c>
      <c r="C68" s="102"/>
      <c r="D68" s="15"/>
      <c r="E68" s="15"/>
      <c r="F68" s="15">
        <v>3</v>
      </c>
      <c r="G68" s="15"/>
      <c r="H68" s="101"/>
      <c r="I68" s="101"/>
      <c r="J68" s="89">
        <f>SUM(C68:I68)</f>
        <v>3</v>
      </c>
      <c r="K68" s="542" t="s">
        <v>210</v>
      </c>
    </row>
    <row r="69" spans="1:11" x14ac:dyDescent="0.25">
      <c r="A69" s="560"/>
      <c r="B69" s="541"/>
      <c r="C69" s="545" t="s">
        <v>205</v>
      </c>
      <c r="D69" s="546"/>
      <c r="E69" s="546"/>
      <c r="F69" s="546"/>
      <c r="G69" s="546"/>
      <c r="H69" s="100"/>
      <c r="I69" s="100"/>
      <c r="J69" s="95"/>
      <c r="K69" s="543"/>
    </row>
    <row r="70" spans="1:11" x14ac:dyDescent="0.25">
      <c r="A70" s="560"/>
      <c r="B70" s="535" t="s">
        <v>9</v>
      </c>
      <c r="C70" s="99">
        <v>2</v>
      </c>
      <c r="D70" s="99">
        <v>4</v>
      </c>
      <c r="E70" s="533" t="s">
        <v>200</v>
      </c>
      <c r="F70" s="87">
        <v>7</v>
      </c>
      <c r="G70" s="99">
        <v>2</v>
      </c>
      <c r="H70" s="361"/>
      <c r="I70" s="548"/>
      <c r="J70" s="89">
        <f>SUM(C70:I70)</f>
        <v>15</v>
      </c>
      <c r="K70" s="543"/>
    </row>
    <row r="71" spans="1:11" ht="60" customHeight="1" x14ac:dyDescent="0.25">
      <c r="A71" s="560"/>
      <c r="B71" s="547"/>
      <c r="C71" s="550" t="s">
        <v>203</v>
      </c>
      <c r="D71" s="551"/>
      <c r="E71" s="534"/>
      <c r="F71" s="98" t="s">
        <v>204</v>
      </c>
      <c r="G71" s="362" t="s">
        <v>203</v>
      </c>
      <c r="H71" s="96"/>
      <c r="I71" s="549"/>
      <c r="J71" s="95"/>
      <c r="K71" s="543"/>
    </row>
    <row r="72" spans="1:11" ht="30" customHeight="1" x14ac:dyDescent="0.25">
      <c r="A72" s="560"/>
      <c r="B72" s="112" t="s">
        <v>217</v>
      </c>
      <c r="C72" s="533" t="s">
        <v>200</v>
      </c>
      <c r="D72" s="533" t="s">
        <v>200</v>
      </c>
      <c r="E72" s="533" t="s">
        <v>200</v>
      </c>
      <c r="F72" s="364">
        <v>2</v>
      </c>
      <c r="G72" s="533" t="s">
        <v>200</v>
      </c>
      <c r="H72" s="356" t="s">
        <v>201</v>
      </c>
      <c r="I72" s="357">
        <v>2</v>
      </c>
      <c r="J72" s="89">
        <f>SUM(C72:I72)</f>
        <v>4</v>
      </c>
      <c r="K72" s="543"/>
    </row>
    <row r="73" spans="1:11" ht="30" customHeight="1" x14ac:dyDescent="0.25">
      <c r="A73" s="560"/>
      <c r="B73" s="112"/>
      <c r="C73" s="534"/>
      <c r="D73" s="534"/>
      <c r="E73" s="534"/>
      <c r="F73" s="108" t="s">
        <v>146</v>
      </c>
      <c r="G73" s="534"/>
      <c r="H73" s="358"/>
      <c r="I73" s="359"/>
      <c r="J73" s="95"/>
      <c r="K73" s="543"/>
    </row>
    <row r="74" spans="1:11" x14ac:dyDescent="0.25">
      <c r="A74" s="560"/>
      <c r="B74" s="516" t="s">
        <v>1</v>
      </c>
      <c r="C74" s="552" t="s">
        <v>200</v>
      </c>
      <c r="D74" s="553"/>
      <c r="E74" s="553"/>
      <c r="F74" s="517">
        <v>2</v>
      </c>
      <c r="G74" s="553" t="s">
        <v>200</v>
      </c>
      <c r="H74" s="518"/>
      <c r="I74" s="518"/>
      <c r="J74" s="519">
        <f>SUM(C74:I74)</f>
        <v>2</v>
      </c>
      <c r="K74" s="543"/>
    </row>
    <row r="75" spans="1:11" ht="30" x14ac:dyDescent="0.25">
      <c r="A75" s="560"/>
      <c r="B75" s="520"/>
      <c r="C75" s="554"/>
      <c r="D75" s="555"/>
      <c r="E75" s="555"/>
      <c r="F75" s="521" t="s">
        <v>199</v>
      </c>
      <c r="G75" s="555"/>
      <c r="H75" s="522"/>
      <c r="I75" s="522"/>
      <c r="J75" s="523"/>
      <c r="K75" s="543"/>
    </row>
    <row r="76" spans="1:11" x14ac:dyDescent="0.25">
      <c r="A76" s="560"/>
      <c r="B76" s="169" t="s">
        <v>202</v>
      </c>
      <c r="C76" s="537" t="s">
        <v>435</v>
      </c>
      <c r="D76" s="537"/>
      <c r="E76" s="537"/>
      <c r="F76" s="537"/>
      <c r="G76" s="537"/>
      <c r="H76" s="363"/>
      <c r="I76" s="363"/>
      <c r="J76" s="348"/>
      <c r="K76" s="543"/>
    </row>
    <row r="77" spans="1:11" ht="45.75" customHeight="1" thickBot="1" x14ac:dyDescent="0.3">
      <c r="A77" s="560"/>
      <c r="B77" s="170"/>
      <c r="C77" s="538"/>
      <c r="D77" s="538"/>
      <c r="E77" s="538"/>
      <c r="F77" s="538"/>
      <c r="G77" s="538"/>
      <c r="H77" s="363"/>
      <c r="I77" s="363"/>
      <c r="J77" s="348"/>
      <c r="K77" s="543"/>
    </row>
    <row r="78" spans="1:11" ht="15.75" customHeight="1" thickBot="1" x14ac:dyDescent="0.3">
      <c r="A78" s="560"/>
      <c r="B78" s="91" t="s">
        <v>198</v>
      </c>
      <c r="C78" s="90"/>
      <c r="D78" s="90"/>
      <c r="E78" s="90"/>
      <c r="F78" s="90"/>
      <c r="G78" s="90"/>
      <c r="H78" s="90"/>
      <c r="I78" s="90"/>
      <c r="J78" s="89">
        <f>SUM(C77:I77)</f>
        <v>0</v>
      </c>
      <c r="K78" s="544"/>
    </row>
    <row r="79" spans="1:11" ht="15.75" thickBot="1" x14ac:dyDescent="0.3">
      <c r="A79" s="360"/>
      <c r="B79" s="88" t="s">
        <v>197</v>
      </c>
      <c r="C79" s="87">
        <v>2</v>
      </c>
      <c r="D79" s="87">
        <v>4</v>
      </c>
      <c r="E79" s="87">
        <v>2</v>
      </c>
      <c r="F79" s="87">
        <v>7</v>
      </c>
      <c r="G79" s="87">
        <v>4</v>
      </c>
      <c r="H79" s="361"/>
      <c r="I79" s="361"/>
      <c r="J79" s="85">
        <f>SUM(J68:J78)</f>
        <v>24</v>
      </c>
      <c r="K79" s="75"/>
    </row>
    <row r="80" spans="1:11" x14ac:dyDescent="0.25">
      <c r="A80" s="80"/>
      <c r="B80" s="79"/>
      <c r="C80" s="78"/>
      <c r="D80" s="80"/>
      <c r="E80" s="79"/>
      <c r="F80" s="78"/>
      <c r="G80" s="78"/>
      <c r="H80" s="77"/>
      <c r="I80" s="77"/>
      <c r="J80" s="365"/>
      <c r="K80" s="75"/>
    </row>
    <row r="81" spans="1:11" ht="15.75" thickBot="1" x14ac:dyDescent="0.3">
      <c r="A81" s="80"/>
      <c r="B81" s="79"/>
      <c r="C81" s="78"/>
      <c r="D81" s="80"/>
      <c r="E81" s="79"/>
      <c r="F81" s="78"/>
      <c r="G81" s="78"/>
      <c r="H81" s="77"/>
      <c r="I81" s="77"/>
      <c r="J81" s="365"/>
      <c r="K81" s="75"/>
    </row>
    <row r="82" spans="1:11" ht="15.75" thickBot="1" x14ac:dyDescent="0.3">
      <c r="A82" s="539" t="s">
        <v>209</v>
      </c>
      <c r="B82" s="105" t="s">
        <v>208</v>
      </c>
      <c r="C82" s="104" t="s">
        <v>2</v>
      </c>
      <c r="D82" s="104" t="s">
        <v>3</v>
      </c>
      <c r="E82" s="104" t="s">
        <v>4</v>
      </c>
      <c r="F82" s="104" t="s">
        <v>5</v>
      </c>
      <c r="G82" s="104" t="s">
        <v>6</v>
      </c>
      <c r="H82" s="104" t="s">
        <v>7</v>
      </c>
      <c r="I82" s="104" t="s">
        <v>8</v>
      </c>
      <c r="J82" s="103" t="s">
        <v>197</v>
      </c>
      <c r="K82" s="15"/>
    </row>
    <row r="83" spans="1:11" x14ac:dyDescent="0.25">
      <c r="A83" s="539"/>
      <c r="B83" s="540" t="s">
        <v>207</v>
      </c>
      <c r="C83" s="102"/>
      <c r="D83" s="15">
        <v>3</v>
      </c>
      <c r="E83" s="15"/>
      <c r="F83" s="15"/>
      <c r="G83" s="15"/>
      <c r="H83" s="101"/>
      <c r="I83" s="101"/>
      <c r="J83" s="89">
        <f>SUM(C83:I83)</f>
        <v>3</v>
      </c>
      <c r="K83" s="542" t="s">
        <v>206</v>
      </c>
    </row>
    <row r="84" spans="1:11" x14ac:dyDescent="0.25">
      <c r="A84" s="539"/>
      <c r="B84" s="541"/>
      <c r="C84" s="545" t="s">
        <v>205</v>
      </c>
      <c r="D84" s="546"/>
      <c r="E84" s="546"/>
      <c r="F84" s="546"/>
      <c r="G84" s="546"/>
      <c r="H84" s="100"/>
      <c r="I84" s="100"/>
      <c r="J84" s="95"/>
      <c r="K84" s="543"/>
    </row>
    <row r="85" spans="1:11" x14ac:dyDescent="0.25">
      <c r="A85" s="539"/>
      <c r="B85" s="535" t="s">
        <v>9</v>
      </c>
      <c r="C85" s="99">
        <v>2</v>
      </c>
      <c r="D85" s="99">
        <v>4</v>
      </c>
      <c r="E85" s="533" t="s">
        <v>200</v>
      </c>
      <c r="F85" s="87">
        <v>7</v>
      </c>
      <c r="G85" s="99">
        <v>2</v>
      </c>
      <c r="H85" s="361"/>
      <c r="I85" s="548"/>
      <c r="J85" s="89">
        <f>SUM(C85:I85)</f>
        <v>15</v>
      </c>
      <c r="K85" s="543"/>
    </row>
    <row r="86" spans="1:11" ht="30" x14ac:dyDescent="0.25">
      <c r="A86" s="539"/>
      <c r="B86" s="547"/>
      <c r="C86" s="550" t="s">
        <v>203</v>
      </c>
      <c r="D86" s="551"/>
      <c r="E86" s="534"/>
      <c r="F86" s="98" t="s">
        <v>204</v>
      </c>
      <c r="G86" s="362" t="s">
        <v>203</v>
      </c>
      <c r="H86" s="96"/>
      <c r="I86" s="549"/>
      <c r="J86" s="95"/>
      <c r="K86" s="543"/>
    </row>
    <row r="87" spans="1:11" x14ac:dyDescent="0.25">
      <c r="A87" s="539"/>
      <c r="B87" s="112" t="s">
        <v>217</v>
      </c>
      <c r="C87" s="533" t="s">
        <v>200</v>
      </c>
      <c r="D87" s="533" t="s">
        <v>200</v>
      </c>
      <c r="E87" s="357">
        <v>5</v>
      </c>
      <c r="F87" s="364">
        <v>2</v>
      </c>
      <c r="G87" s="357">
        <v>1</v>
      </c>
      <c r="J87" s="89">
        <f>SUM(C87:H87)</f>
        <v>8</v>
      </c>
      <c r="K87" s="543"/>
    </row>
    <row r="88" spans="1:11" ht="60" x14ac:dyDescent="0.25">
      <c r="A88" s="539"/>
      <c r="B88" s="112"/>
      <c r="C88" s="534"/>
      <c r="D88" s="534"/>
      <c r="E88" s="362" t="s">
        <v>203</v>
      </c>
      <c r="F88" s="108" t="s">
        <v>146</v>
      </c>
      <c r="G88" s="362" t="s">
        <v>203</v>
      </c>
      <c r="H88" s="356" t="s">
        <v>201</v>
      </c>
      <c r="I88" s="359"/>
      <c r="J88" s="95"/>
      <c r="K88" s="543"/>
    </row>
    <row r="89" spans="1:11" x14ac:dyDescent="0.25">
      <c r="A89" s="539"/>
      <c r="B89" s="535" t="s">
        <v>202</v>
      </c>
      <c r="C89" s="537" t="s">
        <v>435</v>
      </c>
      <c r="D89" s="537"/>
      <c r="E89" s="537"/>
      <c r="F89" s="537"/>
      <c r="G89" s="537"/>
      <c r="H89" s="363"/>
      <c r="I89" s="363"/>
      <c r="J89" s="348"/>
      <c r="K89" s="543"/>
    </row>
    <row r="90" spans="1:11" x14ac:dyDescent="0.25">
      <c r="A90" s="539"/>
      <c r="B90" s="536"/>
      <c r="C90" s="538"/>
      <c r="D90" s="538"/>
      <c r="E90" s="538"/>
      <c r="F90" s="538"/>
      <c r="G90" s="538"/>
      <c r="H90" s="363"/>
      <c r="I90" s="363"/>
      <c r="J90" s="348"/>
      <c r="K90" s="543"/>
    </row>
    <row r="91" spans="1:11" x14ac:dyDescent="0.25">
      <c r="A91" s="539"/>
      <c r="B91" s="535" t="s">
        <v>1</v>
      </c>
      <c r="C91" s="533" t="s">
        <v>200</v>
      </c>
      <c r="D91" s="533" t="s">
        <v>200</v>
      </c>
      <c r="E91" s="533" t="s">
        <v>200</v>
      </c>
      <c r="F91" s="356">
        <v>2</v>
      </c>
      <c r="G91" s="533" t="s">
        <v>200</v>
      </c>
      <c r="H91" s="528"/>
      <c r="I91" s="528"/>
      <c r="J91" s="89">
        <f>SUM(C91:I91)</f>
        <v>2</v>
      </c>
      <c r="K91" s="543"/>
    </row>
    <row r="92" spans="1:11" ht="30.75" thickBot="1" x14ac:dyDescent="0.3">
      <c r="A92" s="539"/>
      <c r="B92" s="536"/>
      <c r="C92" s="534"/>
      <c r="D92" s="534"/>
      <c r="E92" s="534"/>
      <c r="F92" s="93" t="s">
        <v>199</v>
      </c>
      <c r="G92" s="534"/>
      <c r="H92" s="529"/>
      <c r="I92" s="529"/>
      <c r="J92" s="95"/>
      <c r="K92" s="543"/>
    </row>
    <row r="93" spans="1:11" ht="30.75" thickBot="1" x14ac:dyDescent="0.3">
      <c r="A93" s="539"/>
      <c r="B93" s="91" t="s">
        <v>198</v>
      </c>
      <c r="C93" s="90"/>
      <c r="D93" s="90"/>
      <c r="E93" s="90"/>
      <c r="F93" s="90"/>
      <c r="G93" s="90"/>
      <c r="H93" s="90"/>
      <c r="I93" s="90"/>
      <c r="J93" s="89">
        <f>SUM(C93:I93)</f>
        <v>0</v>
      </c>
      <c r="K93" s="544"/>
    </row>
    <row r="94" spans="1:11" ht="15.75" thickBot="1" x14ac:dyDescent="0.3">
      <c r="A94" s="360"/>
      <c r="B94" s="88" t="s">
        <v>197</v>
      </c>
      <c r="C94" s="87">
        <f t="shared" ref="C94:H94" si="0">SUM(F88,C91,C87,C85)</f>
        <v>2</v>
      </c>
      <c r="D94" s="87">
        <f t="shared" si="0"/>
        <v>4</v>
      </c>
      <c r="E94" s="87">
        <f t="shared" si="0"/>
        <v>5</v>
      </c>
      <c r="F94" s="87">
        <f t="shared" si="0"/>
        <v>11</v>
      </c>
      <c r="G94" s="87">
        <f t="shared" si="0"/>
        <v>3</v>
      </c>
      <c r="H94" s="87">
        <f t="shared" si="0"/>
        <v>0</v>
      </c>
      <c r="I94" s="87" t="e">
        <f>SUM(#REF!,I91,I87,I85)</f>
        <v>#REF!</v>
      </c>
      <c r="J94" s="85">
        <f>SUM(J83:J93)</f>
        <v>28</v>
      </c>
      <c r="K94" s="75"/>
    </row>
    <row r="95" spans="1:11" x14ac:dyDescent="0.25">
      <c r="A95" s="360"/>
      <c r="B95" s="82"/>
      <c r="C95" s="82"/>
      <c r="D95" s="82"/>
      <c r="E95" s="82"/>
      <c r="F95" s="82"/>
      <c r="G95" s="82"/>
      <c r="H95" s="82"/>
      <c r="I95" s="82"/>
      <c r="J95" s="82"/>
      <c r="K95" s="75"/>
    </row>
    <row r="96" spans="1:11" ht="16.5" customHeight="1" x14ac:dyDescent="0.25">
      <c r="A96" s="15"/>
      <c r="B96" s="15"/>
      <c r="C96" s="15"/>
      <c r="D96" s="15"/>
      <c r="E96" s="15"/>
      <c r="F96" s="15"/>
      <c r="G96" s="15"/>
      <c r="H96" s="22"/>
      <c r="I96" s="22"/>
      <c r="J96" s="22"/>
      <c r="K96" s="22"/>
    </row>
    <row r="97" spans="1:11" ht="31.5" customHeight="1" x14ac:dyDescent="0.5">
      <c r="A97" s="530" t="s">
        <v>312</v>
      </c>
      <c r="B97" s="530"/>
      <c r="C97" s="530"/>
      <c r="D97" s="530"/>
      <c r="E97" s="530"/>
      <c r="F97" s="530"/>
      <c r="G97" s="530"/>
      <c r="H97" s="530"/>
      <c r="I97" s="530"/>
      <c r="J97" s="530"/>
      <c r="K97" s="530"/>
    </row>
    <row r="98" spans="1:11" ht="49.5" customHeight="1" x14ac:dyDescent="0.5">
      <c r="A98" s="366"/>
      <c r="B98" s="20"/>
      <c r="C98" s="20"/>
      <c r="D98" s="20"/>
      <c r="E98" s="20"/>
      <c r="F98" s="20"/>
      <c r="G98" s="20"/>
      <c r="H98" s="22"/>
      <c r="I98" s="153"/>
    </row>
    <row r="99" spans="1:11" x14ac:dyDescent="0.25">
      <c r="A99" s="366"/>
      <c r="B99" s="20"/>
      <c r="C99" s="20"/>
      <c r="D99" s="20"/>
      <c r="E99" s="20"/>
      <c r="F99" s="20"/>
      <c r="G99" s="20"/>
      <c r="H99" s="22"/>
      <c r="I99" s="15"/>
    </row>
    <row r="100" spans="1:11" x14ac:dyDescent="0.25">
      <c r="A100" s="366"/>
      <c r="B100" s="15"/>
      <c r="C100" s="15"/>
      <c r="D100" s="13"/>
      <c r="E100" s="13"/>
      <c r="F100" s="13"/>
      <c r="G100" s="13"/>
      <c r="H100" s="22"/>
      <c r="I100" s="15"/>
    </row>
    <row r="101" spans="1:11" x14ac:dyDescent="0.25">
      <c r="A101" s="366"/>
      <c r="B101" s="15"/>
      <c r="C101" s="15"/>
      <c r="D101" s="13"/>
      <c r="E101" s="13"/>
      <c r="F101" s="13"/>
      <c r="G101" s="13"/>
      <c r="H101" s="22"/>
      <c r="I101" s="15"/>
    </row>
    <row r="102" spans="1:11" x14ac:dyDescent="0.25">
      <c r="A102" s="22"/>
      <c r="B102" s="22"/>
      <c r="C102" s="22"/>
      <c r="D102" s="22"/>
      <c r="E102" s="22"/>
      <c r="F102" s="22"/>
      <c r="G102" s="22"/>
      <c r="H102" s="22"/>
      <c r="I102" s="22"/>
    </row>
    <row r="103" spans="1:11" x14ac:dyDescent="0.25">
      <c r="A103" s="22"/>
      <c r="B103" s="22"/>
      <c r="C103" s="22"/>
      <c r="D103" s="22"/>
      <c r="E103" s="22"/>
      <c r="F103" s="22"/>
      <c r="G103" s="22"/>
      <c r="H103" s="22"/>
      <c r="I103" s="22"/>
    </row>
    <row r="104" spans="1:1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1:11" x14ac:dyDescent="0.25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</row>
    <row r="106" spans="1:11" x14ac:dyDescent="0.25">
      <c r="A106" s="188"/>
      <c r="B106" s="188"/>
      <c r="C106" s="188"/>
      <c r="D106" s="188"/>
      <c r="E106" s="188"/>
      <c r="F106" s="188"/>
      <c r="G106" s="188"/>
      <c r="H106" s="188"/>
      <c r="I106" s="188"/>
      <c r="J106" s="188"/>
      <c r="K106" s="188"/>
    </row>
    <row r="107" spans="1:11" x14ac:dyDescent="0.25">
      <c r="A107" s="365"/>
      <c r="B107" s="365"/>
      <c r="C107" s="365"/>
      <c r="D107" s="365"/>
      <c r="E107" s="365"/>
      <c r="F107" s="365"/>
      <c r="G107" s="365"/>
      <c r="H107" s="365"/>
      <c r="I107" s="365"/>
      <c r="J107" s="365"/>
      <c r="K107" s="365"/>
    </row>
    <row r="108" spans="1:11" x14ac:dyDescent="0.25">
      <c r="A108" s="365"/>
      <c r="B108" s="365"/>
      <c r="C108" s="365"/>
      <c r="D108" s="365"/>
      <c r="E108" s="365"/>
      <c r="F108" s="365"/>
      <c r="G108" s="365"/>
      <c r="H108" s="365"/>
      <c r="I108" s="365"/>
      <c r="J108" s="365"/>
      <c r="K108" s="365"/>
    </row>
    <row r="109" spans="1:11" x14ac:dyDescent="0.25">
      <c r="A109" s="188"/>
      <c r="B109" s="188"/>
      <c r="C109" s="188"/>
      <c r="D109" s="188"/>
      <c r="E109" s="188"/>
      <c r="F109" s="188"/>
      <c r="G109" s="188"/>
      <c r="H109" s="188"/>
      <c r="I109" s="188"/>
      <c r="J109" s="188"/>
      <c r="K109" s="188"/>
    </row>
    <row r="110" spans="1:11" x14ac:dyDescent="0.25">
      <c r="A110" s="189"/>
      <c r="B110" s="365"/>
      <c r="C110" s="190"/>
      <c r="D110" s="190"/>
      <c r="E110" s="190"/>
      <c r="F110" s="190"/>
      <c r="G110" s="190"/>
      <c r="H110" s="190"/>
      <c r="I110" s="190"/>
      <c r="J110" s="190"/>
      <c r="K110" s="188"/>
    </row>
    <row r="111" spans="1:11" x14ac:dyDescent="0.25">
      <c r="A111" s="189"/>
      <c r="B111" s="191"/>
      <c r="C111" s="188"/>
      <c r="D111" s="188"/>
      <c r="E111" s="188"/>
      <c r="F111" s="188"/>
      <c r="G111" s="188"/>
      <c r="H111" s="192"/>
      <c r="I111" s="192"/>
      <c r="J111" s="365"/>
      <c r="K111" s="193"/>
    </row>
    <row r="112" spans="1:11" x14ac:dyDescent="0.25">
      <c r="A112" s="189"/>
      <c r="B112" s="191"/>
      <c r="C112" s="192"/>
      <c r="D112" s="192"/>
      <c r="E112" s="192"/>
      <c r="F112" s="192"/>
      <c r="G112" s="192"/>
      <c r="H112" s="188"/>
      <c r="I112" s="188"/>
      <c r="J112" s="365"/>
      <c r="K112" s="193"/>
    </row>
    <row r="113" spans="1:11" x14ac:dyDescent="0.25">
      <c r="A113" s="189"/>
      <c r="B113" s="79"/>
      <c r="C113" s="77"/>
      <c r="D113" s="77"/>
      <c r="E113" s="192"/>
      <c r="F113" s="77"/>
      <c r="G113" s="77"/>
      <c r="H113" s="77"/>
      <c r="I113" s="192"/>
      <c r="J113" s="365"/>
      <c r="K113" s="193"/>
    </row>
    <row r="114" spans="1:11" x14ac:dyDescent="0.25">
      <c r="A114" s="189"/>
      <c r="B114" s="79"/>
      <c r="C114" s="188"/>
      <c r="D114" s="188"/>
      <c r="E114" s="192"/>
      <c r="F114" s="365"/>
      <c r="G114" s="365"/>
      <c r="H114" s="365"/>
      <c r="I114" s="192"/>
      <c r="J114" s="365"/>
      <c r="K114" s="193"/>
    </row>
    <row r="115" spans="1:11" x14ac:dyDescent="0.25">
      <c r="A115" s="189"/>
      <c r="B115" s="79"/>
      <c r="C115" s="192"/>
      <c r="D115" s="192"/>
      <c r="E115" s="192"/>
      <c r="F115" s="192"/>
      <c r="G115" s="192"/>
      <c r="H115" s="194"/>
      <c r="I115" s="194"/>
      <c r="J115" s="365"/>
      <c r="K115" s="193"/>
    </row>
    <row r="116" spans="1:11" x14ac:dyDescent="0.25">
      <c r="A116" s="189"/>
      <c r="B116" s="79"/>
      <c r="C116" s="192"/>
      <c r="D116" s="192"/>
      <c r="E116" s="192"/>
      <c r="F116" s="192"/>
      <c r="G116" s="192"/>
      <c r="H116" s="194"/>
      <c r="I116" s="194"/>
      <c r="J116" s="365"/>
      <c r="K116" s="193"/>
    </row>
    <row r="117" spans="1:11" x14ac:dyDescent="0.25">
      <c r="A117" s="189"/>
      <c r="B117" s="79"/>
      <c r="C117" s="192"/>
      <c r="D117" s="192"/>
      <c r="E117" s="192"/>
      <c r="F117" s="195"/>
      <c r="G117" s="192"/>
      <c r="H117" s="194"/>
      <c r="I117" s="194"/>
      <c r="J117" s="365"/>
      <c r="K117" s="193"/>
    </row>
    <row r="118" spans="1:11" x14ac:dyDescent="0.25">
      <c r="A118" s="189"/>
      <c r="B118" s="79"/>
      <c r="C118" s="192"/>
      <c r="D118" s="192"/>
      <c r="E118" s="192"/>
      <c r="F118" s="196"/>
      <c r="G118" s="192"/>
      <c r="H118" s="194"/>
      <c r="I118" s="194"/>
      <c r="J118" s="365"/>
      <c r="K118" s="193"/>
    </row>
    <row r="119" spans="1:11" x14ac:dyDescent="0.25">
      <c r="A119" s="189"/>
      <c r="B119" s="79"/>
      <c r="C119" s="77"/>
      <c r="D119" s="77"/>
      <c r="E119" s="77"/>
      <c r="F119" s="77"/>
      <c r="G119" s="77"/>
      <c r="H119" s="77"/>
      <c r="I119" s="77"/>
      <c r="J119" s="365"/>
      <c r="K119" s="193"/>
    </row>
    <row r="120" spans="1:11" x14ac:dyDescent="0.25">
      <c r="A120" s="197"/>
      <c r="B120" s="79"/>
      <c r="C120" s="77"/>
      <c r="D120" s="77"/>
      <c r="E120" s="77"/>
      <c r="F120" s="77"/>
      <c r="G120" s="77"/>
      <c r="H120" s="77"/>
      <c r="I120" s="77"/>
      <c r="J120" s="365"/>
      <c r="K120" s="77"/>
    </row>
    <row r="121" spans="1:11" x14ac:dyDescent="0.25">
      <c r="A121" s="197"/>
      <c r="B121" s="79"/>
      <c r="C121" s="77"/>
      <c r="D121" s="77"/>
      <c r="E121" s="77"/>
      <c r="F121" s="77"/>
      <c r="G121" s="77"/>
      <c r="H121" s="77"/>
      <c r="I121" s="77"/>
      <c r="J121" s="365"/>
      <c r="K121" s="77"/>
    </row>
    <row r="122" spans="1:11" x14ac:dyDescent="0.25">
      <c r="A122" s="197"/>
      <c r="B122" s="79"/>
      <c r="C122" s="77"/>
      <c r="D122" s="197"/>
      <c r="E122" s="79"/>
      <c r="F122" s="77"/>
      <c r="G122" s="77"/>
      <c r="H122" s="77"/>
      <c r="I122" s="77"/>
      <c r="J122" s="365"/>
      <c r="K122" s="77"/>
    </row>
    <row r="123" spans="1:11" x14ac:dyDescent="0.25">
      <c r="A123" s="188"/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</row>
    <row r="124" spans="1:11" x14ac:dyDescent="0.25">
      <c r="A124" s="365"/>
      <c r="B124" s="365"/>
      <c r="C124" s="365"/>
      <c r="D124" s="365"/>
      <c r="E124" s="365"/>
      <c r="F124" s="365"/>
      <c r="G124" s="365"/>
      <c r="H124" s="365"/>
      <c r="I124" s="365"/>
      <c r="J124" s="365"/>
      <c r="K124" s="365"/>
    </row>
    <row r="125" spans="1:11" x14ac:dyDescent="0.25">
      <c r="A125" s="365"/>
      <c r="B125" s="365"/>
      <c r="C125" s="365"/>
      <c r="D125" s="365"/>
      <c r="E125" s="365"/>
      <c r="F125" s="365"/>
      <c r="G125" s="365"/>
      <c r="H125" s="365"/>
      <c r="I125" s="365"/>
      <c r="J125" s="365"/>
      <c r="K125" s="365"/>
    </row>
    <row r="126" spans="1:11" x14ac:dyDescent="0.25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</row>
    <row r="127" spans="1:11" x14ac:dyDescent="0.25">
      <c r="A127" s="188"/>
      <c r="B127" s="188"/>
      <c r="C127" s="79"/>
      <c r="D127" s="79"/>
      <c r="E127" s="79"/>
      <c r="F127" s="79"/>
      <c r="G127" s="79"/>
      <c r="H127" s="79"/>
      <c r="I127" s="188"/>
      <c r="J127" s="188"/>
      <c r="K127" s="188"/>
    </row>
    <row r="128" spans="1:11" x14ac:dyDescent="0.25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</row>
    <row r="129" spans="1:11" x14ac:dyDescent="0.25">
      <c r="A129" s="188"/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</row>
    <row r="130" spans="1:11" x14ac:dyDescent="0.25">
      <c r="A130" s="188"/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</row>
    <row r="131" spans="1:11" x14ac:dyDescent="0.25">
      <c r="A131" s="188"/>
      <c r="B131" s="188"/>
      <c r="C131" s="188"/>
      <c r="D131" s="188"/>
      <c r="E131" s="188"/>
      <c r="F131" s="188"/>
      <c r="G131" s="198"/>
      <c r="H131" s="198"/>
      <c r="I131" s="188"/>
      <c r="J131" s="188"/>
      <c r="K131" s="188"/>
    </row>
    <row r="132" spans="1:11" x14ac:dyDescent="0.25">
      <c r="A132" s="188"/>
      <c r="B132" s="188"/>
      <c r="C132" s="188"/>
      <c r="D132" s="188"/>
      <c r="E132" s="188"/>
      <c r="F132" s="188"/>
      <c r="G132" s="198"/>
      <c r="H132" s="198"/>
      <c r="I132" s="188"/>
      <c r="J132" s="188"/>
      <c r="K132" s="188"/>
    </row>
    <row r="133" spans="1:11" x14ac:dyDescent="0.25">
      <c r="A133" s="188"/>
      <c r="B133" s="188"/>
      <c r="C133" s="79"/>
      <c r="D133" s="79"/>
      <c r="E133" s="79"/>
      <c r="F133" s="79"/>
      <c r="G133" s="198"/>
      <c r="H133" s="198"/>
      <c r="I133" s="188"/>
      <c r="J133" s="188"/>
      <c r="K133" s="188"/>
    </row>
    <row r="134" spans="1:11" x14ac:dyDescent="0.25">
      <c r="A134" s="188"/>
      <c r="B134" s="188"/>
      <c r="C134" s="79"/>
      <c r="D134" s="79"/>
      <c r="E134" s="79"/>
      <c r="F134" s="79"/>
      <c r="G134" s="198"/>
      <c r="H134" s="198"/>
      <c r="I134" s="188"/>
      <c r="J134" s="188"/>
      <c r="K134" s="188"/>
    </row>
    <row r="135" spans="1:11" x14ac:dyDescent="0.25">
      <c r="A135" s="188"/>
      <c r="B135" s="188"/>
      <c r="C135" s="79"/>
      <c r="D135" s="79"/>
      <c r="E135" s="79"/>
      <c r="F135" s="79"/>
      <c r="G135" s="198"/>
      <c r="H135" s="198"/>
      <c r="I135" s="188"/>
      <c r="J135" s="188"/>
      <c r="K135" s="188"/>
    </row>
    <row r="136" spans="1:11" x14ac:dyDescent="0.25">
      <c r="A136" s="188"/>
      <c r="B136" s="188"/>
      <c r="C136" s="79"/>
      <c r="D136" s="79"/>
      <c r="E136" s="79"/>
      <c r="F136" s="79"/>
      <c r="G136" s="198"/>
      <c r="H136" s="198"/>
      <c r="I136" s="188"/>
      <c r="J136" s="188"/>
      <c r="K136" s="188"/>
    </row>
    <row r="137" spans="1:11" x14ac:dyDescent="0.25">
      <c r="A137" s="188"/>
      <c r="B137" s="188"/>
      <c r="C137" s="188"/>
      <c r="D137" s="188"/>
      <c r="E137" s="188"/>
      <c r="F137" s="188"/>
      <c r="G137" s="188"/>
      <c r="H137" s="188"/>
      <c r="I137" s="188"/>
      <c r="J137" s="188"/>
      <c r="K137" s="188"/>
    </row>
    <row r="138" spans="1:11" x14ac:dyDescent="0.25">
      <c r="A138" s="188"/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</row>
    <row r="139" spans="1:11" x14ac:dyDescent="0.25">
      <c r="A139" s="188"/>
      <c r="B139" s="365"/>
      <c r="C139" s="365"/>
      <c r="D139" s="188"/>
      <c r="E139" s="365"/>
      <c r="F139" s="365"/>
      <c r="G139" s="188"/>
      <c r="H139" s="188"/>
      <c r="I139" s="188"/>
      <c r="J139" s="188"/>
      <c r="K139" s="188"/>
    </row>
    <row r="140" spans="1:11" x14ac:dyDescent="0.25">
      <c r="A140" s="188"/>
      <c r="B140" s="79"/>
      <c r="C140" s="188"/>
      <c r="D140" s="188"/>
      <c r="E140" s="199"/>
      <c r="F140" s="79"/>
      <c r="G140" s="188"/>
      <c r="H140" s="188"/>
      <c r="I140" s="188"/>
      <c r="J140" s="188"/>
      <c r="K140" s="188"/>
    </row>
    <row r="141" spans="1:11" x14ac:dyDescent="0.25">
      <c r="A141" s="188"/>
      <c r="B141" s="79"/>
      <c r="C141" s="200"/>
      <c r="D141" s="188"/>
      <c r="E141" s="199"/>
      <c r="F141" s="199"/>
      <c r="G141" s="188"/>
      <c r="H141" s="188"/>
      <c r="I141" s="188"/>
      <c r="J141" s="188"/>
      <c r="K141" s="188"/>
    </row>
    <row r="142" spans="1:11" x14ac:dyDescent="0.25">
      <c r="A142" s="188"/>
      <c r="B142" s="79"/>
      <c r="C142" s="188"/>
      <c r="D142" s="188"/>
      <c r="E142" s="188"/>
      <c r="F142" s="188"/>
      <c r="G142" s="188"/>
      <c r="H142" s="188"/>
      <c r="I142" s="188"/>
      <c r="J142" s="188"/>
      <c r="K142" s="188"/>
    </row>
    <row r="143" spans="1:11" x14ac:dyDescent="0.25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</row>
    <row r="144" spans="1:11" x14ac:dyDescent="0.25">
      <c r="A144" s="188"/>
      <c r="B144" s="188"/>
      <c r="C144" s="188"/>
      <c r="D144" s="188"/>
      <c r="E144" s="188"/>
      <c r="F144" s="188"/>
      <c r="G144" s="188"/>
      <c r="H144" s="188"/>
      <c r="I144" s="188"/>
      <c r="J144" s="188"/>
      <c r="K144" s="188"/>
    </row>
    <row r="145" spans="1:11" x14ac:dyDescent="0.25">
      <c r="A145" s="531"/>
      <c r="B145" s="531"/>
      <c r="C145" s="531"/>
      <c r="D145" s="531"/>
      <c r="E145" s="531"/>
      <c r="F145" s="531"/>
      <c r="G145" s="531"/>
      <c r="H145" s="531"/>
      <c r="I145" s="188"/>
      <c r="J145" s="188"/>
      <c r="K145" s="188"/>
    </row>
    <row r="146" spans="1:11" x14ac:dyDescent="0.25">
      <c r="A146" s="531"/>
      <c r="B146" s="531"/>
      <c r="C146" s="531"/>
      <c r="D146" s="531"/>
      <c r="E146" s="531"/>
      <c r="F146" s="531"/>
      <c r="G146" s="531"/>
      <c r="H146" s="531"/>
      <c r="I146" s="188"/>
      <c r="J146" s="188"/>
      <c r="K146" s="188"/>
    </row>
    <row r="147" spans="1:11" x14ac:dyDescent="0.25">
      <c r="A147" s="188"/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</row>
    <row r="148" spans="1:11" x14ac:dyDescent="0.25">
      <c r="A148" s="188"/>
      <c r="B148" s="201"/>
      <c r="C148" s="201"/>
      <c r="D148" s="201"/>
      <c r="E148" s="201"/>
      <c r="F148" s="201"/>
      <c r="G148" s="201"/>
      <c r="H148" s="188"/>
      <c r="I148" s="188"/>
      <c r="J148" s="188"/>
      <c r="K148" s="188"/>
    </row>
    <row r="149" spans="1:11" x14ac:dyDescent="0.25">
      <c r="A149" s="79"/>
      <c r="B149" s="202"/>
      <c r="C149" s="203"/>
      <c r="D149" s="204"/>
      <c r="E149" s="202"/>
      <c r="F149" s="205"/>
      <c r="G149" s="202"/>
      <c r="H149" s="188"/>
      <c r="I149" s="188"/>
      <c r="J149" s="188"/>
      <c r="K149" s="188"/>
    </row>
    <row r="150" spans="1:11" x14ac:dyDescent="0.25">
      <c r="A150" s="79"/>
      <c r="B150" s="202"/>
      <c r="C150" s="206"/>
      <c r="D150" s="206"/>
      <c r="E150" s="207"/>
      <c r="F150" s="207"/>
      <c r="G150" s="207"/>
      <c r="H150" s="188"/>
      <c r="I150" s="188"/>
      <c r="J150" s="188"/>
      <c r="K150" s="188"/>
    </row>
    <row r="151" spans="1:11" x14ac:dyDescent="0.25">
      <c r="A151" s="79"/>
      <c r="B151" s="202"/>
      <c r="C151" s="206"/>
      <c r="D151" s="206"/>
      <c r="E151" s="207"/>
      <c r="F151" s="207"/>
      <c r="G151" s="202"/>
      <c r="H151" s="188"/>
      <c r="I151" s="188"/>
      <c r="J151" s="188"/>
      <c r="K151" s="188"/>
    </row>
    <row r="152" spans="1:11" x14ac:dyDescent="0.25">
      <c r="A152" s="79"/>
      <c r="B152" s="202"/>
      <c r="C152" s="204"/>
      <c r="D152" s="204"/>
      <c r="E152" s="202"/>
      <c r="F152" s="205"/>
      <c r="G152" s="202"/>
      <c r="H152" s="188"/>
      <c r="I152" s="188"/>
      <c r="J152" s="188"/>
      <c r="K152" s="188"/>
    </row>
    <row r="153" spans="1:11" x14ac:dyDescent="0.25">
      <c r="A153" s="79"/>
      <c r="B153" s="202"/>
      <c r="C153" s="208"/>
      <c r="D153" s="208"/>
      <c r="E153" s="202"/>
      <c r="F153" s="207"/>
      <c r="G153" s="205"/>
      <c r="H153" s="188"/>
      <c r="I153" s="188"/>
      <c r="J153" s="188"/>
      <c r="K153" s="188"/>
    </row>
    <row r="154" spans="1:11" x14ac:dyDescent="0.25">
      <c r="A154" s="79"/>
      <c r="B154" s="202"/>
      <c r="C154" s="208"/>
      <c r="D154" s="208"/>
      <c r="E154" s="202"/>
      <c r="F154" s="205"/>
      <c r="G154" s="202"/>
      <c r="H154" s="188"/>
      <c r="I154" s="188"/>
      <c r="J154" s="188"/>
      <c r="K154" s="188"/>
    </row>
    <row r="155" spans="1:11" x14ac:dyDescent="0.25">
      <c r="A155" s="79"/>
      <c r="B155" s="202"/>
      <c r="C155" s="204"/>
      <c r="D155" s="204"/>
      <c r="E155" s="202"/>
      <c r="F155" s="205"/>
      <c r="G155" s="202"/>
      <c r="H155" s="188"/>
      <c r="I155" s="188"/>
      <c r="J155" s="188"/>
      <c r="K155" s="188"/>
    </row>
    <row r="156" spans="1:11" x14ac:dyDescent="0.25">
      <c r="A156" s="79"/>
      <c r="B156" s="201"/>
      <c r="C156" s="209"/>
      <c r="D156" s="209"/>
      <c r="E156" s="209"/>
      <c r="F156" s="207"/>
      <c r="G156" s="79"/>
      <c r="H156" s="188"/>
      <c r="I156" s="188"/>
      <c r="J156" s="188"/>
      <c r="K156" s="188"/>
    </row>
    <row r="157" spans="1:11" x14ac:dyDescent="0.25">
      <c r="A157" s="79"/>
      <c r="B157" s="210"/>
      <c r="C157" s="211"/>
      <c r="D157" s="212"/>
      <c r="E157" s="210"/>
      <c r="F157" s="210"/>
      <c r="G157" s="79"/>
      <c r="H157" s="213"/>
      <c r="I157" s="188"/>
      <c r="J157" s="188"/>
      <c r="K157" s="188"/>
    </row>
    <row r="158" spans="1:11" x14ac:dyDescent="0.25">
      <c r="A158" s="79"/>
      <c r="B158" s="188"/>
      <c r="C158" s="188"/>
      <c r="D158" s="188"/>
      <c r="E158" s="188"/>
      <c r="F158" s="188"/>
      <c r="G158" s="188"/>
      <c r="H158" s="188"/>
      <c r="I158" s="188"/>
      <c r="J158" s="188"/>
      <c r="K158" s="188"/>
    </row>
    <row r="159" spans="1:11" x14ac:dyDescent="0.25">
      <c r="A159" s="79"/>
      <c r="B159" s="201"/>
      <c r="C159" s="210"/>
      <c r="D159" s="210"/>
      <c r="E159" s="210"/>
      <c r="F159" s="210"/>
      <c r="G159" s="210"/>
      <c r="H159" s="188"/>
      <c r="I159" s="188"/>
      <c r="J159" s="188"/>
      <c r="K159" s="188"/>
    </row>
    <row r="160" spans="1:11" x14ac:dyDescent="0.25">
      <c r="A160" s="79"/>
      <c r="B160" s="192"/>
      <c r="C160" s="214"/>
      <c r="D160" s="214"/>
      <c r="E160" s="215"/>
      <c r="F160" s="216"/>
      <c r="G160" s="192"/>
      <c r="H160" s="532"/>
      <c r="I160" s="188"/>
      <c r="J160" s="188"/>
      <c r="K160" s="188"/>
    </row>
    <row r="161" spans="1:11" x14ac:dyDescent="0.25">
      <c r="A161" s="79"/>
      <c r="B161" s="192"/>
      <c r="C161" s="217"/>
      <c r="D161" s="214"/>
      <c r="E161" s="215"/>
      <c r="F161" s="216"/>
      <c r="G161" s="192"/>
      <c r="H161" s="532"/>
      <c r="I161" s="188"/>
      <c r="J161" s="188"/>
      <c r="K161" s="188"/>
    </row>
    <row r="162" spans="1:11" x14ac:dyDescent="0.25">
      <c r="A162" s="79"/>
      <c r="B162" s="192"/>
      <c r="C162" s="218"/>
      <c r="D162" s="218"/>
      <c r="E162" s="215"/>
      <c r="F162" s="216"/>
      <c r="G162" s="188"/>
      <c r="H162" s="532"/>
      <c r="I162" s="188"/>
      <c r="J162" s="188"/>
      <c r="K162" s="188"/>
    </row>
    <row r="163" spans="1:11" x14ac:dyDescent="0.25">
      <c r="A163" s="79"/>
      <c r="B163" s="192"/>
      <c r="C163" s="218"/>
      <c r="D163" s="218"/>
      <c r="E163" s="188"/>
      <c r="F163" s="188"/>
      <c r="G163" s="188"/>
      <c r="H163" s="532"/>
      <c r="I163" s="188"/>
      <c r="J163" s="188"/>
      <c r="K163" s="188"/>
    </row>
    <row r="164" spans="1:11" x14ac:dyDescent="0.25">
      <c r="A164" s="79"/>
      <c r="B164" s="192"/>
      <c r="C164" s="218"/>
      <c r="D164" s="218"/>
      <c r="E164" s="215"/>
      <c r="F164" s="216"/>
      <c r="G164" s="192"/>
      <c r="H164" s="532"/>
      <c r="I164" s="188"/>
      <c r="J164" s="188"/>
      <c r="K164" s="188"/>
    </row>
    <row r="165" spans="1:11" x14ac:dyDescent="0.25">
      <c r="A165" s="79"/>
      <c r="B165" s="192"/>
      <c r="C165" s="218"/>
      <c r="D165" s="218"/>
      <c r="E165" s="215"/>
      <c r="F165" s="216"/>
      <c r="G165" s="192"/>
      <c r="H165" s="532"/>
      <c r="I165" s="188"/>
      <c r="J165" s="188"/>
      <c r="K165" s="188"/>
    </row>
    <row r="166" spans="1:11" x14ac:dyDescent="0.25">
      <c r="A166" s="79"/>
      <c r="B166" s="202"/>
      <c r="C166" s="204"/>
      <c r="D166" s="204"/>
      <c r="E166" s="202"/>
      <c r="F166" s="205"/>
      <c r="G166" s="202"/>
      <c r="H166" s="532"/>
      <c r="I166" s="188"/>
      <c r="J166" s="188"/>
      <c r="K166" s="188"/>
    </row>
    <row r="167" spans="1:11" x14ac:dyDescent="0.25">
      <c r="A167" s="79"/>
      <c r="B167" s="210"/>
      <c r="C167" s="79"/>
      <c r="D167" s="79"/>
      <c r="E167" s="79"/>
      <c r="F167" s="188"/>
      <c r="G167" s="79"/>
      <c r="H167" s="188"/>
      <c r="I167" s="188"/>
      <c r="J167" s="188"/>
      <c r="K167" s="188"/>
    </row>
    <row r="168" spans="1:11" x14ac:dyDescent="0.25">
      <c r="A168" s="79"/>
      <c r="B168" s="210"/>
      <c r="C168" s="79"/>
      <c r="D168" s="79"/>
      <c r="E168" s="79"/>
      <c r="F168" s="188"/>
      <c r="G168" s="188"/>
      <c r="H168" s="188"/>
      <c r="I168" s="188"/>
      <c r="J168" s="188"/>
      <c r="K168" s="188"/>
    </row>
    <row r="169" spans="1:11" x14ac:dyDescent="0.25">
      <c r="A169" s="79"/>
      <c r="B169" s="201"/>
      <c r="C169" s="210"/>
      <c r="D169" s="210"/>
      <c r="E169" s="210"/>
      <c r="F169" s="210"/>
      <c r="G169" s="210"/>
      <c r="H169" s="188"/>
      <c r="I169" s="188"/>
      <c r="J169" s="188"/>
      <c r="K169" s="188"/>
    </row>
    <row r="170" spans="1:11" x14ac:dyDescent="0.25">
      <c r="A170" s="79"/>
      <c r="B170" s="202"/>
      <c r="C170" s="203"/>
      <c r="D170" s="204"/>
      <c r="E170" s="202"/>
      <c r="F170" s="205"/>
      <c r="G170" s="202"/>
      <c r="H170" s="188"/>
      <c r="I170" s="188"/>
      <c r="J170" s="188"/>
      <c r="K170" s="188"/>
    </row>
    <row r="171" spans="1:11" x14ac:dyDescent="0.25">
      <c r="A171" s="79"/>
      <c r="B171" s="202"/>
      <c r="C171" s="206"/>
      <c r="D171" s="206"/>
      <c r="E171" s="207"/>
      <c r="F171" s="207"/>
      <c r="G171" s="207"/>
      <c r="H171" s="188"/>
      <c r="I171" s="188"/>
      <c r="J171" s="188"/>
      <c r="K171" s="188"/>
    </row>
    <row r="172" spans="1:11" x14ac:dyDescent="0.25">
      <c r="A172" s="79"/>
      <c r="B172" s="202"/>
      <c r="C172" s="206"/>
      <c r="D172" s="206"/>
      <c r="E172" s="207"/>
      <c r="F172" s="207"/>
      <c r="G172" s="202"/>
      <c r="H172" s="188"/>
      <c r="I172" s="188"/>
      <c r="J172" s="188"/>
      <c r="K172" s="188"/>
    </row>
    <row r="173" spans="1:11" x14ac:dyDescent="0.25">
      <c r="A173" s="79"/>
      <c r="B173" s="202"/>
      <c r="C173" s="206"/>
      <c r="D173" s="206"/>
      <c r="E173" s="207"/>
      <c r="F173" s="207"/>
      <c r="G173" s="202"/>
      <c r="H173" s="188"/>
      <c r="I173" s="188"/>
      <c r="J173" s="188"/>
      <c r="K173" s="188"/>
    </row>
    <row r="174" spans="1:11" x14ac:dyDescent="0.25">
      <c r="A174" s="79"/>
      <c r="B174" s="202"/>
      <c r="C174" s="204"/>
      <c r="D174" s="204"/>
      <c r="E174" s="202"/>
      <c r="F174" s="205"/>
      <c r="G174" s="202"/>
      <c r="H174" s="188"/>
      <c r="I174" s="188"/>
      <c r="J174" s="188"/>
      <c r="K174" s="188"/>
    </row>
    <row r="175" spans="1:11" x14ac:dyDescent="0.25">
      <c r="I175" s="188"/>
      <c r="J175" s="188"/>
      <c r="K175" s="188"/>
    </row>
  </sheetData>
  <mergeCells count="129">
    <mergeCell ref="C13:D13"/>
    <mergeCell ref="B14:B15"/>
    <mergeCell ref="C14:C15"/>
    <mergeCell ref="D14:D15"/>
    <mergeCell ref="E14:E15"/>
    <mergeCell ref="F14:F15"/>
    <mergeCell ref="A1:G1"/>
    <mergeCell ref="A2:F4"/>
    <mergeCell ref="A7:K7"/>
    <mergeCell ref="A9:A18"/>
    <mergeCell ref="B10:B11"/>
    <mergeCell ref="K10:K18"/>
    <mergeCell ref="C11:G11"/>
    <mergeCell ref="B12:B13"/>
    <mergeCell ref="E12:E13"/>
    <mergeCell ref="I12:I13"/>
    <mergeCell ref="G14:G15"/>
    <mergeCell ref="H15:I15"/>
    <mergeCell ref="B16:B17"/>
    <mergeCell ref="C16:C17"/>
    <mergeCell ref="D16:D17"/>
    <mergeCell ref="E16:E17"/>
    <mergeCell ref="G16:G17"/>
    <mergeCell ref="H16:H17"/>
    <mergeCell ref="I16:I17"/>
    <mergeCell ref="D27:D28"/>
    <mergeCell ref="E27:E28"/>
    <mergeCell ref="F27:F28"/>
    <mergeCell ref="G27:G28"/>
    <mergeCell ref="H28:I28"/>
    <mergeCell ref="B31:B32"/>
    <mergeCell ref="C31:C32"/>
    <mergeCell ref="D31:D32"/>
    <mergeCell ref="E31:E32"/>
    <mergeCell ref="G31:G32"/>
    <mergeCell ref="B27:B28"/>
    <mergeCell ref="C27:C28"/>
    <mergeCell ref="H31:H32"/>
    <mergeCell ref="I31:I32"/>
    <mergeCell ref="A37:A46"/>
    <mergeCell ref="B38:B39"/>
    <mergeCell ref="K38:K46"/>
    <mergeCell ref="C39:G39"/>
    <mergeCell ref="B40:B41"/>
    <mergeCell ref="E40:E41"/>
    <mergeCell ref="I40:I41"/>
    <mergeCell ref="C41:D41"/>
    <mergeCell ref="A22:A33"/>
    <mergeCell ref="B23:B24"/>
    <mergeCell ref="K23:K31"/>
    <mergeCell ref="C24:G24"/>
    <mergeCell ref="B25:B26"/>
    <mergeCell ref="E25:E26"/>
    <mergeCell ref="I25:I26"/>
    <mergeCell ref="C26:D26"/>
    <mergeCell ref="C42:C43"/>
    <mergeCell ref="D42:D43"/>
    <mergeCell ref="E42:E43"/>
    <mergeCell ref="G42:G43"/>
    <mergeCell ref="B44:B45"/>
    <mergeCell ref="C44:C45"/>
    <mergeCell ref="D44:D45"/>
    <mergeCell ref="E44:E45"/>
    <mergeCell ref="G44:G45"/>
    <mergeCell ref="H44:H45"/>
    <mergeCell ref="I44:I45"/>
    <mergeCell ref="B46:B47"/>
    <mergeCell ref="H47:I47"/>
    <mergeCell ref="A51:A62"/>
    <mergeCell ref="B52:B53"/>
    <mergeCell ref="H56:I57"/>
    <mergeCell ref="B58:B59"/>
    <mergeCell ref="C58:C59"/>
    <mergeCell ref="D58:D59"/>
    <mergeCell ref="E58:E59"/>
    <mergeCell ref="G58:G59"/>
    <mergeCell ref="H58:H59"/>
    <mergeCell ref="I58:I59"/>
    <mergeCell ref="B60:B61"/>
    <mergeCell ref="C60:G61"/>
    <mergeCell ref="K52:K62"/>
    <mergeCell ref="C53:G53"/>
    <mergeCell ref="B54:B55"/>
    <mergeCell ref="E54:E55"/>
    <mergeCell ref="I54:I55"/>
    <mergeCell ref="C55:D55"/>
    <mergeCell ref="C56:C57"/>
    <mergeCell ref="D56:D57"/>
    <mergeCell ref="E56:E57"/>
    <mergeCell ref="G56:G57"/>
    <mergeCell ref="C72:C73"/>
    <mergeCell ref="D72:D73"/>
    <mergeCell ref="E72:E73"/>
    <mergeCell ref="G72:G73"/>
    <mergeCell ref="C74:E75"/>
    <mergeCell ref="G74:G75"/>
    <mergeCell ref="B62:B63"/>
    <mergeCell ref="H63:I63"/>
    <mergeCell ref="A67:A78"/>
    <mergeCell ref="B68:B69"/>
    <mergeCell ref="C69:G69"/>
    <mergeCell ref="B70:B71"/>
    <mergeCell ref="E70:E71"/>
    <mergeCell ref="I70:I71"/>
    <mergeCell ref="C71:D71"/>
    <mergeCell ref="C76:G77"/>
    <mergeCell ref="A82:A93"/>
    <mergeCell ref="B83:B84"/>
    <mergeCell ref="K83:K93"/>
    <mergeCell ref="C84:G84"/>
    <mergeCell ref="B85:B86"/>
    <mergeCell ref="E85:E86"/>
    <mergeCell ref="I85:I86"/>
    <mergeCell ref="C86:D86"/>
    <mergeCell ref="C87:C88"/>
    <mergeCell ref="K68:K78"/>
    <mergeCell ref="H91:H92"/>
    <mergeCell ref="I91:I92"/>
    <mergeCell ref="A97:K97"/>
    <mergeCell ref="A145:H146"/>
    <mergeCell ref="H160:H166"/>
    <mergeCell ref="D87:D88"/>
    <mergeCell ref="B89:B90"/>
    <mergeCell ref="C89:G90"/>
    <mergeCell ref="B91:B92"/>
    <mergeCell ref="C91:C92"/>
    <mergeCell ref="D91:D92"/>
    <mergeCell ref="E91:E92"/>
    <mergeCell ref="G91:G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4CE8-08CC-4A88-BE87-E3B5961A9E08}">
  <dimension ref="A1:T558"/>
  <sheetViews>
    <sheetView topLeftCell="A271" zoomScale="55" zoomScaleNormal="55" workbookViewId="0">
      <selection activeCell="K330" sqref="K330"/>
    </sheetView>
  </sheetViews>
  <sheetFormatPr defaultColWidth="23.28515625" defaultRowHeight="15" x14ac:dyDescent="0.25"/>
  <cols>
    <col min="1" max="1" width="25.140625" style="443" customWidth="1"/>
    <col min="2" max="7" width="23.28515625" style="443"/>
    <col min="8" max="20" width="23.28515625" style="385"/>
    <col min="21" max="16384" width="23.28515625" style="443"/>
  </cols>
  <sheetData>
    <row r="1" spans="1:8" x14ac:dyDescent="0.25">
      <c r="A1" s="573" t="s">
        <v>482</v>
      </c>
      <c r="B1" s="573"/>
      <c r="C1" s="573"/>
      <c r="D1" s="573"/>
      <c r="E1" s="573"/>
      <c r="F1" s="573"/>
      <c r="G1" s="573"/>
    </row>
    <row r="2" spans="1:8" x14ac:dyDescent="0.25">
      <c r="A2" s="573"/>
      <c r="B2" s="573"/>
      <c r="C2" s="573"/>
      <c r="D2" s="573"/>
      <c r="E2" s="573"/>
      <c r="F2" s="573"/>
      <c r="G2" s="573"/>
    </row>
    <row r="3" spans="1:8" x14ac:dyDescent="0.25">
      <c r="A3" s="573"/>
      <c r="B3" s="573"/>
      <c r="C3" s="573"/>
      <c r="D3" s="573"/>
      <c r="E3" s="573"/>
      <c r="F3" s="573"/>
      <c r="G3" s="573"/>
    </row>
    <row r="4" spans="1:8" ht="36" x14ac:dyDescent="0.55000000000000004">
      <c r="A4" s="432"/>
      <c r="B4" s="432"/>
      <c r="C4" s="432"/>
      <c r="D4" s="432"/>
      <c r="E4" s="432"/>
      <c r="F4" s="432"/>
      <c r="G4" s="433"/>
    </row>
    <row r="5" spans="1:8" ht="36" x14ac:dyDescent="0.55000000000000004">
      <c r="A5" s="434"/>
      <c r="B5" s="435" t="s">
        <v>227</v>
      </c>
      <c r="C5" s="436" t="s">
        <v>393</v>
      </c>
      <c r="D5" s="437" t="s">
        <v>397</v>
      </c>
      <c r="E5" s="438"/>
      <c r="F5" s="432"/>
      <c r="G5" s="433"/>
    </row>
    <row r="6" spans="1:8" ht="36" x14ac:dyDescent="0.55000000000000004">
      <c r="A6" s="439" t="s">
        <v>483</v>
      </c>
      <c r="B6" s="439">
        <v>43124</v>
      </c>
      <c r="C6" s="440">
        <f>SUM([1]Anthony_hist!G3)</f>
        <v>12.5</v>
      </c>
      <c r="D6" s="441">
        <v>73.5</v>
      </c>
      <c r="E6" s="438"/>
      <c r="F6" s="432"/>
      <c r="G6" s="433"/>
    </row>
    <row r="7" spans="1:8" ht="36" x14ac:dyDescent="0.55000000000000004">
      <c r="A7" s="442" t="s">
        <v>484</v>
      </c>
      <c r="B7" s="439">
        <v>43138</v>
      </c>
      <c r="C7" s="440">
        <f>SUM([1]Anthony_hist!G9)</f>
        <v>73.5</v>
      </c>
      <c r="D7" s="441">
        <f>SUM(D6-C7)</f>
        <v>0</v>
      </c>
      <c r="E7" s="438"/>
      <c r="F7" s="432"/>
      <c r="G7" s="433"/>
    </row>
    <row r="8" spans="1:8" ht="36" x14ac:dyDescent="0.55000000000000004">
      <c r="A8" s="433"/>
      <c r="B8" s="433"/>
      <c r="C8" s="433"/>
      <c r="D8" s="433"/>
      <c r="E8" s="433"/>
      <c r="F8" s="433"/>
      <c r="G8" s="433"/>
    </row>
    <row r="9" spans="1:8" x14ac:dyDescent="0.25">
      <c r="B9" s="444" t="s">
        <v>76</v>
      </c>
      <c r="C9" s="444" t="s">
        <v>11</v>
      </c>
      <c r="D9" s="444" t="s">
        <v>12</v>
      </c>
      <c r="E9" s="444" t="s">
        <v>13</v>
      </c>
      <c r="F9" s="444" t="s">
        <v>14</v>
      </c>
      <c r="G9" s="444" t="s">
        <v>485</v>
      </c>
      <c r="H9" s="445" t="s">
        <v>486</v>
      </c>
    </row>
    <row r="10" spans="1:8" x14ac:dyDescent="0.25">
      <c r="B10" s="446" t="s">
        <v>2</v>
      </c>
      <c r="C10" s="446"/>
      <c r="D10" s="446"/>
      <c r="E10" s="446"/>
      <c r="F10" s="446"/>
      <c r="G10" s="446"/>
      <c r="H10" s="443"/>
    </row>
    <row r="11" spans="1:8" x14ac:dyDescent="0.25">
      <c r="B11" s="446" t="s">
        <v>3</v>
      </c>
      <c r="C11" s="446"/>
      <c r="D11" s="446"/>
      <c r="E11" s="446"/>
      <c r="F11" s="446"/>
      <c r="G11" s="446"/>
      <c r="H11" s="443"/>
    </row>
    <row r="12" spans="1:8" x14ac:dyDescent="0.25">
      <c r="B12" s="446" t="s">
        <v>4</v>
      </c>
      <c r="C12" s="447"/>
      <c r="D12" s="447"/>
      <c r="E12" s="446"/>
      <c r="F12" s="446"/>
      <c r="G12" s="446"/>
      <c r="H12" s="443"/>
    </row>
    <row r="13" spans="1:8" x14ac:dyDescent="0.25">
      <c r="B13" s="446" t="s">
        <v>5</v>
      </c>
      <c r="C13" s="447">
        <v>0.54166666666666663</v>
      </c>
      <c r="D13" s="447">
        <v>0.625</v>
      </c>
      <c r="E13" s="446">
        <v>2</v>
      </c>
      <c r="F13" s="446"/>
      <c r="G13" s="446" t="s">
        <v>77</v>
      </c>
      <c r="H13" s="443"/>
    </row>
    <row r="14" spans="1:8" x14ac:dyDescent="0.25">
      <c r="B14" s="446"/>
      <c r="C14" s="447">
        <v>0.625</v>
      </c>
      <c r="D14" s="447">
        <v>0.66666666666666663</v>
      </c>
      <c r="E14" s="446">
        <v>1</v>
      </c>
      <c r="F14" s="446"/>
      <c r="G14" s="446" t="s">
        <v>78</v>
      </c>
      <c r="H14" s="443"/>
    </row>
    <row r="15" spans="1:8" x14ac:dyDescent="0.25">
      <c r="B15" s="446" t="s">
        <v>6</v>
      </c>
      <c r="C15" s="447">
        <v>0.54166666666666663</v>
      </c>
      <c r="D15" s="447">
        <v>0.625</v>
      </c>
      <c r="E15" s="446">
        <v>2</v>
      </c>
      <c r="F15" s="446"/>
      <c r="G15" s="446" t="s">
        <v>79</v>
      </c>
      <c r="H15" s="443"/>
    </row>
    <row r="16" spans="1:8" ht="30" x14ac:dyDescent="0.25">
      <c r="B16" s="446" t="s">
        <v>7</v>
      </c>
      <c r="C16" s="447">
        <v>0.54166666666666663</v>
      </c>
      <c r="D16" s="447">
        <v>0.58333333333333337</v>
      </c>
      <c r="E16" s="446">
        <v>1</v>
      </c>
      <c r="F16" s="446"/>
      <c r="G16" s="446" t="s">
        <v>80</v>
      </c>
      <c r="H16" s="443" t="s">
        <v>81</v>
      </c>
    </row>
    <row r="17" spans="1:8" ht="30" x14ac:dyDescent="0.25">
      <c r="B17" s="446" t="s">
        <v>8</v>
      </c>
      <c r="C17" s="447">
        <v>0.375</v>
      </c>
      <c r="D17" s="447">
        <v>0.625</v>
      </c>
      <c r="E17" s="446">
        <v>6</v>
      </c>
      <c r="F17" s="446"/>
      <c r="G17" s="446" t="s">
        <v>82</v>
      </c>
      <c r="H17" s="443" t="s">
        <v>83</v>
      </c>
    </row>
    <row r="18" spans="1:8" x14ac:dyDescent="0.25">
      <c r="B18" s="444" t="s">
        <v>26</v>
      </c>
      <c r="C18" s="445"/>
      <c r="D18" s="445"/>
      <c r="E18" s="445">
        <f>SUM(E10:E17)</f>
        <v>12</v>
      </c>
      <c r="F18" s="448" t="s">
        <v>393</v>
      </c>
      <c r="G18" s="449" t="s">
        <v>397</v>
      </c>
    </row>
    <row r="19" spans="1:8" x14ac:dyDescent="0.25">
      <c r="A19" s="442" t="s">
        <v>487</v>
      </c>
      <c r="B19" s="450" t="s">
        <v>227</v>
      </c>
      <c r="C19" s="451"/>
      <c r="D19" s="451"/>
      <c r="E19" s="451">
        <f>SUM(E11,E18)</f>
        <v>12</v>
      </c>
      <c r="F19" s="440">
        <f>SUM([1]Anthony_hist!G15)</f>
        <v>6</v>
      </c>
      <c r="G19" s="527">
        <f>SUM(E19+D7)-F19</f>
        <v>6</v>
      </c>
      <c r="H19" s="452"/>
    </row>
    <row r="20" spans="1:8" x14ac:dyDescent="0.25">
      <c r="B20" s="453"/>
      <c r="C20" s="434"/>
      <c r="D20" s="438"/>
      <c r="E20" s="438"/>
      <c r="F20" s="438"/>
      <c r="G20" s="454"/>
    </row>
    <row r="21" spans="1:8" x14ac:dyDescent="0.25">
      <c r="B21" s="453"/>
      <c r="C21" s="434"/>
      <c r="D21" s="438"/>
      <c r="E21" s="438"/>
      <c r="F21" s="438"/>
      <c r="G21" s="454"/>
    </row>
    <row r="22" spans="1:8" x14ac:dyDescent="0.25">
      <c r="B22" s="444" t="s">
        <v>15</v>
      </c>
      <c r="C22" s="444" t="s">
        <v>11</v>
      </c>
      <c r="D22" s="444" t="s">
        <v>12</v>
      </c>
      <c r="E22" s="444" t="s">
        <v>13</v>
      </c>
      <c r="F22" s="444" t="s">
        <v>14</v>
      </c>
      <c r="G22" s="444" t="s">
        <v>0</v>
      </c>
      <c r="H22" s="443"/>
    </row>
    <row r="23" spans="1:8" x14ac:dyDescent="0.25">
      <c r="B23" s="446" t="s">
        <v>2</v>
      </c>
      <c r="C23" s="447">
        <v>0.41666666666666669</v>
      </c>
      <c r="D23" s="447">
        <v>0.45833333333333331</v>
      </c>
      <c r="E23" s="446">
        <v>1</v>
      </c>
      <c r="G23" s="446" t="s">
        <v>84</v>
      </c>
      <c r="H23" s="443"/>
    </row>
    <row r="24" spans="1:8" x14ac:dyDescent="0.25">
      <c r="B24" s="446" t="s">
        <v>3</v>
      </c>
      <c r="C24" s="455">
        <v>0.41666666666666669</v>
      </c>
      <c r="D24" s="447">
        <v>0.45833333333333331</v>
      </c>
      <c r="E24" s="446">
        <v>1</v>
      </c>
      <c r="G24" s="446" t="s">
        <v>84</v>
      </c>
      <c r="H24" s="443"/>
    </row>
    <row r="25" spans="1:8" x14ac:dyDescent="0.25">
      <c r="B25" s="446"/>
      <c r="C25" s="447">
        <v>0.52083333333333337</v>
      </c>
      <c r="D25" s="447">
        <v>0.54166666666666663</v>
      </c>
      <c r="E25" s="446">
        <v>0.5</v>
      </c>
      <c r="G25" s="446" t="s">
        <v>85</v>
      </c>
      <c r="H25" s="443"/>
    </row>
    <row r="26" spans="1:8" ht="30" x14ac:dyDescent="0.25">
      <c r="B26" s="446"/>
      <c r="C26" s="447">
        <v>0.64583333333333337</v>
      </c>
      <c r="D26" s="447">
        <v>0.6875</v>
      </c>
      <c r="E26" s="446">
        <v>1</v>
      </c>
      <c r="G26" s="446" t="s">
        <v>86</v>
      </c>
      <c r="H26" s="443"/>
    </row>
    <row r="27" spans="1:8" x14ac:dyDescent="0.25">
      <c r="B27" s="446" t="s">
        <v>4</v>
      </c>
      <c r="C27" s="455">
        <v>0.5625</v>
      </c>
      <c r="D27" s="455">
        <v>0.66666666666666663</v>
      </c>
      <c r="E27" s="446">
        <v>3.5</v>
      </c>
      <c r="G27" s="446" t="s">
        <v>87</v>
      </c>
      <c r="H27" s="443"/>
    </row>
    <row r="28" spans="1:8" x14ac:dyDescent="0.25">
      <c r="B28" s="446"/>
      <c r="C28" s="447">
        <v>0.72916666666666663</v>
      </c>
      <c r="D28" s="447">
        <v>0.9375</v>
      </c>
      <c r="E28" s="446">
        <v>5</v>
      </c>
      <c r="G28" s="446" t="s">
        <v>88</v>
      </c>
      <c r="H28" s="443"/>
    </row>
    <row r="29" spans="1:8" x14ac:dyDescent="0.25">
      <c r="B29" s="446"/>
      <c r="C29" s="447">
        <v>0.97916666666666663</v>
      </c>
      <c r="D29" s="447">
        <v>5.2083333333333336E-2</v>
      </c>
      <c r="E29" s="446">
        <v>1.75</v>
      </c>
      <c r="G29" s="446" t="s">
        <v>84</v>
      </c>
      <c r="H29" s="443"/>
    </row>
    <row r="30" spans="1:8" ht="30" x14ac:dyDescent="0.25">
      <c r="B30" s="446" t="s">
        <v>5</v>
      </c>
      <c r="C30" s="447">
        <v>0.45833333333333331</v>
      </c>
      <c r="D30" s="447">
        <v>0.5</v>
      </c>
      <c r="E30" s="446">
        <v>1</v>
      </c>
      <c r="G30" s="446" t="s">
        <v>89</v>
      </c>
      <c r="H30" s="443"/>
    </row>
    <row r="31" spans="1:8" x14ac:dyDescent="0.25">
      <c r="B31" s="446"/>
      <c r="C31" s="447">
        <v>0.5</v>
      </c>
      <c r="D31" s="447">
        <v>0.625</v>
      </c>
      <c r="E31" s="446">
        <v>3</v>
      </c>
      <c r="G31" s="446" t="s">
        <v>90</v>
      </c>
      <c r="H31" s="443"/>
    </row>
    <row r="32" spans="1:8" ht="30" x14ac:dyDescent="0.25">
      <c r="B32" s="446"/>
      <c r="C32" s="447">
        <v>0.625</v>
      </c>
      <c r="D32" s="447">
        <v>0.66666666666666663</v>
      </c>
      <c r="E32" s="446">
        <v>1</v>
      </c>
      <c r="G32" s="446" t="s">
        <v>91</v>
      </c>
      <c r="H32" s="443"/>
    </row>
    <row r="33" spans="1:19" x14ac:dyDescent="0.25">
      <c r="B33" s="446" t="s">
        <v>6</v>
      </c>
      <c r="C33" s="446"/>
      <c r="D33" s="446"/>
      <c r="E33" s="446">
        <f t="shared" ref="E33:E35" si="0">SUM(D33-C33)</f>
        <v>0</v>
      </c>
      <c r="F33" s="446"/>
      <c r="G33" s="446"/>
      <c r="H33" s="443"/>
    </row>
    <row r="34" spans="1:19" x14ac:dyDescent="0.25">
      <c r="B34" s="446" t="s">
        <v>7</v>
      </c>
      <c r="C34" s="446"/>
      <c r="D34" s="446"/>
      <c r="E34" s="446">
        <f t="shared" si="0"/>
        <v>0</v>
      </c>
      <c r="F34" s="446"/>
      <c r="G34" s="446"/>
      <c r="H34" s="443"/>
    </row>
    <row r="35" spans="1:19" x14ac:dyDescent="0.25">
      <c r="B35" s="446" t="s">
        <v>8</v>
      </c>
      <c r="C35" s="446"/>
      <c r="D35" s="446"/>
      <c r="E35" s="446">
        <f t="shared" si="0"/>
        <v>0</v>
      </c>
      <c r="F35" s="446"/>
      <c r="G35" s="446"/>
      <c r="H35" s="443"/>
    </row>
    <row r="36" spans="1:19" x14ac:dyDescent="0.25">
      <c r="A36" s="450" t="s">
        <v>396</v>
      </c>
      <c r="B36" s="444" t="s">
        <v>26</v>
      </c>
      <c r="C36" s="445"/>
      <c r="D36" s="445"/>
      <c r="E36" s="451">
        <f>SUM(E23:E35)</f>
        <v>18.75</v>
      </c>
      <c r="F36" s="574" t="s">
        <v>397</v>
      </c>
      <c r="G36" s="574"/>
      <c r="H36" s="443"/>
    </row>
    <row r="37" spans="1:19" x14ac:dyDescent="0.25">
      <c r="F37" s="443">
        <v>0</v>
      </c>
      <c r="G37" s="527">
        <f>SUM(E36,G19)</f>
        <v>24.75</v>
      </c>
    </row>
    <row r="38" spans="1:19" ht="28.5" x14ac:dyDescent="0.45">
      <c r="A38" s="575" t="s">
        <v>488</v>
      </c>
      <c r="B38" s="575"/>
      <c r="C38" s="575"/>
      <c r="D38" s="575"/>
      <c r="E38" s="575"/>
      <c r="F38" s="575"/>
      <c r="G38" s="575"/>
      <c r="H38" s="575"/>
      <c r="I38" s="575"/>
      <c r="J38" s="456"/>
      <c r="K38" s="456"/>
      <c r="L38" s="456"/>
      <c r="M38" s="456"/>
      <c r="N38" s="456"/>
      <c r="O38" s="456"/>
      <c r="P38" s="456"/>
      <c r="Q38" s="456"/>
      <c r="R38" s="456"/>
      <c r="S38" s="456"/>
    </row>
    <row r="39" spans="1:19" x14ac:dyDescent="0.25">
      <c r="A39" s="457"/>
      <c r="B39" s="457"/>
      <c r="C39" s="457"/>
      <c r="D39" s="457"/>
      <c r="E39" s="457"/>
      <c r="F39" s="457"/>
      <c r="G39" s="457"/>
      <c r="H39" s="457"/>
      <c r="I39" s="457"/>
    </row>
    <row r="40" spans="1:19" x14ac:dyDescent="0.25">
      <c r="B40" s="444" t="s">
        <v>42</v>
      </c>
      <c r="C40" s="444" t="s">
        <v>11</v>
      </c>
      <c r="D40" s="444" t="s">
        <v>12</v>
      </c>
      <c r="E40" s="444" t="s">
        <v>13</v>
      </c>
      <c r="F40" s="445" t="s">
        <v>150</v>
      </c>
      <c r="G40" s="444" t="s">
        <v>0</v>
      </c>
      <c r="H40" s="444" t="s">
        <v>430</v>
      </c>
      <c r="I40" s="457"/>
      <c r="L40" s="458"/>
      <c r="M40" s="458"/>
      <c r="N40" s="458"/>
      <c r="O40" s="458"/>
      <c r="P40" s="458"/>
      <c r="Q40" s="458"/>
    </row>
    <row r="41" spans="1:19" ht="75" x14ac:dyDescent="0.25">
      <c r="A41" s="445">
        <v>12</v>
      </c>
      <c r="B41" s="446" t="s">
        <v>2</v>
      </c>
      <c r="C41" s="455">
        <v>0.5</v>
      </c>
      <c r="D41" s="455">
        <v>0.625</v>
      </c>
      <c r="E41" s="443">
        <v>2</v>
      </c>
      <c r="G41" s="443" t="s">
        <v>489</v>
      </c>
      <c r="I41" s="457"/>
      <c r="L41" s="459"/>
      <c r="M41" s="459"/>
      <c r="N41" s="459"/>
      <c r="O41" s="459"/>
      <c r="P41" s="459"/>
      <c r="Q41" s="459"/>
    </row>
    <row r="42" spans="1:19" x14ac:dyDescent="0.25">
      <c r="A42" s="445">
        <v>13</v>
      </c>
      <c r="B42" s="446" t="s">
        <v>3</v>
      </c>
      <c r="C42" s="455">
        <v>0.41666666666666669</v>
      </c>
      <c r="D42" s="455">
        <v>0.54166666666666696</v>
      </c>
      <c r="E42" s="443">
        <v>3</v>
      </c>
      <c r="G42" s="443" t="s">
        <v>80</v>
      </c>
      <c r="I42" s="457"/>
      <c r="L42" s="459"/>
      <c r="M42" s="460"/>
      <c r="N42" s="459"/>
      <c r="O42" s="459"/>
      <c r="P42" s="459"/>
      <c r="Q42" s="459"/>
    </row>
    <row r="43" spans="1:19" x14ac:dyDescent="0.25">
      <c r="A43" s="445">
        <v>14</v>
      </c>
      <c r="B43" s="446" t="s">
        <v>4</v>
      </c>
      <c r="C43" s="455"/>
      <c r="D43" s="455"/>
      <c r="I43" s="457"/>
      <c r="L43" s="459"/>
      <c r="M43" s="460"/>
      <c r="N43" s="460"/>
      <c r="O43" s="459"/>
      <c r="P43" s="459"/>
      <c r="Q43" s="459"/>
    </row>
    <row r="44" spans="1:19" x14ac:dyDescent="0.25">
      <c r="A44" s="445">
        <v>15</v>
      </c>
      <c r="B44" s="446" t="s">
        <v>5</v>
      </c>
      <c r="C44" s="455">
        <v>0.5</v>
      </c>
      <c r="D44" s="455">
        <v>0.58333333333333337</v>
      </c>
      <c r="E44" s="443">
        <v>2</v>
      </c>
      <c r="G44" s="443" t="s">
        <v>80</v>
      </c>
      <c r="I44" s="457"/>
      <c r="L44" s="459"/>
      <c r="M44" s="459"/>
      <c r="N44" s="459"/>
      <c r="O44" s="459"/>
      <c r="P44" s="459"/>
      <c r="Q44" s="459"/>
    </row>
    <row r="45" spans="1:19" x14ac:dyDescent="0.25">
      <c r="A45" s="445">
        <v>16</v>
      </c>
      <c r="B45" s="446" t="s">
        <v>6</v>
      </c>
      <c r="I45" s="457"/>
      <c r="L45" s="459"/>
      <c r="M45" s="459"/>
      <c r="N45" s="459"/>
      <c r="O45" s="459"/>
      <c r="P45" s="459"/>
      <c r="Q45" s="459"/>
    </row>
    <row r="46" spans="1:19" x14ac:dyDescent="0.25">
      <c r="A46" s="445">
        <v>17</v>
      </c>
      <c r="B46" s="446" t="s">
        <v>7</v>
      </c>
      <c r="I46" s="457"/>
      <c r="L46" s="459"/>
      <c r="M46" s="459"/>
      <c r="N46" s="459"/>
      <c r="O46" s="459"/>
      <c r="P46" s="459"/>
      <c r="Q46" s="459"/>
    </row>
    <row r="47" spans="1:19" x14ac:dyDescent="0.25">
      <c r="A47" s="445">
        <v>18</v>
      </c>
      <c r="B47" s="446" t="s">
        <v>8</v>
      </c>
      <c r="H47" s="576" t="s">
        <v>490</v>
      </c>
      <c r="I47" s="457"/>
      <c r="L47" s="459"/>
      <c r="M47" s="459"/>
      <c r="N47" s="459"/>
      <c r="O47" s="459"/>
      <c r="P47" s="459"/>
      <c r="Q47" s="459"/>
    </row>
    <row r="48" spans="1:19" x14ac:dyDescent="0.25">
      <c r="A48" s="450" t="s">
        <v>396</v>
      </c>
      <c r="B48" s="444" t="s">
        <v>26</v>
      </c>
      <c r="C48" s="445"/>
      <c r="D48" s="445"/>
      <c r="E48" s="445">
        <f>SUM(E41:E47)</f>
        <v>7</v>
      </c>
      <c r="F48" s="448" t="s">
        <v>393</v>
      </c>
      <c r="G48" s="449" t="s">
        <v>397</v>
      </c>
      <c r="H48" s="576"/>
      <c r="I48" s="457"/>
      <c r="L48" s="458"/>
      <c r="M48" s="461"/>
      <c r="N48" s="461"/>
      <c r="O48" s="461"/>
      <c r="P48" s="460"/>
      <c r="Q48" s="460"/>
    </row>
    <row r="49" spans="1:17" x14ac:dyDescent="0.25">
      <c r="A49" s="442" t="s">
        <v>230</v>
      </c>
      <c r="B49" s="450" t="s">
        <v>227</v>
      </c>
      <c r="C49" s="451"/>
      <c r="D49" s="451"/>
      <c r="E49" s="451">
        <f>SUM(E41:E47)</f>
        <v>7</v>
      </c>
      <c r="F49" s="448">
        <f>SUM([1]Anthony_hist!G19)</f>
        <v>1</v>
      </c>
      <c r="G49" s="527">
        <f>SUM(E49 + G37)</f>
        <v>31.75</v>
      </c>
      <c r="H49" s="576"/>
      <c r="I49" s="457"/>
    </row>
    <row r="50" spans="1:17" x14ac:dyDescent="0.25">
      <c r="A50" s="445"/>
      <c r="I50" s="457"/>
    </row>
    <row r="51" spans="1:17" x14ac:dyDescent="0.25">
      <c r="A51" s="445"/>
      <c r="I51" s="457"/>
    </row>
    <row r="52" spans="1:17" x14ac:dyDescent="0.25">
      <c r="A52" s="445"/>
      <c r="B52" s="444" t="s">
        <v>46</v>
      </c>
      <c r="C52" s="444" t="s">
        <v>11</v>
      </c>
      <c r="D52" s="444" t="s">
        <v>12</v>
      </c>
      <c r="E52" s="444" t="s">
        <v>13</v>
      </c>
      <c r="F52" s="445" t="s">
        <v>150</v>
      </c>
      <c r="G52" s="444" t="s">
        <v>0</v>
      </c>
      <c r="H52" s="444" t="s">
        <v>43</v>
      </c>
      <c r="I52" s="457"/>
      <c r="L52" s="458"/>
      <c r="M52" s="458"/>
      <c r="N52" s="458"/>
      <c r="O52" s="458"/>
      <c r="P52" s="458"/>
      <c r="Q52" s="458"/>
    </row>
    <row r="53" spans="1:17" ht="30" x14ac:dyDescent="0.25">
      <c r="A53" s="445">
        <v>19</v>
      </c>
      <c r="B53" s="446" t="s">
        <v>2</v>
      </c>
      <c r="C53" s="455">
        <v>0.5</v>
      </c>
      <c r="D53" s="455">
        <v>0.70833333333333337</v>
      </c>
      <c r="E53" s="443">
        <v>5</v>
      </c>
      <c r="G53" s="443" t="s">
        <v>491</v>
      </c>
      <c r="I53" s="457"/>
      <c r="L53" s="459"/>
      <c r="M53" s="459"/>
      <c r="N53" s="459"/>
      <c r="O53" s="459"/>
      <c r="P53" s="459"/>
      <c r="Q53" s="459"/>
    </row>
    <row r="54" spans="1:17" x14ac:dyDescent="0.25">
      <c r="A54" s="445">
        <v>20</v>
      </c>
      <c r="B54" s="446" t="s">
        <v>3</v>
      </c>
      <c r="C54" s="455"/>
      <c r="D54" s="455"/>
      <c r="I54" s="457"/>
      <c r="L54" s="459"/>
      <c r="M54" s="460"/>
      <c r="N54" s="459"/>
      <c r="O54" s="459"/>
      <c r="P54" s="459"/>
      <c r="Q54" s="459"/>
    </row>
    <row r="55" spans="1:17" ht="30" x14ac:dyDescent="0.25">
      <c r="A55" s="445">
        <v>21</v>
      </c>
      <c r="B55" s="446" t="s">
        <v>4</v>
      </c>
      <c r="C55" s="447" t="s">
        <v>492</v>
      </c>
      <c r="D55" s="447" t="s">
        <v>493</v>
      </c>
      <c r="E55" s="443">
        <v>2</v>
      </c>
      <c r="G55" s="443" t="s">
        <v>494</v>
      </c>
      <c r="I55" s="457"/>
      <c r="L55" s="459"/>
      <c r="M55" s="460"/>
      <c r="N55" s="460"/>
      <c r="O55" s="459"/>
      <c r="P55" s="459"/>
      <c r="Q55" s="459"/>
    </row>
    <row r="56" spans="1:17" x14ac:dyDescent="0.25">
      <c r="A56" s="445">
        <v>22</v>
      </c>
      <c r="B56" s="446" t="s">
        <v>5</v>
      </c>
      <c r="C56" s="577" t="s">
        <v>495</v>
      </c>
      <c r="D56" s="577"/>
      <c r="E56" s="577"/>
      <c r="F56" s="577"/>
      <c r="G56" s="577"/>
      <c r="H56" s="577"/>
      <c r="I56" s="457"/>
      <c r="L56" s="459"/>
      <c r="M56" s="459"/>
      <c r="N56" s="459"/>
      <c r="O56" s="459"/>
      <c r="P56" s="459"/>
      <c r="Q56" s="459"/>
    </row>
    <row r="57" spans="1:17" x14ac:dyDescent="0.25">
      <c r="A57" s="445">
        <v>23</v>
      </c>
      <c r="B57" s="446" t="s">
        <v>6</v>
      </c>
      <c r="C57" s="462">
        <v>0.75</v>
      </c>
      <c r="D57" s="462">
        <v>0.91666666666666663</v>
      </c>
      <c r="E57" s="463">
        <v>4</v>
      </c>
      <c r="F57" s="463"/>
      <c r="G57" s="463" t="s">
        <v>93</v>
      </c>
      <c r="I57" s="464"/>
      <c r="L57" s="459"/>
      <c r="M57" s="459"/>
      <c r="N57" s="459"/>
      <c r="O57" s="459"/>
      <c r="P57" s="459"/>
      <c r="Q57" s="459"/>
    </row>
    <row r="58" spans="1:17" x14ac:dyDescent="0.25">
      <c r="A58" s="445">
        <v>24</v>
      </c>
      <c r="B58" s="446" t="s">
        <v>7</v>
      </c>
      <c r="C58" s="455"/>
      <c r="D58" s="455"/>
      <c r="I58" s="457"/>
      <c r="L58" s="459"/>
      <c r="M58" s="459"/>
      <c r="N58" s="459"/>
      <c r="O58" s="459"/>
      <c r="P58" s="459"/>
      <c r="Q58" s="459"/>
    </row>
    <row r="59" spans="1:17" x14ac:dyDescent="0.25">
      <c r="A59" s="445">
        <v>25</v>
      </c>
      <c r="B59" s="446" t="s">
        <v>8</v>
      </c>
      <c r="C59" s="462">
        <v>0.54166666666666663</v>
      </c>
      <c r="D59" s="462">
        <v>0.70833333333333337</v>
      </c>
      <c r="E59" s="463">
        <v>4</v>
      </c>
      <c r="F59" s="463"/>
      <c r="G59" s="463" t="s">
        <v>93</v>
      </c>
      <c r="I59" s="465" t="s">
        <v>23</v>
      </c>
      <c r="L59" s="459"/>
      <c r="M59" s="459"/>
      <c r="N59" s="459"/>
      <c r="O59" s="459"/>
      <c r="P59" s="459"/>
      <c r="Q59" s="459"/>
    </row>
    <row r="60" spans="1:17" x14ac:dyDescent="0.25">
      <c r="A60" s="445"/>
      <c r="B60" s="444" t="s">
        <v>26</v>
      </c>
      <c r="C60" s="445"/>
      <c r="D60" s="445"/>
      <c r="E60" s="445">
        <f>SUM(E53:E59)</f>
        <v>15</v>
      </c>
      <c r="I60" s="465"/>
      <c r="L60" s="458"/>
      <c r="M60" s="461"/>
      <c r="N60" s="461"/>
      <c r="O60" s="461"/>
      <c r="P60" s="460"/>
      <c r="Q60" s="460"/>
    </row>
    <row r="61" spans="1:17" x14ac:dyDescent="0.25">
      <c r="A61" s="445"/>
      <c r="B61" s="446"/>
      <c r="I61" s="465"/>
      <c r="L61" s="460"/>
      <c r="M61" s="460"/>
      <c r="N61" s="460"/>
      <c r="O61" s="460"/>
      <c r="P61" s="460"/>
      <c r="Q61" s="460"/>
    </row>
    <row r="62" spans="1:17" x14ac:dyDescent="0.25">
      <c r="A62" s="445"/>
      <c r="B62" s="444" t="s">
        <v>10</v>
      </c>
      <c r="C62" s="444" t="s">
        <v>11</v>
      </c>
      <c r="D62" s="444" t="s">
        <v>12</v>
      </c>
      <c r="E62" s="444" t="s">
        <v>13</v>
      </c>
      <c r="F62" s="444" t="s">
        <v>14</v>
      </c>
      <c r="G62" s="444" t="s">
        <v>0</v>
      </c>
      <c r="I62" s="457"/>
      <c r="L62" s="458"/>
      <c r="M62" s="458"/>
      <c r="N62" s="458"/>
      <c r="O62" s="458"/>
      <c r="P62" s="458"/>
      <c r="Q62" s="458"/>
    </row>
    <row r="63" spans="1:17" ht="30" x14ac:dyDescent="0.25">
      <c r="A63" s="445">
        <v>26</v>
      </c>
      <c r="B63" s="446" t="s">
        <v>2</v>
      </c>
      <c r="C63" s="455">
        <v>0.375</v>
      </c>
      <c r="D63" s="455">
        <v>0.41666666666666669</v>
      </c>
      <c r="E63" s="443">
        <v>1</v>
      </c>
      <c r="G63" s="443" t="s">
        <v>496</v>
      </c>
      <c r="I63" s="457"/>
      <c r="L63" s="459"/>
      <c r="M63" s="459"/>
      <c r="N63" s="459"/>
      <c r="O63" s="459"/>
      <c r="P63" s="459"/>
      <c r="Q63" s="459"/>
    </row>
    <row r="64" spans="1:17" x14ac:dyDescent="0.25">
      <c r="A64" s="445"/>
      <c r="C64" s="462">
        <v>0.41666666666666669</v>
      </c>
      <c r="D64" s="462">
        <v>0.5</v>
      </c>
      <c r="E64" s="463">
        <v>2</v>
      </c>
      <c r="F64" s="463"/>
      <c r="G64" s="463" t="s">
        <v>94</v>
      </c>
      <c r="I64" s="457"/>
      <c r="L64" s="459"/>
      <c r="M64" s="460"/>
      <c r="N64" s="459"/>
      <c r="O64" s="459"/>
      <c r="P64" s="459"/>
      <c r="Q64" s="459"/>
    </row>
    <row r="65" spans="1:19" x14ac:dyDescent="0.25">
      <c r="A65" s="445">
        <v>27</v>
      </c>
      <c r="B65" s="446" t="s">
        <v>3</v>
      </c>
      <c r="C65" s="466">
        <v>0.66666666666666663</v>
      </c>
      <c r="D65" s="462">
        <v>0.70833333333333337</v>
      </c>
      <c r="E65" s="463">
        <v>1</v>
      </c>
      <c r="F65" s="463"/>
      <c r="G65" s="463" t="s">
        <v>95</v>
      </c>
      <c r="I65" s="457"/>
      <c r="L65" s="459"/>
      <c r="M65" s="460"/>
      <c r="N65" s="460"/>
      <c r="O65" s="459"/>
      <c r="P65" s="459"/>
      <c r="Q65" s="459"/>
    </row>
    <row r="66" spans="1:19" x14ac:dyDescent="0.25">
      <c r="A66" s="445">
        <v>28</v>
      </c>
      <c r="B66" s="446" t="s">
        <v>4</v>
      </c>
      <c r="C66" s="466"/>
      <c r="D66" s="466"/>
      <c r="E66" s="463"/>
      <c r="F66" s="463"/>
      <c r="G66" s="463"/>
      <c r="I66" s="457"/>
      <c r="L66" s="459"/>
      <c r="M66" s="459"/>
      <c r="N66" s="459"/>
      <c r="O66" s="459"/>
      <c r="P66" s="459"/>
      <c r="Q66" s="459"/>
    </row>
    <row r="67" spans="1:19" x14ac:dyDescent="0.25">
      <c r="A67" s="445">
        <v>29</v>
      </c>
      <c r="B67" s="446" t="s">
        <v>5</v>
      </c>
      <c r="C67" s="463"/>
      <c r="D67" s="463"/>
      <c r="E67" s="463"/>
      <c r="F67" s="463"/>
      <c r="G67" s="463"/>
      <c r="I67" s="457"/>
      <c r="L67" s="459"/>
      <c r="M67" s="459"/>
      <c r="N67" s="459"/>
      <c r="O67" s="459"/>
      <c r="P67" s="459"/>
      <c r="Q67" s="459"/>
    </row>
    <row r="68" spans="1:19" x14ac:dyDescent="0.25">
      <c r="A68" s="445">
        <v>30</v>
      </c>
      <c r="B68" s="446" t="s">
        <v>6</v>
      </c>
      <c r="C68" s="467"/>
      <c r="D68" s="467"/>
      <c r="E68" s="467"/>
      <c r="F68" s="467"/>
      <c r="G68" s="467" t="s">
        <v>96</v>
      </c>
      <c r="H68" s="468"/>
      <c r="I68" s="457"/>
      <c r="L68" s="459"/>
      <c r="M68" s="459"/>
      <c r="N68" s="459"/>
      <c r="O68" s="459"/>
      <c r="P68" s="459"/>
      <c r="Q68" s="459"/>
    </row>
    <row r="69" spans="1:19" x14ac:dyDescent="0.25">
      <c r="A69" s="445">
        <v>31</v>
      </c>
      <c r="B69" s="446" t="s">
        <v>7</v>
      </c>
      <c r="C69" s="463"/>
      <c r="D69" s="463"/>
      <c r="E69" s="463"/>
      <c r="F69" s="463"/>
      <c r="G69" s="463"/>
      <c r="I69" s="457"/>
      <c r="L69" s="459"/>
      <c r="M69" s="459"/>
      <c r="N69" s="459"/>
      <c r="O69" s="459"/>
      <c r="P69" s="459"/>
      <c r="Q69" s="459"/>
    </row>
    <row r="70" spans="1:19" x14ac:dyDescent="0.25">
      <c r="A70" s="445">
        <v>1</v>
      </c>
      <c r="B70" s="446" t="s">
        <v>8</v>
      </c>
      <c r="C70" s="463"/>
      <c r="D70" s="463"/>
      <c r="E70" s="463">
        <v>4</v>
      </c>
      <c r="F70" s="463"/>
      <c r="G70" s="463"/>
      <c r="I70" s="457"/>
      <c r="J70" s="469"/>
      <c r="L70" s="458"/>
      <c r="M70" s="461"/>
      <c r="N70" s="461"/>
      <c r="O70" s="461"/>
      <c r="P70" s="460"/>
      <c r="Q70" s="460"/>
    </row>
    <row r="71" spans="1:19" x14ac:dyDescent="0.25">
      <c r="A71" s="450" t="s">
        <v>396</v>
      </c>
      <c r="B71" s="444" t="s">
        <v>26</v>
      </c>
      <c r="C71" s="445"/>
      <c r="D71" s="445"/>
      <c r="E71" s="445">
        <f>SUM(E63:E70)</f>
        <v>8</v>
      </c>
      <c r="F71" s="448" t="s">
        <v>393</v>
      </c>
      <c r="G71" s="449" t="s">
        <v>397</v>
      </c>
      <c r="I71" s="457"/>
      <c r="L71" s="460"/>
      <c r="M71" s="460"/>
      <c r="N71" s="460"/>
      <c r="O71" s="460"/>
      <c r="P71" s="460"/>
      <c r="Q71" s="460"/>
      <c r="S71" s="470"/>
    </row>
    <row r="72" spans="1:19" x14ac:dyDescent="0.25">
      <c r="A72" s="442" t="s">
        <v>394</v>
      </c>
      <c r="B72" s="450" t="s">
        <v>227</v>
      </c>
      <c r="C72" s="451"/>
      <c r="D72" s="451"/>
      <c r="E72" s="451">
        <f>SUM(E60,E71)</f>
        <v>23</v>
      </c>
      <c r="F72" s="471">
        <v>0</v>
      </c>
      <c r="G72" s="527">
        <f>SUM(E72+G49)</f>
        <v>54.75</v>
      </c>
      <c r="H72" s="452"/>
      <c r="I72" s="457"/>
    </row>
    <row r="73" spans="1:19" x14ac:dyDescent="0.25">
      <c r="A73" s="445"/>
      <c r="I73" s="457"/>
      <c r="L73" s="460"/>
      <c r="M73" s="460"/>
      <c r="N73" s="460"/>
      <c r="O73" s="460"/>
      <c r="P73" s="460"/>
      <c r="Q73" s="460"/>
    </row>
    <row r="74" spans="1:19" x14ac:dyDescent="0.25">
      <c r="A74" s="445"/>
      <c r="I74" s="457"/>
    </row>
    <row r="75" spans="1:19" x14ac:dyDescent="0.25">
      <c r="A75" s="445"/>
      <c r="B75" s="444" t="s">
        <v>29</v>
      </c>
      <c r="C75" s="444" t="s">
        <v>11</v>
      </c>
      <c r="D75" s="444" t="s">
        <v>12</v>
      </c>
      <c r="E75" s="444" t="s">
        <v>13</v>
      </c>
      <c r="F75" s="444" t="s">
        <v>14</v>
      </c>
      <c r="G75" s="444" t="s">
        <v>0</v>
      </c>
      <c r="I75" s="457"/>
      <c r="L75" s="458"/>
      <c r="M75" s="458"/>
      <c r="N75" s="458"/>
      <c r="O75" s="458"/>
      <c r="P75" s="458"/>
      <c r="Q75" s="458"/>
    </row>
    <row r="76" spans="1:19" x14ac:dyDescent="0.25">
      <c r="A76" s="445">
        <v>2</v>
      </c>
      <c r="B76" s="446" t="s">
        <v>2</v>
      </c>
      <c r="C76" s="467"/>
      <c r="D76" s="467"/>
      <c r="E76" s="467"/>
      <c r="F76" s="467"/>
      <c r="G76" s="467" t="s">
        <v>30</v>
      </c>
      <c r="H76" s="468"/>
      <c r="I76" s="457"/>
      <c r="L76" s="459"/>
      <c r="M76" s="459"/>
      <c r="N76" s="459"/>
      <c r="O76" s="459"/>
      <c r="P76" s="459"/>
      <c r="Q76" s="459"/>
    </row>
    <row r="77" spans="1:19" x14ac:dyDescent="0.25">
      <c r="A77" s="445">
        <v>3</v>
      </c>
      <c r="B77" s="446" t="s">
        <v>3</v>
      </c>
      <c r="D77" s="446"/>
      <c r="E77" s="446"/>
      <c r="F77" s="446"/>
      <c r="G77" s="446"/>
      <c r="I77" s="457"/>
      <c r="L77" s="459"/>
      <c r="M77" s="460"/>
      <c r="N77" s="459"/>
      <c r="O77" s="459"/>
      <c r="P77" s="459"/>
      <c r="Q77" s="459"/>
    </row>
    <row r="78" spans="1:19" x14ac:dyDescent="0.25">
      <c r="A78" s="445">
        <v>4</v>
      </c>
      <c r="B78" s="446" t="s">
        <v>4</v>
      </c>
      <c r="E78" s="446"/>
      <c r="F78" s="446"/>
      <c r="G78" s="446"/>
      <c r="I78" s="457"/>
      <c r="L78" s="459"/>
      <c r="M78" s="460"/>
      <c r="N78" s="460"/>
      <c r="O78" s="459"/>
      <c r="P78" s="459"/>
      <c r="Q78" s="459"/>
    </row>
    <row r="79" spans="1:19" ht="30" x14ac:dyDescent="0.25">
      <c r="A79" s="445">
        <v>5</v>
      </c>
      <c r="B79" s="446" t="s">
        <v>5</v>
      </c>
      <c r="C79" s="524">
        <v>0.5</v>
      </c>
      <c r="D79" s="524">
        <v>0.54166666666666663</v>
      </c>
      <c r="E79" s="472">
        <v>1</v>
      </c>
      <c r="F79" s="472"/>
      <c r="G79" s="472" t="s">
        <v>31</v>
      </c>
      <c r="I79" s="457"/>
      <c r="L79" s="459"/>
      <c r="M79" s="459"/>
      <c r="N79" s="459"/>
      <c r="O79" s="459"/>
      <c r="P79" s="459"/>
      <c r="Q79" s="459"/>
    </row>
    <row r="80" spans="1:19" x14ac:dyDescent="0.25">
      <c r="A80" s="445"/>
      <c r="B80" s="446"/>
      <c r="C80" s="525"/>
      <c r="D80" s="525"/>
      <c r="E80" s="472"/>
      <c r="F80" s="472"/>
      <c r="G80" s="472"/>
      <c r="I80" s="457"/>
      <c r="L80" s="459"/>
      <c r="M80" s="459"/>
      <c r="N80" s="459"/>
      <c r="O80" s="459"/>
      <c r="P80" s="459"/>
      <c r="Q80" s="459"/>
    </row>
    <row r="81" spans="1:17" x14ac:dyDescent="0.25">
      <c r="A81" s="445"/>
      <c r="B81" s="446"/>
      <c r="C81" s="525"/>
      <c r="D81" s="525"/>
      <c r="E81" s="472"/>
      <c r="F81" s="472"/>
      <c r="G81" s="472"/>
      <c r="I81" s="457"/>
      <c r="L81" s="459"/>
      <c r="M81" s="459"/>
      <c r="N81" s="459"/>
      <c r="O81" s="459"/>
      <c r="P81" s="459"/>
      <c r="Q81" s="459"/>
    </row>
    <row r="82" spans="1:17" ht="30" x14ac:dyDescent="0.25">
      <c r="A82" s="445">
        <v>6</v>
      </c>
      <c r="B82" s="446" t="s">
        <v>6</v>
      </c>
      <c r="C82" s="447">
        <v>0.33333333333333331</v>
      </c>
      <c r="D82" s="447">
        <v>0.375</v>
      </c>
      <c r="E82" s="446">
        <v>1</v>
      </c>
      <c r="F82" s="446"/>
      <c r="G82" s="446" t="s">
        <v>497</v>
      </c>
      <c r="I82" s="457"/>
      <c r="L82" s="459"/>
      <c r="M82" s="459"/>
      <c r="N82" s="459"/>
      <c r="O82" s="459"/>
      <c r="P82" s="459"/>
      <c r="Q82" s="459"/>
    </row>
    <row r="83" spans="1:17" x14ac:dyDescent="0.25">
      <c r="A83" s="445">
        <v>7</v>
      </c>
      <c r="B83" s="446" t="s">
        <v>7</v>
      </c>
      <c r="C83" s="447"/>
      <c r="D83" s="447"/>
      <c r="E83" s="446"/>
      <c r="F83" s="446"/>
      <c r="G83" s="446"/>
      <c r="I83" s="457"/>
      <c r="L83" s="458"/>
      <c r="M83" s="461"/>
      <c r="N83" s="461"/>
      <c r="O83" s="461"/>
      <c r="P83" s="460"/>
      <c r="Q83" s="460"/>
    </row>
    <row r="84" spans="1:17" ht="30" x14ac:dyDescent="0.25">
      <c r="A84" s="445">
        <v>8</v>
      </c>
      <c r="B84" s="446" t="s">
        <v>8</v>
      </c>
      <c r="C84" s="447"/>
      <c r="D84" s="447"/>
      <c r="E84" s="446">
        <v>7</v>
      </c>
      <c r="F84" s="446"/>
      <c r="G84" s="446" t="s">
        <v>498</v>
      </c>
      <c r="I84" s="457"/>
    </row>
    <row r="85" spans="1:17" x14ac:dyDescent="0.25">
      <c r="A85" s="445"/>
      <c r="B85" s="444" t="s">
        <v>26</v>
      </c>
      <c r="C85" s="445"/>
      <c r="D85" s="445"/>
      <c r="E85" s="445">
        <f>SUM(E76:E84)</f>
        <v>9</v>
      </c>
      <c r="I85" s="457"/>
    </row>
    <row r="86" spans="1:17" x14ac:dyDescent="0.25">
      <c r="A86" s="445"/>
      <c r="I86" s="457"/>
    </row>
    <row r="87" spans="1:17" x14ac:dyDescent="0.25">
      <c r="A87" s="445"/>
      <c r="I87" s="457"/>
    </row>
    <row r="88" spans="1:17" x14ac:dyDescent="0.25">
      <c r="A88" s="445"/>
      <c r="B88" s="444" t="s">
        <v>36</v>
      </c>
      <c r="C88" s="444" t="s">
        <v>11</v>
      </c>
      <c r="D88" s="444" t="s">
        <v>12</v>
      </c>
      <c r="E88" s="444" t="s">
        <v>13</v>
      </c>
      <c r="F88" s="444" t="s">
        <v>14</v>
      </c>
      <c r="G88" s="444" t="s">
        <v>0</v>
      </c>
      <c r="I88" s="457"/>
      <c r="L88" s="458"/>
      <c r="M88" s="458"/>
      <c r="N88" s="458"/>
      <c r="O88" s="458"/>
      <c r="P88" s="458"/>
      <c r="Q88" s="458"/>
    </row>
    <row r="89" spans="1:17" x14ac:dyDescent="0.25">
      <c r="A89" s="445">
        <v>9</v>
      </c>
      <c r="B89" s="446" t="s">
        <v>2</v>
      </c>
      <c r="C89" s="466">
        <v>0.75</v>
      </c>
      <c r="D89" s="462">
        <v>0.89583333333333337</v>
      </c>
      <c r="E89" s="463">
        <v>3.5</v>
      </c>
      <c r="F89" s="463"/>
      <c r="G89" s="463" t="s">
        <v>97</v>
      </c>
      <c r="I89" s="457"/>
      <c r="L89" s="459"/>
      <c r="M89" s="460"/>
      <c r="N89" s="459"/>
      <c r="O89" s="459"/>
      <c r="P89" s="459"/>
      <c r="Q89" s="459"/>
    </row>
    <row r="90" spans="1:17" x14ac:dyDescent="0.25">
      <c r="A90" s="445"/>
      <c r="B90" s="446"/>
      <c r="C90" s="447"/>
      <c r="D90" s="447"/>
      <c r="E90" s="446"/>
      <c r="F90" s="446"/>
      <c r="G90" s="446"/>
      <c r="I90" s="457"/>
      <c r="L90" s="459"/>
      <c r="M90" s="460"/>
      <c r="N90" s="460"/>
      <c r="O90" s="460"/>
      <c r="P90" s="460"/>
      <c r="Q90" s="460"/>
    </row>
    <row r="91" spans="1:17" x14ac:dyDescent="0.25">
      <c r="A91" s="469">
        <v>10</v>
      </c>
      <c r="B91" s="138" t="s">
        <v>40</v>
      </c>
      <c r="C91" s="384"/>
      <c r="D91" s="526"/>
      <c r="E91" s="138"/>
      <c r="F91" s="138"/>
      <c r="G91" s="138"/>
      <c r="I91" s="457"/>
      <c r="L91" s="459"/>
      <c r="M91" s="460"/>
      <c r="N91" s="460"/>
      <c r="O91" s="459"/>
      <c r="P91" s="459"/>
      <c r="Q91" s="459"/>
    </row>
    <row r="92" spans="1:17" x14ac:dyDescent="0.25">
      <c r="A92" s="445">
        <v>11</v>
      </c>
      <c r="B92" s="446" t="s">
        <v>4</v>
      </c>
      <c r="C92" s="524"/>
      <c r="D92" s="524"/>
      <c r="E92" s="472"/>
      <c r="F92" s="472"/>
      <c r="G92" s="472"/>
      <c r="I92" s="457"/>
      <c r="L92" s="459"/>
      <c r="M92" s="459"/>
      <c r="N92" s="459"/>
      <c r="O92" s="459"/>
      <c r="P92" s="459"/>
      <c r="Q92" s="459"/>
    </row>
    <row r="93" spans="1:17" x14ac:dyDescent="0.25">
      <c r="A93" s="469">
        <v>12</v>
      </c>
      <c r="B93" s="446" t="s">
        <v>5</v>
      </c>
      <c r="C93" s="525"/>
      <c r="D93" s="525"/>
      <c r="E93" s="472"/>
      <c r="F93" s="472"/>
      <c r="G93" s="472"/>
      <c r="I93" s="457"/>
      <c r="L93" s="459"/>
      <c r="M93" s="459"/>
      <c r="N93" s="459"/>
      <c r="O93" s="459"/>
      <c r="P93" s="459"/>
      <c r="Q93" s="459"/>
    </row>
    <row r="94" spans="1:17" x14ac:dyDescent="0.25">
      <c r="A94" s="445">
        <v>13</v>
      </c>
      <c r="B94" s="446" t="s">
        <v>6</v>
      </c>
      <c r="C94" s="525">
        <v>0.125</v>
      </c>
      <c r="D94" s="525">
        <v>0.16666666666666666</v>
      </c>
      <c r="E94" s="472">
        <v>1</v>
      </c>
      <c r="F94" s="472"/>
      <c r="G94" s="472" t="s">
        <v>52</v>
      </c>
      <c r="I94" s="457"/>
      <c r="L94" s="459"/>
      <c r="M94" s="459"/>
      <c r="N94" s="459"/>
      <c r="O94" s="459"/>
      <c r="P94" s="459"/>
      <c r="Q94" s="459"/>
    </row>
    <row r="95" spans="1:17" ht="45" x14ac:dyDescent="0.25">
      <c r="A95" s="469">
        <v>14</v>
      </c>
      <c r="B95" s="446" t="s">
        <v>7</v>
      </c>
      <c r="C95" s="447"/>
      <c r="D95" s="447"/>
      <c r="E95" s="446">
        <v>14</v>
      </c>
      <c r="F95" s="473"/>
      <c r="G95" s="446" t="s">
        <v>499</v>
      </c>
      <c r="I95" s="457"/>
      <c r="L95" s="459"/>
      <c r="M95" s="459"/>
      <c r="N95" s="459"/>
      <c r="O95" s="459"/>
      <c r="P95" s="459"/>
      <c r="Q95" s="459"/>
    </row>
    <row r="96" spans="1:17" x14ac:dyDescent="0.25">
      <c r="A96" s="445">
        <v>15</v>
      </c>
      <c r="B96" s="446" t="s">
        <v>8</v>
      </c>
      <c r="C96" s="447">
        <v>0.375</v>
      </c>
      <c r="D96" s="447">
        <v>0.70833333333333337</v>
      </c>
      <c r="E96" s="446">
        <v>7</v>
      </c>
      <c r="F96" s="446"/>
      <c r="G96" s="446" t="s">
        <v>500</v>
      </c>
      <c r="I96" s="457"/>
      <c r="L96" s="458"/>
      <c r="M96" s="461"/>
      <c r="N96" s="461"/>
      <c r="O96" s="461"/>
      <c r="P96" s="460"/>
      <c r="Q96" s="460"/>
    </row>
    <row r="97" spans="1:20" x14ac:dyDescent="0.25">
      <c r="A97" s="445"/>
      <c r="B97" s="444" t="s">
        <v>26</v>
      </c>
      <c r="C97" s="446"/>
      <c r="D97" s="446"/>
      <c r="E97" s="445">
        <f>SUM(E89:E96)</f>
        <v>25.5</v>
      </c>
      <c r="F97" s="446"/>
      <c r="G97" s="446"/>
      <c r="I97" s="457"/>
      <c r="L97" s="460"/>
      <c r="M97" s="460"/>
      <c r="N97" s="460"/>
      <c r="O97" s="460"/>
      <c r="P97" s="460"/>
      <c r="Q97" s="460"/>
    </row>
    <row r="98" spans="1:20" x14ac:dyDescent="0.25">
      <c r="A98" s="450" t="s">
        <v>396</v>
      </c>
      <c r="B98" s="450" t="s">
        <v>227</v>
      </c>
      <c r="C98" s="445"/>
      <c r="D98" s="445"/>
      <c r="E98" s="445">
        <f>SUM(E89:E96,E76:E84)</f>
        <v>34.5</v>
      </c>
      <c r="F98" s="448" t="s">
        <v>393</v>
      </c>
      <c r="G98" s="449" t="s">
        <v>392</v>
      </c>
      <c r="I98" s="457"/>
      <c r="L98" s="460"/>
      <c r="M98" s="460"/>
      <c r="N98" s="460"/>
      <c r="O98" s="460"/>
      <c r="P98" s="460"/>
      <c r="Q98" s="460"/>
    </row>
    <row r="99" spans="1:20" x14ac:dyDescent="0.25">
      <c r="A99" s="442"/>
      <c r="C99" s="451"/>
      <c r="D99" s="451"/>
      <c r="E99" s="451" t="s">
        <v>396</v>
      </c>
      <c r="F99" s="443">
        <v>0</v>
      </c>
      <c r="G99" s="527">
        <f>SUM(E98+G72)</f>
        <v>89.25</v>
      </c>
      <c r="H99" s="452"/>
      <c r="I99" s="457"/>
    </row>
    <row r="100" spans="1:20" x14ac:dyDescent="0.25">
      <c r="A100" s="469"/>
      <c r="B100" s="474"/>
      <c r="C100" s="469"/>
      <c r="D100" s="474"/>
      <c r="E100" s="474"/>
      <c r="F100" s="474"/>
      <c r="G100" s="469"/>
      <c r="I100" s="457"/>
    </row>
    <row r="101" spans="1:20" x14ac:dyDescent="0.25">
      <c r="A101" s="445"/>
      <c r="B101" s="444" t="s">
        <v>54</v>
      </c>
      <c r="C101" s="444" t="s">
        <v>11</v>
      </c>
      <c r="D101" s="444" t="s">
        <v>12</v>
      </c>
      <c r="E101" s="444" t="s">
        <v>13</v>
      </c>
      <c r="F101" s="444" t="s">
        <v>14</v>
      </c>
      <c r="G101" s="474" t="s">
        <v>0</v>
      </c>
      <c r="I101" s="457"/>
      <c r="L101" s="474"/>
      <c r="M101" s="474"/>
      <c r="N101" s="474"/>
      <c r="O101" s="474"/>
      <c r="P101" s="474"/>
      <c r="Q101" s="474"/>
    </row>
    <row r="102" spans="1:20" x14ac:dyDescent="0.25">
      <c r="A102" s="445">
        <v>16</v>
      </c>
      <c r="B102" s="446" t="s">
        <v>2</v>
      </c>
      <c r="C102" s="446"/>
      <c r="D102" s="446"/>
      <c r="E102" s="446"/>
      <c r="F102" s="446"/>
      <c r="G102" s="446"/>
      <c r="I102" s="457"/>
      <c r="L102" s="138"/>
      <c r="N102" s="138"/>
      <c r="O102" s="138"/>
      <c r="P102" s="138"/>
      <c r="Q102" s="138"/>
    </row>
    <row r="103" spans="1:20" x14ac:dyDescent="0.25">
      <c r="A103" s="445">
        <v>17</v>
      </c>
      <c r="B103" s="446" t="s">
        <v>3</v>
      </c>
      <c r="D103" s="446"/>
      <c r="E103" s="446"/>
      <c r="F103" s="446"/>
      <c r="G103" s="446"/>
      <c r="I103" s="457"/>
      <c r="L103" s="138"/>
    </row>
    <row r="104" spans="1:20" x14ac:dyDescent="0.25">
      <c r="A104" s="445">
        <v>18</v>
      </c>
      <c r="B104" s="446" t="s">
        <v>4</v>
      </c>
      <c r="E104" s="446"/>
      <c r="F104" s="446"/>
      <c r="G104" s="446"/>
      <c r="I104" s="457"/>
      <c r="L104" s="138"/>
    </row>
    <row r="105" spans="1:20" x14ac:dyDescent="0.25">
      <c r="A105" s="445">
        <v>19</v>
      </c>
      <c r="B105" s="446" t="s">
        <v>5</v>
      </c>
      <c r="C105" s="466">
        <v>0.5</v>
      </c>
      <c r="D105" s="462">
        <v>4.1666666666666664E-2</v>
      </c>
      <c r="E105" s="385">
        <v>1</v>
      </c>
      <c r="F105" s="385"/>
      <c r="G105" s="385" t="s">
        <v>52</v>
      </c>
      <c r="I105" s="457"/>
      <c r="L105" s="138"/>
    </row>
    <row r="106" spans="1:20" x14ac:dyDescent="0.25">
      <c r="A106" s="445">
        <v>20</v>
      </c>
      <c r="B106" s="446" t="s">
        <v>6</v>
      </c>
      <c r="C106" s="447"/>
      <c r="D106" s="447"/>
      <c r="E106" s="385"/>
      <c r="F106" s="385"/>
      <c r="G106" s="385"/>
      <c r="I106" s="457"/>
      <c r="L106" s="138"/>
    </row>
    <row r="107" spans="1:20" x14ac:dyDescent="0.25">
      <c r="A107" s="445">
        <v>21</v>
      </c>
      <c r="B107" s="446" t="s">
        <v>7</v>
      </c>
      <c r="C107" s="446"/>
      <c r="D107" s="138"/>
      <c r="E107" s="138"/>
      <c r="F107" s="138"/>
      <c r="G107" s="138"/>
      <c r="I107" s="457"/>
      <c r="L107" s="138"/>
    </row>
    <row r="108" spans="1:20" x14ac:dyDescent="0.25">
      <c r="A108" s="445">
        <v>22</v>
      </c>
      <c r="B108" s="446" t="s">
        <v>8</v>
      </c>
      <c r="C108" s="446"/>
      <c r="D108" s="138"/>
      <c r="E108" s="138"/>
      <c r="F108" s="138"/>
      <c r="G108" s="138"/>
      <c r="I108" s="457"/>
      <c r="L108" s="138"/>
    </row>
    <row r="109" spans="1:20" x14ac:dyDescent="0.25">
      <c r="A109" s="445"/>
      <c r="B109" s="444" t="s">
        <v>26</v>
      </c>
      <c r="C109" s="445"/>
      <c r="D109" s="445"/>
      <c r="E109" s="445">
        <f>SUM(E102:E108)</f>
        <v>1</v>
      </c>
      <c r="I109" s="457"/>
      <c r="L109" s="138"/>
    </row>
    <row r="110" spans="1:20" x14ac:dyDescent="0.25">
      <c r="I110" s="457"/>
      <c r="M110" s="138"/>
      <c r="N110" s="138"/>
      <c r="O110" s="138"/>
      <c r="P110" s="138"/>
      <c r="Q110" s="138"/>
    </row>
    <row r="111" spans="1:20" s="476" customFormat="1" ht="28.5" x14ac:dyDescent="0.45">
      <c r="A111" s="570" t="s">
        <v>252</v>
      </c>
      <c r="B111" s="570"/>
      <c r="C111" s="570"/>
      <c r="D111" s="570"/>
      <c r="E111" s="570"/>
      <c r="F111" s="570"/>
      <c r="G111" s="570"/>
      <c r="H111" s="570"/>
      <c r="I111" s="570"/>
      <c r="J111" s="475"/>
      <c r="K111" s="475"/>
      <c r="L111" s="475"/>
      <c r="M111" s="475"/>
      <c r="N111" s="475"/>
      <c r="O111" s="475"/>
      <c r="P111" s="475"/>
      <c r="Q111" s="475"/>
      <c r="R111" s="475"/>
      <c r="S111" s="475"/>
      <c r="T111" s="475"/>
    </row>
    <row r="112" spans="1:20" x14ac:dyDescent="0.25">
      <c r="I112" s="457"/>
    </row>
    <row r="113" spans="1:19" ht="36.75" customHeight="1" x14ac:dyDescent="0.25">
      <c r="B113" s="444" t="s">
        <v>60</v>
      </c>
      <c r="C113" s="444" t="s">
        <v>11</v>
      </c>
      <c r="D113" s="444" t="s">
        <v>12</v>
      </c>
      <c r="E113" s="444" t="s">
        <v>13</v>
      </c>
      <c r="F113" s="444" t="s">
        <v>14</v>
      </c>
      <c r="G113" s="474" t="s">
        <v>0</v>
      </c>
      <c r="I113" s="457"/>
      <c r="L113" s="474"/>
      <c r="M113" s="474"/>
      <c r="N113" s="474"/>
      <c r="O113" s="474"/>
      <c r="P113" s="474"/>
      <c r="Q113" s="474"/>
    </row>
    <row r="114" spans="1:19" x14ac:dyDescent="0.25">
      <c r="A114" s="445">
        <v>23</v>
      </c>
      <c r="B114" s="446" t="s">
        <v>2</v>
      </c>
      <c r="C114" s="446"/>
      <c r="D114" s="446"/>
      <c r="E114" s="446"/>
      <c r="F114" s="446"/>
      <c r="G114" s="446"/>
      <c r="H114" s="443"/>
      <c r="I114" s="457"/>
      <c r="L114" s="138"/>
      <c r="N114" s="138"/>
      <c r="O114" s="138"/>
      <c r="P114" s="138"/>
      <c r="Q114" s="138"/>
    </row>
    <row r="115" spans="1:19" x14ac:dyDescent="0.25">
      <c r="A115" s="445"/>
      <c r="B115" s="446"/>
      <c r="C115" s="446"/>
      <c r="D115" s="138"/>
      <c r="E115" s="138"/>
      <c r="F115" s="138"/>
      <c r="G115" s="138"/>
      <c r="H115" s="443"/>
      <c r="I115" s="457"/>
      <c r="L115" s="138"/>
    </row>
    <row r="116" spans="1:19" x14ac:dyDescent="0.25">
      <c r="A116" s="445">
        <v>24</v>
      </c>
      <c r="B116" s="446" t="s">
        <v>3</v>
      </c>
      <c r="D116" s="138"/>
      <c r="E116" s="138"/>
      <c r="F116" s="138"/>
      <c r="G116" s="138"/>
      <c r="H116" s="443"/>
      <c r="I116" s="457"/>
      <c r="L116" s="138"/>
      <c r="O116" s="138"/>
      <c r="P116" s="138"/>
      <c r="Q116" s="138"/>
    </row>
    <row r="117" spans="1:19" x14ac:dyDescent="0.25">
      <c r="A117" s="445">
        <v>25</v>
      </c>
      <c r="B117" s="446" t="s">
        <v>4</v>
      </c>
      <c r="D117" s="385"/>
      <c r="E117" s="138"/>
      <c r="F117" s="138"/>
      <c r="G117" s="138"/>
      <c r="H117" s="443"/>
      <c r="I117" s="457"/>
      <c r="L117" s="138"/>
      <c r="M117" s="138"/>
      <c r="N117" s="138"/>
      <c r="O117" s="138"/>
      <c r="P117" s="138"/>
      <c r="Q117" s="138"/>
    </row>
    <row r="118" spans="1:19" x14ac:dyDescent="0.25">
      <c r="A118" s="445">
        <v>26</v>
      </c>
      <c r="B118" s="446" t="s">
        <v>5</v>
      </c>
      <c r="C118" s="477"/>
      <c r="D118" s="140"/>
      <c r="E118" s="140"/>
      <c r="F118" s="478"/>
      <c r="G118" s="140"/>
      <c r="H118" s="443"/>
      <c r="I118" s="457"/>
      <c r="L118" s="138"/>
      <c r="M118" s="138"/>
      <c r="N118" s="138"/>
      <c r="O118" s="138"/>
      <c r="P118" s="138"/>
      <c r="Q118" s="138"/>
    </row>
    <row r="119" spans="1:19" x14ac:dyDescent="0.25">
      <c r="A119" s="445"/>
      <c r="B119" s="446"/>
      <c r="C119" s="477"/>
      <c r="D119" s="140"/>
      <c r="E119" s="140"/>
      <c r="F119" s="140"/>
      <c r="G119" s="140"/>
      <c r="H119" s="443"/>
      <c r="I119" s="457"/>
      <c r="L119" s="138"/>
      <c r="M119" s="138"/>
      <c r="N119" s="138"/>
      <c r="O119" s="138"/>
      <c r="P119" s="138"/>
      <c r="Q119" s="138"/>
    </row>
    <row r="120" spans="1:19" x14ac:dyDescent="0.25">
      <c r="A120" s="445">
        <v>27</v>
      </c>
      <c r="B120" s="446" t="s">
        <v>6</v>
      </c>
      <c r="C120" s="446"/>
      <c r="D120" s="138"/>
      <c r="E120" s="138"/>
      <c r="F120" s="138"/>
      <c r="G120" s="138"/>
      <c r="H120" s="443"/>
      <c r="I120" s="457"/>
      <c r="L120" s="138"/>
      <c r="M120" s="138"/>
      <c r="N120" s="138"/>
      <c r="O120" s="138"/>
      <c r="P120" s="138"/>
      <c r="Q120" s="138"/>
    </row>
    <row r="121" spans="1:19" x14ac:dyDescent="0.25">
      <c r="A121" s="445">
        <v>28</v>
      </c>
      <c r="B121" s="446" t="s">
        <v>7</v>
      </c>
      <c r="C121" s="446"/>
      <c r="D121" s="446"/>
      <c r="E121" s="446"/>
      <c r="F121" s="446"/>
      <c r="G121" s="446"/>
      <c r="H121" s="443"/>
      <c r="I121" s="457"/>
      <c r="L121" s="474"/>
      <c r="M121" s="469"/>
      <c r="N121" s="469"/>
      <c r="O121" s="469"/>
    </row>
    <row r="122" spans="1:19" ht="30" x14ac:dyDescent="0.25">
      <c r="A122" s="445">
        <v>29</v>
      </c>
      <c r="B122" s="446" t="s">
        <v>8</v>
      </c>
      <c r="C122" s="446"/>
      <c r="D122" s="446"/>
      <c r="E122" s="446">
        <v>7</v>
      </c>
      <c r="F122" s="446"/>
      <c r="G122" s="446" t="s">
        <v>498</v>
      </c>
      <c r="H122" s="443"/>
      <c r="I122" s="457"/>
    </row>
    <row r="123" spans="1:19" x14ac:dyDescent="0.25">
      <c r="B123" s="444" t="s">
        <v>26</v>
      </c>
      <c r="C123" s="445"/>
      <c r="D123" s="445"/>
      <c r="E123" s="445">
        <f>SUM(E114:E122)</f>
        <v>7</v>
      </c>
      <c r="F123" s="448" t="s">
        <v>393</v>
      </c>
      <c r="G123" s="449" t="s">
        <v>397</v>
      </c>
      <c r="H123" s="443"/>
      <c r="I123" s="457"/>
    </row>
    <row r="124" spans="1:19" ht="60" x14ac:dyDescent="0.25">
      <c r="A124" s="442" t="s">
        <v>401</v>
      </c>
      <c r="B124" s="450" t="s">
        <v>227</v>
      </c>
      <c r="C124" s="451"/>
      <c r="D124" s="450"/>
      <c r="E124" s="450">
        <f>SUM(E109,E123)</f>
        <v>8</v>
      </c>
      <c r="F124" s="448">
        <f>SUM(1*[1]Anthony_hist!G23)</f>
        <v>40.75</v>
      </c>
      <c r="G124" s="527">
        <f>SUM(E124 + G99)-F124</f>
        <v>56.5</v>
      </c>
      <c r="H124" s="452" t="s">
        <v>501</v>
      </c>
      <c r="I124" s="457"/>
    </row>
    <row r="125" spans="1:19" x14ac:dyDescent="0.25">
      <c r="H125" s="443"/>
      <c r="I125" s="457"/>
    </row>
    <row r="126" spans="1:19" x14ac:dyDescent="0.25">
      <c r="I126" s="457"/>
    </row>
    <row r="127" spans="1:19" ht="42" customHeight="1" x14ac:dyDescent="0.25">
      <c r="B127" s="444" t="s">
        <v>70</v>
      </c>
      <c r="C127" s="444" t="s">
        <v>11</v>
      </c>
      <c r="D127" s="444" t="s">
        <v>12</v>
      </c>
      <c r="E127" s="444" t="s">
        <v>13</v>
      </c>
      <c r="F127" s="444" t="s">
        <v>14</v>
      </c>
      <c r="G127" s="474" t="s">
        <v>0</v>
      </c>
      <c r="I127" s="457"/>
      <c r="L127" s="474"/>
      <c r="M127" s="474"/>
      <c r="N127" s="474"/>
      <c r="O127" s="474"/>
      <c r="P127" s="474"/>
      <c r="Q127" s="474"/>
    </row>
    <row r="128" spans="1:19" ht="61.5" x14ac:dyDescent="0.9">
      <c r="A128" s="445">
        <v>30</v>
      </c>
      <c r="B128" s="446" t="s">
        <v>2</v>
      </c>
      <c r="C128" s="446"/>
      <c r="D128" s="138"/>
      <c r="E128" s="138"/>
      <c r="F128" s="138"/>
      <c r="G128" s="138"/>
      <c r="H128" s="443"/>
      <c r="I128" s="479"/>
      <c r="J128" s="480"/>
      <c r="K128" s="480"/>
      <c r="L128" s="138"/>
      <c r="N128" s="138"/>
      <c r="O128" s="138"/>
      <c r="P128" s="138"/>
      <c r="Q128" s="138"/>
      <c r="R128" s="480"/>
      <c r="S128" s="480"/>
    </row>
    <row r="129" spans="1:17" x14ac:dyDescent="0.25">
      <c r="A129" s="445">
        <v>1</v>
      </c>
      <c r="B129" s="446" t="s">
        <v>3</v>
      </c>
      <c r="D129" s="138"/>
      <c r="E129" s="138"/>
      <c r="F129" s="138"/>
      <c r="G129" s="138"/>
      <c r="H129" s="443"/>
      <c r="I129" s="457"/>
      <c r="L129" s="138"/>
    </row>
    <row r="130" spans="1:17" x14ac:dyDescent="0.25">
      <c r="A130" s="445">
        <v>2</v>
      </c>
      <c r="B130" s="446" t="s">
        <v>4</v>
      </c>
      <c r="D130" s="385"/>
      <c r="E130" s="138"/>
      <c r="F130" s="138"/>
      <c r="G130" s="138"/>
      <c r="H130" s="443"/>
      <c r="I130" s="457"/>
      <c r="L130" s="138"/>
      <c r="O130" s="138"/>
      <c r="P130" s="138"/>
      <c r="Q130" s="138"/>
    </row>
    <row r="131" spans="1:17" x14ac:dyDescent="0.25">
      <c r="A131" s="445">
        <v>3</v>
      </c>
      <c r="B131" s="446" t="s">
        <v>5</v>
      </c>
      <c r="C131" s="477"/>
      <c r="D131" s="140"/>
      <c r="E131" s="140"/>
      <c r="F131" s="140"/>
      <c r="G131" s="140"/>
      <c r="H131" s="443"/>
      <c r="I131" s="457"/>
      <c r="L131" s="138"/>
      <c r="M131" s="138"/>
      <c r="N131" s="138"/>
      <c r="O131" s="138"/>
      <c r="P131" s="138"/>
      <c r="Q131" s="138"/>
    </row>
    <row r="132" spans="1:17" x14ac:dyDescent="0.25">
      <c r="A132" s="445"/>
      <c r="B132" s="446"/>
      <c r="C132" s="472"/>
      <c r="D132" s="481"/>
      <c r="E132" s="481"/>
      <c r="F132" s="481"/>
      <c r="G132" s="481"/>
      <c r="H132" s="443"/>
      <c r="I132" s="457"/>
      <c r="L132" s="138"/>
      <c r="M132" s="138"/>
      <c r="N132" s="138"/>
      <c r="O132" s="138"/>
      <c r="P132" s="138"/>
      <c r="Q132" s="138"/>
    </row>
    <row r="133" spans="1:17" x14ac:dyDescent="0.25">
      <c r="A133" s="445">
        <v>4</v>
      </c>
      <c r="B133" s="446" t="s">
        <v>6</v>
      </c>
      <c r="C133" s="446"/>
      <c r="D133" s="138"/>
      <c r="E133" s="138"/>
      <c r="F133" s="138"/>
      <c r="G133" s="138"/>
      <c r="H133" s="443"/>
      <c r="I133" s="457"/>
      <c r="L133" s="138"/>
      <c r="M133" s="138"/>
      <c r="N133" s="138"/>
      <c r="O133" s="138"/>
      <c r="P133" s="138"/>
      <c r="Q133" s="138"/>
    </row>
    <row r="134" spans="1:17" x14ac:dyDescent="0.25">
      <c r="A134" s="445">
        <v>5</v>
      </c>
      <c r="B134" s="446" t="s">
        <v>7</v>
      </c>
      <c r="C134" s="446"/>
      <c r="D134" s="138"/>
      <c r="E134" s="385"/>
      <c r="F134" s="138"/>
      <c r="G134" s="138"/>
      <c r="H134" s="443"/>
      <c r="I134" s="457"/>
      <c r="L134" s="138"/>
      <c r="M134" s="138"/>
      <c r="N134" s="138"/>
      <c r="O134" s="138"/>
      <c r="P134" s="138"/>
      <c r="Q134" s="138"/>
    </row>
    <row r="135" spans="1:17" ht="30" x14ac:dyDescent="0.25">
      <c r="A135" s="445">
        <v>6</v>
      </c>
      <c r="B135" s="446" t="s">
        <v>8</v>
      </c>
      <c r="C135" s="446"/>
      <c r="D135" s="446"/>
      <c r="E135" s="446">
        <v>7</v>
      </c>
      <c r="F135" s="446"/>
      <c r="G135" s="446" t="s">
        <v>498</v>
      </c>
      <c r="H135" s="443"/>
      <c r="I135" s="457"/>
      <c r="L135" s="474"/>
      <c r="M135" s="469"/>
      <c r="N135" s="469"/>
      <c r="O135" s="469"/>
    </row>
    <row r="136" spans="1:17" x14ac:dyDescent="0.25">
      <c r="B136" s="444" t="s">
        <v>26</v>
      </c>
      <c r="C136" s="445"/>
      <c r="D136" s="445"/>
      <c r="E136" s="445">
        <f>SUM(E128:E135)</f>
        <v>7</v>
      </c>
      <c r="G136" s="385"/>
      <c r="I136" s="457"/>
    </row>
    <row r="137" spans="1:17" x14ac:dyDescent="0.25">
      <c r="G137" s="385"/>
      <c r="I137" s="457"/>
    </row>
    <row r="138" spans="1:17" x14ac:dyDescent="0.25">
      <c r="B138" s="444" t="s">
        <v>74</v>
      </c>
      <c r="C138" s="444" t="s">
        <v>11</v>
      </c>
      <c r="D138" s="444" t="s">
        <v>12</v>
      </c>
      <c r="E138" s="444" t="s">
        <v>13</v>
      </c>
      <c r="F138" s="444" t="s">
        <v>14</v>
      </c>
      <c r="G138" s="474" t="s">
        <v>0</v>
      </c>
      <c r="I138" s="457"/>
      <c r="L138" s="474"/>
      <c r="M138" s="474"/>
      <c r="N138" s="474"/>
      <c r="O138" s="474"/>
      <c r="P138" s="474"/>
      <c r="Q138" s="474"/>
    </row>
    <row r="139" spans="1:17" x14ac:dyDescent="0.25">
      <c r="A139" s="445">
        <v>7</v>
      </c>
      <c r="B139" s="446" t="s">
        <v>2</v>
      </c>
      <c r="C139" s="446"/>
      <c r="D139" s="446"/>
      <c r="E139" s="446"/>
      <c r="F139" s="446"/>
      <c r="G139" s="446"/>
      <c r="H139" s="443"/>
      <c r="I139" s="457"/>
      <c r="L139" s="138"/>
      <c r="N139" s="138"/>
      <c r="O139" s="138"/>
      <c r="P139" s="138"/>
      <c r="Q139" s="138"/>
    </row>
    <row r="140" spans="1:17" x14ac:dyDescent="0.25">
      <c r="A140" s="445">
        <v>8</v>
      </c>
      <c r="B140" s="446" t="s">
        <v>3</v>
      </c>
      <c r="D140" s="446"/>
      <c r="E140" s="446"/>
      <c r="F140" s="446"/>
      <c r="G140" s="446"/>
      <c r="H140" s="443"/>
      <c r="I140" s="457"/>
      <c r="L140" s="138"/>
    </row>
    <row r="141" spans="1:17" x14ac:dyDescent="0.25">
      <c r="A141" s="445">
        <v>9</v>
      </c>
      <c r="B141" s="446" t="s">
        <v>4</v>
      </c>
      <c r="E141" s="446"/>
      <c r="F141" s="446"/>
      <c r="G141" s="446"/>
      <c r="H141" s="443"/>
      <c r="I141" s="457"/>
      <c r="L141" s="138"/>
      <c r="Q141" s="138"/>
    </row>
    <row r="142" spans="1:17" ht="30" x14ac:dyDescent="0.25">
      <c r="A142" s="445">
        <v>10</v>
      </c>
      <c r="B142" s="446" t="s">
        <v>5</v>
      </c>
      <c r="C142" s="466">
        <v>0.125</v>
      </c>
      <c r="D142" s="462">
        <v>0.16666666666666666</v>
      </c>
      <c r="E142" s="472">
        <v>1</v>
      </c>
      <c r="F142" s="472"/>
      <c r="G142" s="472" t="s">
        <v>52</v>
      </c>
      <c r="H142" s="443" t="s">
        <v>67</v>
      </c>
      <c r="I142" s="457"/>
      <c r="L142" s="138"/>
      <c r="M142" s="138"/>
      <c r="N142" s="138"/>
      <c r="O142" s="138"/>
      <c r="P142" s="138"/>
      <c r="Q142" s="138"/>
    </row>
    <row r="143" spans="1:17" x14ac:dyDescent="0.25">
      <c r="A143" s="445">
        <v>11</v>
      </c>
      <c r="B143" s="446" t="s">
        <v>6</v>
      </c>
      <c r="C143" s="446"/>
      <c r="D143" s="446"/>
      <c r="E143" s="446"/>
      <c r="F143" s="446"/>
      <c r="G143" s="446"/>
      <c r="H143" s="443"/>
      <c r="I143" s="457"/>
      <c r="L143" s="138"/>
      <c r="M143" s="138"/>
      <c r="N143" s="138"/>
      <c r="O143" s="138"/>
      <c r="P143" s="138"/>
      <c r="Q143" s="138"/>
    </row>
    <row r="144" spans="1:17" x14ac:dyDescent="0.25">
      <c r="A144" s="445">
        <v>12</v>
      </c>
      <c r="B144" s="446" t="s">
        <v>7</v>
      </c>
      <c r="C144" s="446"/>
      <c r="D144" s="446"/>
      <c r="E144" s="446"/>
      <c r="F144" s="446"/>
      <c r="G144" s="446"/>
      <c r="H144" s="443"/>
      <c r="I144" s="457"/>
      <c r="L144" s="138"/>
      <c r="M144" s="138"/>
      <c r="N144" s="138"/>
      <c r="O144" s="138"/>
      <c r="P144" s="138"/>
      <c r="Q144" s="138"/>
    </row>
    <row r="145" spans="1:17" x14ac:dyDescent="0.25">
      <c r="A145" s="445">
        <v>13</v>
      </c>
      <c r="B145" s="446" t="s">
        <v>8</v>
      </c>
      <c r="C145" s="446"/>
      <c r="D145" s="446"/>
      <c r="E145" s="446">
        <v>7</v>
      </c>
      <c r="F145" s="446"/>
      <c r="G145" s="446"/>
      <c r="H145" s="443"/>
      <c r="I145" s="457"/>
      <c r="L145" s="474"/>
      <c r="M145" s="469"/>
      <c r="N145" s="469"/>
      <c r="O145" s="469"/>
    </row>
    <row r="146" spans="1:17" x14ac:dyDescent="0.25">
      <c r="B146" s="444" t="s">
        <v>26</v>
      </c>
      <c r="C146" s="445"/>
      <c r="D146" s="445"/>
      <c r="E146" s="445">
        <f>SUM(E139:E145)</f>
        <v>8</v>
      </c>
      <c r="F146" s="448" t="s">
        <v>393</v>
      </c>
      <c r="G146" s="449" t="s">
        <v>397</v>
      </c>
      <c r="I146" s="457"/>
    </row>
    <row r="147" spans="1:17" x14ac:dyDescent="0.25">
      <c r="A147" s="442" t="s">
        <v>402</v>
      </c>
      <c r="B147" s="450" t="s">
        <v>227</v>
      </c>
      <c r="C147" s="451"/>
      <c r="D147" s="451"/>
      <c r="E147" s="450">
        <f>SUM(E128:E135,E139:E145)</f>
        <v>15</v>
      </c>
      <c r="F147" s="448">
        <f>SUM(1*[1]Anthony_hist!G29)</f>
        <v>10</v>
      </c>
      <c r="G147" s="527">
        <f>SUM(G124+E147)-F147</f>
        <v>61.5</v>
      </c>
      <c r="H147" s="452"/>
      <c r="I147" s="457"/>
    </row>
    <row r="148" spans="1:17" x14ac:dyDescent="0.25">
      <c r="A148" s="138"/>
      <c r="B148" s="474"/>
      <c r="C148" s="385"/>
      <c r="D148" s="138"/>
      <c r="E148" s="138"/>
      <c r="F148" s="474"/>
      <c r="G148" s="138"/>
      <c r="I148" s="457"/>
      <c r="L148" s="474"/>
      <c r="M148" s="474"/>
      <c r="N148" s="474"/>
      <c r="O148" s="474"/>
      <c r="P148" s="474"/>
      <c r="Q148" s="474"/>
    </row>
    <row r="149" spans="1:17" x14ac:dyDescent="0.25">
      <c r="B149" s="444" t="s">
        <v>128</v>
      </c>
      <c r="C149" s="444" t="s">
        <v>11</v>
      </c>
      <c r="D149" s="444" t="s">
        <v>12</v>
      </c>
      <c r="E149" s="444" t="s">
        <v>13</v>
      </c>
      <c r="F149" s="444" t="s">
        <v>14</v>
      </c>
      <c r="G149" s="474" t="s">
        <v>0</v>
      </c>
      <c r="I149" s="457"/>
      <c r="L149" s="138"/>
      <c r="N149" s="138"/>
      <c r="O149" s="138"/>
      <c r="P149" s="138"/>
      <c r="Q149" s="138"/>
    </row>
    <row r="150" spans="1:17" x14ac:dyDescent="0.25">
      <c r="A150" s="443">
        <v>14</v>
      </c>
      <c r="B150" s="138" t="s">
        <v>2</v>
      </c>
      <c r="C150" s="138"/>
      <c r="D150" s="138"/>
      <c r="E150" s="138"/>
      <c r="F150" s="138"/>
      <c r="G150" s="138"/>
      <c r="I150" s="457"/>
      <c r="L150" s="138"/>
    </row>
    <row r="151" spans="1:17" x14ac:dyDescent="0.25">
      <c r="A151" s="443">
        <v>15</v>
      </c>
      <c r="B151" s="138" t="s">
        <v>3</v>
      </c>
      <c r="C151" s="385"/>
      <c r="D151" s="138"/>
      <c r="E151" s="138"/>
      <c r="F151" s="138"/>
      <c r="G151" s="138"/>
      <c r="I151" s="457"/>
      <c r="L151" s="138"/>
      <c r="Q151" s="138"/>
    </row>
    <row r="152" spans="1:17" x14ac:dyDescent="0.25">
      <c r="A152" s="443">
        <v>16</v>
      </c>
      <c r="B152" s="138" t="s">
        <v>4</v>
      </c>
      <c r="C152" s="385"/>
      <c r="D152" s="385"/>
      <c r="E152" s="138"/>
      <c r="F152" s="138"/>
      <c r="G152" s="385"/>
      <c r="I152" s="457"/>
      <c r="L152" s="138"/>
      <c r="M152" s="138"/>
      <c r="N152" s="138"/>
      <c r="O152" s="138"/>
      <c r="P152" s="138"/>
      <c r="Q152" s="138"/>
    </row>
    <row r="153" spans="1:17" x14ac:dyDescent="0.25">
      <c r="A153" s="443">
        <v>17</v>
      </c>
      <c r="B153" s="138" t="s">
        <v>5</v>
      </c>
      <c r="C153" s="385"/>
      <c r="D153" s="385"/>
      <c r="E153" s="385"/>
      <c r="F153" s="385"/>
      <c r="G153" s="385"/>
      <c r="I153" s="457"/>
      <c r="Q153" s="138"/>
    </row>
    <row r="154" spans="1:17" x14ac:dyDescent="0.25">
      <c r="B154" s="138"/>
      <c r="C154" s="140"/>
      <c r="D154" s="140"/>
      <c r="E154" s="140"/>
      <c r="F154" s="140"/>
      <c r="G154" s="140"/>
      <c r="I154" s="457"/>
      <c r="L154" s="138"/>
      <c r="M154" s="138"/>
      <c r="N154" s="138"/>
      <c r="O154" s="138"/>
      <c r="P154" s="138"/>
      <c r="Q154" s="138"/>
    </row>
    <row r="155" spans="1:17" x14ac:dyDescent="0.25">
      <c r="A155" s="443">
        <v>18</v>
      </c>
      <c r="B155" s="138" t="s">
        <v>6</v>
      </c>
      <c r="C155" s="385"/>
      <c r="D155" s="385"/>
      <c r="E155" s="138"/>
      <c r="F155" s="138"/>
      <c r="G155" s="138"/>
      <c r="I155" s="457"/>
      <c r="L155" s="138"/>
      <c r="M155" s="138"/>
      <c r="N155" s="138"/>
      <c r="O155" s="138"/>
      <c r="P155" s="138"/>
      <c r="Q155" s="138"/>
    </row>
    <row r="156" spans="1:17" x14ac:dyDescent="0.25">
      <c r="A156" s="443">
        <v>19</v>
      </c>
      <c r="B156" s="138" t="s">
        <v>7</v>
      </c>
      <c r="C156" s="385"/>
      <c r="D156" s="385"/>
      <c r="E156" s="138"/>
      <c r="F156" s="138"/>
      <c r="G156" s="138"/>
      <c r="I156" s="457"/>
      <c r="L156" s="138"/>
      <c r="M156" s="138"/>
      <c r="N156" s="138"/>
      <c r="O156" s="138"/>
      <c r="P156" s="138"/>
      <c r="Q156" s="138"/>
    </row>
    <row r="157" spans="1:17" ht="30" x14ac:dyDescent="0.25">
      <c r="A157" s="443">
        <v>20</v>
      </c>
      <c r="B157" s="138" t="s">
        <v>8</v>
      </c>
      <c r="C157" s="138"/>
      <c r="D157" s="138"/>
      <c r="E157" s="138">
        <v>7</v>
      </c>
      <c r="F157" s="138"/>
      <c r="G157" s="446" t="s">
        <v>498</v>
      </c>
      <c r="H157" s="482" t="s">
        <v>502</v>
      </c>
      <c r="I157" s="457"/>
      <c r="L157" s="474"/>
      <c r="M157" s="469"/>
      <c r="N157" s="469"/>
      <c r="O157" s="469"/>
    </row>
    <row r="158" spans="1:17" x14ac:dyDescent="0.25">
      <c r="B158" s="444" t="s">
        <v>26</v>
      </c>
      <c r="C158" s="445"/>
      <c r="D158" s="445"/>
      <c r="E158" s="445">
        <f>SUM(E150:E157)-E157</f>
        <v>0</v>
      </c>
      <c r="G158" s="385"/>
      <c r="I158" s="457"/>
    </row>
    <row r="159" spans="1:17" x14ac:dyDescent="0.25">
      <c r="G159" s="385"/>
      <c r="I159" s="457"/>
      <c r="L159" s="474"/>
      <c r="M159" s="474"/>
      <c r="N159" s="474"/>
      <c r="O159" s="474"/>
      <c r="P159" s="474"/>
      <c r="Q159" s="474"/>
    </row>
    <row r="160" spans="1:17" x14ac:dyDescent="0.25">
      <c r="B160" s="444" t="s">
        <v>130</v>
      </c>
      <c r="C160" s="444" t="s">
        <v>11</v>
      </c>
      <c r="D160" s="444" t="s">
        <v>12</v>
      </c>
      <c r="E160" s="444" t="s">
        <v>13</v>
      </c>
      <c r="F160" s="444" t="s">
        <v>14</v>
      </c>
      <c r="G160" s="474" t="s">
        <v>0</v>
      </c>
      <c r="I160" s="457"/>
      <c r="L160" s="138"/>
      <c r="N160" s="138"/>
      <c r="O160" s="138"/>
      <c r="P160" s="138"/>
      <c r="Q160" s="138"/>
    </row>
    <row r="161" spans="1:19" x14ac:dyDescent="0.25">
      <c r="A161" s="443">
        <v>21</v>
      </c>
      <c r="B161" s="138" t="s">
        <v>2</v>
      </c>
      <c r="C161" s="138"/>
      <c r="D161" s="138"/>
      <c r="E161" s="138"/>
      <c r="F161" s="138"/>
      <c r="G161" s="138"/>
      <c r="I161" s="457"/>
      <c r="L161" s="138"/>
    </row>
    <row r="162" spans="1:19" x14ac:dyDescent="0.25">
      <c r="A162" s="443">
        <v>22</v>
      </c>
      <c r="B162" s="138" t="s">
        <v>3</v>
      </c>
      <c r="C162" s="385"/>
      <c r="D162" s="138"/>
      <c r="E162" s="138"/>
      <c r="F162" s="138"/>
      <c r="G162" s="138"/>
      <c r="I162" s="457"/>
      <c r="L162" s="138"/>
      <c r="Q162" s="138"/>
    </row>
    <row r="163" spans="1:19" x14ac:dyDescent="0.25">
      <c r="A163" s="443">
        <v>23</v>
      </c>
      <c r="B163" s="138" t="s">
        <v>4</v>
      </c>
      <c r="C163" s="385"/>
      <c r="D163" s="385"/>
      <c r="E163" s="138"/>
      <c r="F163" s="138"/>
      <c r="G163" s="385"/>
      <c r="I163" s="457"/>
      <c r="L163" s="138"/>
      <c r="M163" s="138"/>
      <c r="N163" s="138"/>
      <c r="O163" s="138"/>
      <c r="P163" s="138"/>
      <c r="Q163" s="138"/>
    </row>
    <row r="164" spans="1:19" x14ac:dyDescent="0.25">
      <c r="A164" s="443">
        <v>24</v>
      </c>
      <c r="B164" s="138" t="s">
        <v>5</v>
      </c>
      <c r="C164" s="385"/>
      <c r="D164" s="385"/>
      <c r="E164" s="385"/>
      <c r="F164" s="385"/>
      <c r="G164" s="385"/>
      <c r="I164" s="457"/>
      <c r="L164" s="138"/>
      <c r="M164" s="138"/>
      <c r="N164" s="138"/>
      <c r="O164" s="138"/>
      <c r="P164" s="138"/>
      <c r="Q164" s="138"/>
    </row>
    <row r="165" spans="1:19" x14ac:dyDescent="0.25">
      <c r="A165" s="443">
        <v>25</v>
      </c>
      <c r="B165" s="138" t="s">
        <v>6</v>
      </c>
      <c r="C165" s="385"/>
      <c r="D165" s="385"/>
      <c r="E165" s="138"/>
      <c r="F165" s="138"/>
      <c r="G165" s="138"/>
      <c r="I165" s="457"/>
      <c r="L165" s="138"/>
      <c r="M165" s="138"/>
      <c r="N165" s="138"/>
      <c r="O165" s="138"/>
      <c r="P165" s="138"/>
      <c r="Q165" s="138"/>
    </row>
    <row r="166" spans="1:19" x14ac:dyDescent="0.25">
      <c r="A166" s="443">
        <v>26</v>
      </c>
      <c r="B166" s="138" t="s">
        <v>7</v>
      </c>
      <c r="C166" s="385"/>
      <c r="D166" s="385"/>
      <c r="E166" s="138"/>
      <c r="F166" s="138"/>
      <c r="G166" s="138"/>
      <c r="I166" s="457"/>
      <c r="L166" s="474"/>
      <c r="M166" s="469"/>
      <c r="N166" s="469"/>
      <c r="O166" s="469"/>
    </row>
    <row r="167" spans="1:19" ht="30" x14ac:dyDescent="0.25">
      <c r="A167" s="443">
        <v>27</v>
      </c>
      <c r="B167" s="138" t="s">
        <v>8</v>
      </c>
      <c r="C167" s="138"/>
      <c r="D167" s="138"/>
      <c r="E167" s="138">
        <v>7</v>
      </c>
      <c r="F167" s="138"/>
      <c r="G167" s="446" t="s">
        <v>498</v>
      </c>
      <c r="I167" s="457"/>
    </row>
    <row r="168" spans="1:19" x14ac:dyDescent="0.25">
      <c r="B168" s="444" t="s">
        <v>26</v>
      </c>
      <c r="C168" s="445"/>
      <c r="D168" s="445"/>
      <c r="E168" s="445">
        <f>SUM(E160:E167)-E167</f>
        <v>0</v>
      </c>
      <c r="F168" s="448" t="s">
        <v>393</v>
      </c>
      <c r="G168" s="449" t="s">
        <v>397</v>
      </c>
      <c r="I168" s="457"/>
      <c r="L168" s="474"/>
      <c r="M168" s="474"/>
      <c r="N168" s="474"/>
      <c r="O168" s="474"/>
      <c r="P168" s="474"/>
      <c r="Q168" s="474"/>
    </row>
    <row r="169" spans="1:19" x14ac:dyDescent="0.25">
      <c r="A169" s="442" t="s">
        <v>403</v>
      </c>
      <c r="B169" s="450" t="s">
        <v>227</v>
      </c>
      <c r="C169" s="451"/>
      <c r="D169" s="451"/>
      <c r="E169" s="450">
        <f>SUM(E150:E157,E161:E167)</f>
        <v>14</v>
      </c>
      <c r="F169" s="448">
        <f>SUM(1*[1]Anthony_hist!G35)</f>
        <v>65.5</v>
      </c>
      <c r="G169" s="527">
        <f>SUM(G147+E169)-F169</f>
        <v>10</v>
      </c>
      <c r="H169" s="452"/>
      <c r="I169" s="457"/>
      <c r="L169" s="138"/>
      <c r="N169" s="138"/>
      <c r="O169" s="138"/>
      <c r="P169" s="138"/>
      <c r="Q169" s="138"/>
      <c r="S169" s="138"/>
    </row>
    <row r="170" spans="1:19" x14ac:dyDescent="0.25">
      <c r="A170" s="469"/>
      <c r="B170" s="474"/>
      <c r="C170" s="469"/>
      <c r="D170" s="469"/>
      <c r="E170" s="474"/>
      <c r="F170" s="474"/>
      <c r="G170" s="469"/>
      <c r="I170" s="457"/>
      <c r="L170" s="138"/>
      <c r="S170" s="138"/>
    </row>
    <row r="171" spans="1:19" x14ac:dyDescent="0.25">
      <c r="A171" s="469"/>
      <c r="B171" s="474"/>
      <c r="C171" s="469"/>
      <c r="D171" s="469"/>
      <c r="E171" s="474"/>
      <c r="F171" s="474"/>
      <c r="G171" s="469"/>
      <c r="I171" s="457"/>
      <c r="L171" s="138"/>
      <c r="Q171" s="138"/>
    </row>
    <row r="172" spans="1:19" x14ac:dyDescent="0.25">
      <c r="A172" s="469"/>
      <c r="B172" s="474"/>
      <c r="C172" s="469"/>
      <c r="D172" s="469"/>
      <c r="E172" s="474"/>
      <c r="F172" s="474"/>
      <c r="G172" s="469"/>
      <c r="I172" s="457"/>
      <c r="L172" s="138"/>
      <c r="M172" s="138"/>
      <c r="N172" s="138"/>
      <c r="O172" s="138"/>
      <c r="P172" s="138"/>
      <c r="Q172" s="138"/>
    </row>
    <row r="173" spans="1:19" x14ac:dyDescent="0.25">
      <c r="B173" s="444" t="s">
        <v>132</v>
      </c>
      <c r="C173" s="444" t="s">
        <v>11</v>
      </c>
      <c r="D173" s="444" t="s">
        <v>12</v>
      </c>
      <c r="E173" s="444" t="s">
        <v>13</v>
      </c>
      <c r="F173" s="444" t="s">
        <v>14</v>
      </c>
      <c r="G173" s="474" t="s">
        <v>0</v>
      </c>
      <c r="I173" s="457"/>
      <c r="L173" s="138"/>
      <c r="M173" s="138"/>
      <c r="N173" s="138"/>
      <c r="O173" s="138"/>
      <c r="P173" s="138"/>
      <c r="Q173" s="138"/>
      <c r="S173" s="140"/>
    </row>
    <row r="174" spans="1:19" x14ac:dyDescent="0.25">
      <c r="A174" s="443">
        <v>28</v>
      </c>
      <c r="B174" s="138" t="s">
        <v>2</v>
      </c>
      <c r="C174" s="138"/>
      <c r="D174" s="138"/>
      <c r="E174" s="138"/>
      <c r="F174" s="138"/>
      <c r="G174" s="138"/>
      <c r="I174" s="457"/>
      <c r="L174" s="138"/>
      <c r="M174" s="138"/>
      <c r="N174" s="138"/>
      <c r="O174" s="138"/>
      <c r="P174" s="138"/>
      <c r="Q174" s="138"/>
      <c r="S174" s="138"/>
    </row>
    <row r="175" spans="1:19" x14ac:dyDescent="0.25">
      <c r="A175" s="443">
        <v>29</v>
      </c>
      <c r="B175" s="138" t="s">
        <v>3</v>
      </c>
      <c r="C175" s="385"/>
      <c r="D175" s="138"/>
      <c r="E175" s="138"/>
      <c r="F175" s="138"/>
      <c r="G175" s="138"/>
      <c r="I175" s="457"/>
      <c r="L175" s="138"/>
      <c r="M175" s="138"/>
      <c r="N175" s="138"/>
      <c r="O175" s="138"/>
      <c r="P175" s="138"/>
      <c r="Q175" s="138"/>
      <c r="S175" s="138"/>
    </row>
    <row r="176" spans="1:19" x14ac:dyDescent="0.25">
      <c r="A176" s="443">
        <v>30</v>
      </c>
      <c r="B176" s="138" t="s">
        <v>4</v>
      </c>
      <c r="C176" s="385"/>
      <c r="D176" s="385"/>
      <c r="E176" s="138"/>
      <c r="F176" s="138"/>
      <c r="G176" s="385"/>
      <c r="I176" s="457"/>
      <c r="L176" s="474"/>
      <c r="M176" s="469"/>
      <c r="N176" s="469"/>
      <c r="O176" s="469"/>
      <c r="S176" s="138"/>
    </row>
    <row r="177" spans="1:19" x14ac:dyDescent="0.25">
      <c r="A177" s="443">
        <v>31</v>
      </c>
      <c r="B177" s="138" t="s">
        <v>5</v>
      </c>
      <c r="C177" s="385"/>
      <c r="D177" s="385"/>
      <c r="E177" s="385"/>
      <c r="F177" s="385"/>
      <c r="G177" s="385"/>
      <c r="I177" s="457"/>
    </row>
    <row r="178" spans="1:19" x14ac:dyDescent="0.25">
      <c r="B178" s="138"/>
      <c r="C178" s="140"/>
      <c r="D178" s="140"/>
      <c r="E178" s="140"/>
      <c r="F178" s="140"/>
      <c r="G178" s="140"/>
      <c r="I178" s="457"/>
      <c r="L178" s="474"/>
      <c r="M178" s="474"/>
      <c r="N178" s="474"/>
      <c r="O178" s="474"/>
      <c r="P178" s="474"/>
      <c r="Q178" s="474"/>
    </row>
    <row r="179" spans="1:19" x14ac:dyDescent="0.25">
      <c r="A179" s="443">
        <v>1</v>
      </c>
      <c r="B179" s="138" t="s">
        <v>6</v>
      </c>
      <c r="C179" s="385"/>
      <c r="D179" s="385"/>
      <c r="E179" s="138"/>
      <c r="F179" s="138"/>
      <c r="G179" s="138"/>
      <c r="I179" s="457"/>
      <c r="L179" s="138"/>
      <c r="N179" s="138"/>
      <c r="O179" s="138"/>
      <c r="P179" s="138"/>
      <c r="Q179" s="138"/>
    </row>
    <row r="180" spans="1:19" x14ac:dyDescent="0.25">
      <c r="A180" s="443">
        <v>2</v>
      </c>
      <c r="B180" s="138" t="s">
        <v>7</v>
      </c>
      <c r="C180" s="385"/>
      <c r="D180" s="385"/>
      <c r="E180" s="138"/>
      <c r="F180" s="138"/>
      <c r="G180" s="138"/>
      <c r="I180" s="457"/>
      <c r="L180" s="138"/>
      <c r="S180" s="138"/>
    </row>
    <row r="181" spans="1:19" ht="30" x14ac:dyDescent="0.25">
      <c r="A181" s="482">
        <v>3</v>
      </c>
      <c r="B181" s="482" t="s">
        <v>8</v>
      </c>
      <c r="C181" s="482"/>
      <c r="D181" s="482"/>
      <c r="E181" s="482">
        <v>7</v>
      </c>
      <c r="F181" s="482"/>
      <c r="G181" s="482" t="s">
        <v>498</v>
      </c>
      <c r="H181" s="482" t="s">
        <v>502</v>
      </c>
      <c r="I181" s="457"/>
      <c r="L181" s="138"/>
      <c r="Q181" s="138"/>
      <c r="S181" s="138"/>
    </row>
    <row r="182" spans="1:19" x14ac:dyDescent="0.25">
      <c r="B182" s="444" t="s">
        <v>26</v>
      </c>
      <c r="C182" s="445"/>
      <c r="D182" s="445"/>
      <c r="E182" s="445">
        <f>SUM(E174:E181)-E181</f>
        <v>0</v>
      </c>
      <c r="G182" s="385"/>
      <c r="I182" s="457"/>
      <c r="L182" s="138"/>
      <c r="M182" s="138"/>
      <c r="N182" s="138"/>
      <c r="O182" s="138"/>
      <c r="P182" s="138"/>
      <c r="Q182" s="138"/>
    </row>
    <row r="183" spans="1:19" x14ac:dyDescent="0.25">
      <c r="I183" s="457"/>
      <c r="L183" s="138"/>
      <c r="M183" s="138"/>
      <c r="N183" s="138"/>
      <c r="O183" s="138"/>
      <c r="Q183" s="138"/>
    </row>
    <row r="184" spans="1:19" x14ac:dyDescent="0.25">
      <c r="B184" s="444" t="s">
        <v>133</v>
      </c>
      <c r="C184" s="444" t="s">
        <v>11</v>
      </c>
      <c r="D184" s="444" t="s">
        <v>12</v>
      </c>
      <c r="E184" s="444" t="s">
        <v>13</v>
      </c>
      <c r="F184" s="444" t="s">
        <v>14</v>
      </c>
      <c r="G184" s="474" t="s">
        <v>0</v>
      </c>
      <c r="I184" s="457"/>
      <c r="L184" s="138"/>
      <c r="M184" s="138"/>
      <c r="N184" s="138"/>
      <c r="O184" s="138"/>
      <c r="P184" s="138"/>
      <c r="Q184" s="138"/>
      <c r="S184" s="140"/>
    </row>
    <row r="185" spans="1:19" x14ac:dyDescent="0.25">
      <c r="A185" s="443">
        <v>4</v>
      </c>
      <c r="B185" s="138" t="s">
        <v>2</v>
      </c>
      <c r="C185" s="138"/>
      <c r="D185" s="138"/>
      <c r="E185" s="138"/>
      <c r="F185" s="138"/>
      <c r="G185" s="138"/>
      <c r="I185" s="457"/>
      <c r="L185" s="138"/>
      <c r="M185" s="138"/>
      <c r="N185" s="138"/>
      <c r="O185" s="138"/>
      <c r="P185" s="138"/>
      <c r="Q185" s="138"/>
      <c r="S185" s="138"/>
    </row>
    <row r="186" spans="1:19" x14ac:dyDescent="0.25">
      <c r="A186" s="443">
        <v>5</v>
      </c>
      <c r="B186" s="138" t="s">
        <v>3</v>
      </c>
      <c r="C186" s="385"/>
      <c r="D186" s="138"/>
      <c r="E186" s="138"/>
      <c r="F186" s="138"/>
      <c r="G186" s="138"/>
      <c r="I186" s="457"/>
      <c r="L186" s="474"/>
      <c r="M186" s="469"/>
      <c r="N186" s="469"/>
      <c r="O186" s="469"/>
      <c r="S186" s="138"/>
    </row>
    <row r="187" spans="1:19" x14ac:dyDescent="0.25">
      <c r="A187" s="443">
        <v>6</v>
      </c>
      <c r="B187" s="138" t="s">
        <v>4</v>
      </c>
      <c r="C187" s="385"/>
      <c r="D187" s="385"/>
      <c r="E187" s="138"/>
      <c r="F187" s="138"/>
      <c r="G187" s="385"/>
      <c r="I187" s="457"/>
      <c r="S187" s="138"/>
    </row>
    <row r="188" spans="1:19" x14ac:dyDescent="0.25">
      <c r="A188" s="443">
        <v>7</v>
      </c>
      <c r="B188" s="138" t="s">
        <v>5</v>
      </c>
      <c r="C188" s="385"/>
      <c r="D188" s="385"/>
      <c r="E188" s="385"/>
      <c r="F188" s="385"/>
      <c r="G188" s="385"/>
      <c r="I188" s="457"/>
      <c r="L188" s="474"/>
      <c r="M188" s="474"/>
      <c r="N188" s="474"/>
      <c r="O188" s="474"/>
      <c r="P188" s="474"/>
      <c r="Q188" s="474"/>
      <c r="S188" s="138"/>
    </row>
    <row r="189" spans="1:19" x14ac:dyDescent="0.25">
      <c r="B189" s="138"/>
      <c r="C189" s="140"/>
      <c r="D189" s="140"/>
      <c r="E189" s="140"/>
      <c r="F189" s="140"/>
      <c r="G189" s="140"/>
      <c r="I189" s="457"/>
      <c r="L189" s="138"/>
      <c r="N189" s="138"/>
      <c r="O189" s="138"/>
      <c r="P189" s="138"/>
      <c r="Q189" s="138"/>
    </row>
    <row r="190" spans="1:19" x14ac:dyDescent="0.25">
      <c r="A190" s="443">
        <v>8</v>
      </c>
      <c r="B190" s="138" t="s">
        <v>6</v>
      </c>
      <c r="C190" s="385"/>
      <c r="D190" s="385"/>
      <c r="E190" s="138"/>
      <c r="F190" s="138"/>
      <c r="G190" s="138"/>
      <c r="I190" s="457"/>
      <c r="L190" s="138"/>
    </row>
    <row r="191" spans="1:19" x14ac:dyDescent="0.25">
      <c r="A191" s="443">
        <v>9</v>
      </c>
      <c r="B191" s="138" t="s">
        <v>7</v>
      </c>
      <c r="C191" s="385"/>
      <c r="D191" s="385"/>
      <c r="E191" s="138"/>
      <c r="F191" s="138"/>
      <c r="G191" s="138"/>
      <c r="I191" s="457"/>
      <c r="L191" s="138"/>
      <c r="Q191" s="138"/>
    </row>
    <row r="192" spans="1:19" ht="30" x14ac:dyDescent="0.25">
      <c r="A192" s="482">
        <v>10</v>
      </c>
      <c r="B192" s="482" t="s">
        <v>8</v>
      </c>
      <c r="C192" s="482"/>
      <c r="D192" s="482"/>
      <c r="E192" s="482">
        <v>7</v>
      </c>
      <c r="F192" s="482"/>
      <c r="G192" s="482" t="s">
        <v>498</v>
      </c>
      <c r="H192" s="482" t="s">
        <v>502</v>
      </c>
      <c r="I192" s="457"/>
      <c r="L192" s="138"/>
      <c r="M192" s="138"/>
      <c r="N192" s="138"/>
      <c r="O192" s="138"/>
      <c r="P192" s="138"/>
      <c r="Q192" s="138"/>
      <c r="S192" s="138"/>
    </row>
    <row r="193" spans="1:19" x14ac:dyDescent="0.25">
      <c r="B193" s="444" t="s">
        <v>26</v>
      </c>
      <c r="C193" s="445"/>
      <c r="D193" s="445"/>
      <c r="E193" s="445">
        <f>SUM(E185:E192)-E192</f>
        <v>0</v>
      </c>
      <c r="F193" s="448" t="s">
        <v>393</v>
      </c>
      <c r="G193" s="449" t="s">
        <v>397</v>
      </c>
      <c r="I193" s="457"/>
      <c r="L193" s="138"/>
      <c r="M193" s="138"/>
      <c r="N193" s="138"/>
      <c r="O193" s="138"/>
      <c r="Q193" s="138"/>
      <c r="S193" s="138"/>
    </row>
    <row r="194" spans="1:19" x14ac:dyDescent="0.25">
      <c r="A194" s="442" t="s">
        <v>404</v>
      </c>
      <c r="B194" s="450" t="s">
        <v>227</v>
      </c>
      <c r="C194" s="451"/>
      <c r="D194" s="450"/>
      <c r="E194" s="450">
        <f>SUM(E193,E182)</f>
        <v>0</v>
      </c>
      <c r="F194" s="448">
        <f>SUM(1*[1]Anthony_hist!G41)</f>
        <v>4</v>
      </c>
      <c r="G194" s="527">
        <f>SUM(E194+G169)-F194</f>
        <v>6</v>
      </c>
      <c r="H194" s="452"/>
      <c r="I194" s="457"/>
      <c r="L194" s="138"/>
      <c r="M194" s="138"/>
      <c r="N194" s="138"/>
      <c r="O194" s="138"/>
      <c r="P194" s="138"/>
      <c r="Q194" s="138"/>
    </row>
    <row r="195" spans="1:19" x14ac:dyDescent="0.25">
      <c r="C195" s="445"/>
      <c r="D195" s="445"/>
      <c r="E195" s="483"/>
      <c r="I195" s="457"/>
      <c r="L195" s="138"/>
      <c r="M195" s="138"/>
      <c r="N195" s="138"/>
      <c r="O195" s="138"/>
      <c r="P195" s="138"/>
      <c r="Q195" s="138"/>
    </row>
    <row r="196" spans="1:19" x14ac:dyDescent="0.25">
      <c r="A196" s="385"/>
      <c r="B196" s="385"/>
      <c r="C196" s="469"/>
      <c r="D196" s="469"/>
      <c r="E196" s="474"/>
      <c r="F196" s="385"/>
      <c r="G196" s="385"/>
      <c r="I196" s="457"/>
      <c r="L196" s="474"/>
      <c r="M196" s="469"/>
      <c r="N196" s="469"/>
      <c r="O196" s="469"/>
      <c r="S196" s="140"/>
    </row>
    <row r="197" spans="1:19" x14ac:dyDescent="0.25">
      <c r="A197" s="385"/>
      <c r="B197" s="385"/>
      <c r="C197" s="385"/>
      <c r="D197" s="385"/>
      <c r="E197" s="385"/>
      <c r="F197" s="385"/>
      <c r="G197" s="385"/>
      <c r="I197" s="457"/>
      <c r="S197" s="138"/>
    </row>
    <row r="198" spans="1:19" x14ac:dyDescent="0.25">
      <c r="B198" s="444" t="s">
        <v>138</v>
      </c>
      <c r="C198" s="444" t="s">
        <v>11</v>
      </c>
      <c r="D198" s="444" t="s">
        <v>12</v>
      </c>
      <c r="E198" s="444" t="s">
        <v>13</v>
      </c>
      <c r="F198" s="444" t="s">
        <v>14</v>
      </c>
      <c r="G198" s="474" t="s">
        <v>0</v>
      </c>
      <c r="I198" s="457"/>
      <c r="L198" s="474"/>
      <c r="M198" s="474"/>
      <c r="N198" s="474"/>
      <c r="O198" s="474"/>
      <c r="P198" s="474"/>
      <c r="Q198" s="474"/>
      <c r="S198" s="138"/>
    </row>
    <row r="199" spans="1:19" x14ac:dyDescent="0.25">
      <c r="A199" s="443">
        <v>11</v>
      </c>
      <c r="B199" s="138" t="s">
        <v>2</v>
      </c>
      <c r="C199" s="138"/>
      <c r="D199" s="138"/>
      <c r="E199" s="138"/>
      <c r="F199" s="138"/>
      <c r="G199" s="138"/>
      <c r="I199" s="457"/>
      <c r="L199" s="138"/>
      <c r="N199" s="138"/>
      <c r="O199" s="138"/>
      <c r="P199" s="138"/>
      <c r="Q199" s="138"/>
      <c r="S199" s="138"/>
    </row>
    <row r="200" spans="1:19" x14ac:dyDescent="0.25">
      <c r="A200" s="443">
        <v>12</v>
      </c>
      <c r="B200" s="138" t="s">
        <v>3</v>
      </c>
      <c r="C200" s="385"/>
      <c r="D200" s="138"/>
      <c r="E200" s="138"/>
      <c r="F200" s="138"/>
      <c r="G200" s="138"/>
      <c r="I200" s="457"/>
      <c r="L200" s="138"/>
    </row>
    <row r="201" spans="1:19" x14ac:dyDescent="0.25">
      <c r="A201" s="443">
        <v>13</v>
      </c>
      <c r="B201" s="138" t="s">
        <v>4</v>
      </c>
      <c r="C201" s="385"/>
      <c r="D201" s="385"/>
      <c r="E201" s="138"/>
      <c r="F201" s="138"/>
      <c r="G201" s="385"/>
      <c r="I201" s="457"/>
      <c r="L201" s="138"/>
      <c r="Q201" s="138"/>
    </row>
    <row r="202" spans="1:19" x14ac:dyDescent="0.25">
      <c r="A202" s="443">
        <v>14</v>
      </c>
      <c r="B202" s="138" t="s">
        <v>5</v>
      </c>
      <c r="C202" s="385"/>
      <c r="D202" s="385"/>
      <c r="E202" s="385"/>
      <c r="F202" s="385"/>
      <c r="G202" s="385"/>
      <c r="I202" s="457"/>
      <c r="L202" s="138"/>
      <c r="M202" s="138"/>
      <c r="N202" s="138"/>
      <c r="O202" s="138"/>
      <c r="P202" s="138"/>
      <c r="Q202" s="138"/>
    </row>
    <row r="203" spans="1:19" x14ac:dyDescent="0.25">
      <c r="B203" s="138"/>
      <c r="C203" s="140"/>
      <c r="D203" s="140"/>
      <c r="E203" s="140"/>
      <c r="F203" s="140"/>
      <c r="G203" s="140"/>
      <c r="I203" s="457"/>
      <c r="L203" s="138"/>
      <c r="M203" s="138"/>
      <c r="N203" s="138"/>
      <c r="O203" s="138"/>
      <c r="Q203" s="138"/>
      <c r="S203" s="138"/>
    </row>
    <row r="204" spans="1:19" x14ac:dyDescent="0.25">
      <c r="A204" s="443">
        <v>15</v>
      </c>
      <c r="B204" s="138" t="s">
        <v>6</v>
      </c>
      <c r="C204" s="385"/>
      <c r="D204" s="385"/>
      <c r="E204" s="138"/>
      <c r="F204" s="138"/>
      <c r="G204" s="138"/>
      <c r="I204" s="457"/>
      <c r="L204" s="138"/>
      <c r="M204" s="138"/>
      <c r="N204" s="138"/>
      <c r="O204" s="138"/>
      <c r="P204" s="138"/>
      <c r="Q204" s="138"/>
      <c r="S204" s="138"/>
    </row>
    <row r="205" spans="1:19" x14ac:dyDescent="0.25">
      <c r="A205" s="443">
        <v>16</v>
      </c>
      <c r="B205" s="138" t="s">
        <v>7</v>
      </c>
      <c r="C205" s="385"/>
      <c r="D205" s="385"/>
      <c r="E205" s="138"/>
      <c r="F205" s="138"/>
      <c r="G205" s="138"/>
      <c r="I205" s="457"/>
      <c r="L205" s="138"/>
      <c r="M205" s="138"/>
      <c r="N205" s="138"/>
      <c r="O205" s="138"/>
      <c r="P205" s="138"/>
      <c r="Q205" s="138"/>
    </row>
    <row r="206" spans="1:19" ht="30" x14ac:dyDescent="0.25">
      <c r="A206" s="482">
        <v>17</v>
      </c>
      <c r="B206" s="482" t="s">
        <v>8</v>
      </c>
      <c r="C206" s="482"/>
      <c r="D206" s="482"/>
      <c r="E206" s="482">
        <v>7</v>
      </c>
      <c r="F206" s="482"/>
      <c r="G206" s="482" t="s">
        <v>498</v>
      </c>
      <c r="H206" s="482" t="s">
        <v>502</v>
      </c>
      <c r="I206" s="457"/>
      <c r="L206" s="474"/>
      <c r="M206" s="469"/>
      <c r="N206" s="469"/>
      <c r="O206" s="469"/>
    </row>
    <row r="207" spans="1:19" s="385" customFormat="1" x14ac:dyDescent="0.25">
      <c r="B207" s="474" t="s">
        <v>26</v>
      </c>
      <c r="C207" s="469"/>
      <c r="D207" s="469"/>
      <c r="E207" s="469">
        <f>SUM(E199:E206)</f>
        <v>7</v>
      </c>
      <c r="I207" s="484"/>
      <c r="S207" s="140"/>
    </row>
    <row r="208" spans="1:19" s="385" customFormat="1" x14ac:dyDescent="0.25">
      <c r="I208" s="484"/>
      <c r="L208" s="474"/>
      <c r="M208" s="474"/>
      <c r="N208" s="474"/>
      <c r="O208" s="474"/>
      <c r="P208" s="474"/>
      <c r="Q208" s="474"/>
      <c r="S208" s="138"/>
    </row>
    <row r="209" spans="1:19" s="385" customFormat="1" x14ac:dyDescent="0.25">
      <c r="B209" s="474" t="s">
        <v>140</v>
      </c>
      <c r="C209" s="474" t="s">
        <v>11</v>
      </c>
      <c r="D209" s="474" t="s">
        <v>12</v>
      </c>
      <c r="E209" s="474" t="s">
        <v>13</v>
      </c>
      <c r="F209" s="474" t="s">
        <v>14</v>
      </c>
      <c r="G209" s="474" t="s">
        <v>0</v>
      </c>
      <c r="I209" s="484"/>
      <c r="L209" s="138"/>
      <c r="N209" s="138"/>
      <c r="O209" s="138"/>
      <c r="P209" s="138"/>
      <c r="Q209" s="138"/>
      <c r="S209" s="138"/>
    </row>
    <row r="210" spans="1:19" s="385" customFormat="1" x14ac:dyDescent="0.25">
      <c r="A210" s="443">
        <v>18</v>
      </c>
      <c r="B210" s="138" t="s">
        <v>2</v>
      </c>
      <c r="D210" s="138"/>
      <c r="E210" s="138"/>
      <c r="F210" s="138"/>
      <c r="G210" s="138"/>
      <c r="I210" s="484"/>
      <c r="L210" s="138"/>
      <c r="S210" s="138"/>
    </row>
    <row r="211" spans="1:19" s="385" customFormat="1" x14ac:dyDescent="0.25">
      <c r="A211" s="443">
        <v>19</v>
      </c>
      <c r="B211" s="138" t="s">
        <v>3</v>
      </c>
      <c r="I211" s="484"/>
      <c r="L211" s="138"/>
      <c r="Q211" s="138"/>
      <c r="S211" s="138"/>
    </row>
    <row r="212" spans="1:19" s="385" customFormat="1" ht="30" x14ac:dyDescent="0.25">
      <c r="A212" s="443">
        <v>20</v>
      </c>
      <c r="B212" s="138" t="s">
        <v>4</v>
      </c>
      <c r="C212" s="466">
        <v>0.75</v>
      </c>
      <c r="D212" s="462">
        <v>0.875</v>
      </c>
      <c r="E212" s="385">
        <v>3</v>
      </c>
      <c r="G212" s="138" t="s">
        <v>503</v>
      </c>
      <c r="I212" s="484"/>
      <c r="L212" s="138"/>
      <c r="M212" s="138"/>
      <c r="N212" s="138"/>
      <c r="O212" s="138"/>
      <c r="P212" s="138"/>
      <c r="Q212" s="138"/>
    </row>
    <row r="213" spans="1:19" s="385" customFormat="1" x14ac:dyDescent="0.25">
      <c r="A213" s="443">
        <v>21</v>
      </c>
      <c r="B213" s="138" t="s">
        <v>5</v>
      </c>
      <c r="C213" s="466"/>
      <c r="D213" s="462"/>
      <c r="E213" s="138"/>
      <c r="F213" s="138"/>
      <c r="G213" s="138"/>
      <c r="I213" s="484"/>
      <c r="L213" s="138"/>
      <c r="M213" s="138"/>
      <c r="N213" s="138"/>
      <c r="O213" s="138"/>
      <c r="Q213" s="138"/>
    </row>
    <row r="214" spans="1:19" s="385" customFormat="1" x14ac:dyDescent="0.25">
      <c r="A214" s="443">
        <v>22</v>
      </c>
      <c r="B214" s="138" t="s">
        <v>6</v>
      </c>
      <c r="C214" s="466">
        <v>0.58333333333333337</v>
      </c>
      <c r="D214" s="462">
        <v>0.625</v>
      </c>
      <c r="E214" s="138">
        <v>1</v>
      </c>
      <c r="G214" s="138" t="s">
        <v>504</v>
      </c>
      <c r="I214" s="484"/>
      <c r="L214" s="138"/>
      <c r="M214" s="138"/>
      <c r="N214" s="138"/>
      <c r="O214" s="138"/>
      <c r="P214" s="138"/>
      <c r="Q214" s="138"/>
      <c r="S214" s="138"/>
    </row>
    <row r="215" spans="1:19" s="385" customFormat="1" ht="30" x14ac:dyDescent="0.25">
      <c r="A215" s="443">
        <v>23</v>
      </c>
      <c r="B215" s="138" t="s">
        <v>7</v>
      </c>
      <c r="C215" s="466">
        <v>0.54166666666666663</v>
      </c>
      <c r="D215" s="462">
        <v>0.625</v>
      </c>
      <c r="E215" s="138">
        <v>2</v>
      </c>
      <c r="F215" s="138"/>
      <c r="G215" s="138" t="s">
        <v>505</v>
      </c>
      <c r="I215" s="484"/>
      <c r="L215" s="138"/>
      <c r="M215" s="138"/>
      <c r="N215" s="138"/>
      <c r="O215" s="138"/>
      <c r="P215" s="138"/>
      <c r="Q215" s="138"/>
      <c r="S215" s="138"/>
    </row>
    <row r="216" spans="1:19" s="385" customFormat="1" ht="30" x14ac:dyDescent="0.25">
      <c r="A216" s="443">
        <v>24</v>
      </c>
      <c r="B216" s="138" t="s">
        <v>8</v>
      </c>
      <c r="C216" s="466">
        <v>0.41666666666666669</v>
      </c>
      <c r="D216" s="462">
        <v>0.58333333333333337</v>
      </c>
      <c r="E216" s="138">
        <v>4</v>
      </c>
      <c r="F216" s="138"/>
      <c r="G216" s="138" t="s">
        <v>506</v>
      </c>
      <c r="I216" s="484"/>
      <c r="L216" s="474"/>
      <c r="M216" s="469"/>
      <c r="N216" s="469"/>
      <c r="O216" s="469"/>
    </row>
    <row r="217" spans="1:19" x14ac:dyDescent="0.25">
      <c r="A217" s="138"/>
      <c r="B217" s="474" t="s">
        <v>26</v>
      </c>
      <c r="C217" s="469"/>
      <c r="D217" s="469"/>
      <c r="E217" s="469">
        <f>SUM(E210:E216)</f>
        <v>10</v>
      </c>
      <c r="F217" s="448" t="s">
        <v>393</v>
      </c>
      <c r="G217" s="449" t="s">
        <v>397</v>
      </c>
      <c r="I217" s="484"/>
    </row>
    <row r="218" spans="1:19" x14ac:dyDescent="0.25">
      <c r="A218" s="442" t="s">
        <v>406</v>
      </c>
      <c r="B218" s="450" t="s">
        <v>227</v>
      </c>
      <c r="C218" s="451"/>
      <c r="D218" s="450"/>
      <c r="E218" s="450">
        <f>SUM(E210:E216, E199:E206)</f>
        <v>17</v>
      </c>
      <c r="F218" s="448">
        <f>SUM(1*[1]Anthony_hist!G45)</f>
        <v>4</v>
      </c>
      <c r="G218" s="527">
        <f>SUM(E218+G194)-F218</f>
        <v>19</v>
      </c>
      <c r="I218" s="457"/>
      <c r="M218" s="138"/>
      <c r="N218" s="140"/>
      <c r="O218" s="140"/>
      <c r="P218" s="140"/>
      <c r="Q218" s="140"/>
      <c r="S218" s="140"/>
    </row>
    <row r="219" spans="1:19" x14ac:dyDescent="0.25">
      <c r="I219" s="457"/>
      <c r="M219" s="138"/>
      <c r="P219" s="138"/>
      <c r="Q219" s="138"/>
      <c r="S219" s="138"/>
    </row>
    <row r="220" spans="1:19" x14ac:dyDescent="0.25">
      <c r="B220" s="444" t="s">
        <v>143</v>
      </c>
      <c r="C220" s="444" t="s">
        <v>11</v>
      </c>
      <c r="D220" s="444" t="s">
        <v>12</v>
      </c>
      <c r="E220" s="444" t="s">
        <v>13</v>
      </c>
      <c r="F220" s="444" t="s">
        <v>14</v>
      </c>
      <c r="G220" s="474" t="s">
        <v>0</v>
      </c>
      <c r="I220" s="457"/>
      <c r="M220" s="138"/>
      <c r="P220" s="138"/>
      <c r="Q220" s="138"/>
      <c r="S220" s="138"/>
    </row>
    <row r="221" spans="1:19" x14ac:dyDescent="0.25">
      <c r="A221" s="443">
        <v>25</v>
      </c>
      <c r="B221" s="138" t="s">
        <v>2</v>
      </c>
      <c r="C221" s="138"/>
      <c r="D221" s="138"/>
      <c r="E221" s="138" t="s">
        <v>408</v>
      </c>
      <c r="F221" s="138"/>
      <c r="G221" s="138"/>
      <c r="I221" s="457"/>
      <c r="M221" s="138"/>
      <c r="N221" s="138"/>
      <c r="O221" s="138"/>
      <c r="P221" s="138"/>
      <c r="Q221" s="138"/>
      <c r="S221" s="138"/>
    </row>
    <row r="222" spans="1:19" x14ac:dyDescent="0.25">
      <c r="A222" s="443">
        <v>26</v>
      </c>
      <c r="B222" s="138" t="s">
        <v>3</v>
      </c>
      <c r="C222" s="385"/>
      <c r="D222" s="138"/>
      <c r="E222" s="138"/>
      <c r="F222" s="138"/>
      <c r="G222" s="138"/>
      <c r="I222" s="457"/>
      <c r="M222" s="138"/>
      <c r="N222" s="138"/>
      <c r="O222" s="138"/>
      <c r="Q222" s="138"/>
      <c r="S222" s="138"/>
    </row>
    <row r="223" spans="1:19" x14ac:dyDescent="0.25">
      <c r="A223" s="443">
        <v>27</v>
      </c>
      <c r="B223" s="138" t="s">
        <v>4</v>
      </c>
      <c r="C223" s="466">
        <v>0.375</v>
      </c>
      <c r="D223" s="462">
        <v>0.5</v>
      </c>
      <c r="E223" s="138">
        <v>3</v>
      </c>
      <c r="F223" s="138"/>
      <c r="G223" s="385" t="s">
        <v>507</v>
      </c>
      <c r="I223" s="457"/>
    </row>
    <row r="224" spans="1:19" ht="30" x14ac:dyDescent="0.25">
      <c r="A224" s="443">
        <v>28</v>
      </c>
      <c r="B224" s="138" t="s">
        <v>5</v>
      </c>
      <c r="C224" s="466">
        <v>0.75</v>
      </c>
      <c r="D224" s="462">
        <v>0.91666666666666663</v>
      </c>
      <c r="E224" s="481">
        <v>4</v>
      </c>
      <c r="F224" s="481"/>
      <c r="G224" s="481" t="s">
        <v>508</v>
      </c>
      <c r="H224" s="385" t="s">
        <v>509</v>
      </c>
      <c r="I224" s="457"/>
    </row>
    <row r="225" spans="1:9" ht="30" x14ac:dyDescent="0.25">
      <c r="A225" s="443">
        <v>29</v>
      </c>
      <c r="B225" s="138" t="s">
        <v>6</v>
      </c>
      <c r="C225" s="466">
        <v>0.375</v>
      </c>
      <c r="D225" s="462">
        <v>0.5</v>
      </c>
      <c r="E225" s="138">
        <v>3</v>
      </c>
      <c r="F225" s="138"/>
      <c r="G225" s="138" t="s">
        <v>510</v>
      </c>
      <c r="I225" s="457"/>
    </row>
    <row r="226" spans="1:9" x14ac:dyDescent="0.25">
      <c r="A226" s="443">
        <v>30</v>
      </c>
      <c r="B226" s="138" t="s">
        <v>7</v>
      </c>
      <c r="C226" s="466"/>
      <c r="D226" s="462"/>
      <c r="E226" s="138"/>
      <c r="F226" s="138"/>
      <c r="G226" s="138"/>
      <c r="I226" s="457"/>
    </row>
    <row r="227" spans="1:9" ht="30" x14ac:dyDescent="0.25">
      <c r="A227" s="443">
        <v>1</v>
      </c>
      <c r="B227" s="138" t="s">
        <v>8</v>
      </c>
      <c r="C227" s="466">
        <v>0.375</v>
      </c>
      <c r="D227" s="462">
        <v>0.45833333333333331</v>
      </c>
      <c r="E227" s="138">
        <v>1</v>
      </c>
      <c r="F227" s="138"/>
      <c r="G227" s="138" t="s">
        <v>511</v>
      </c>
      <c r="I227" s="457"/>
    </row>
    <row r="228" spans="1:9" x14ac:dyDescent="0.25">
      <c r="B228" s="444" t="s">
        <v>26</v>
      </c>
      <c r="C228" s="445"/>
      <c r="D228" s="445"/>
      <c r="E228" s="445">
        <f>SUM(E221:E227)</f>
        <v>11</v>
      </c>
      <c r="G228" s="385"/>
      <c r="I228" s="457"/>
    </row>
    <row r="229" spans="1:9" x14ac:dyDescent="0.25">
      <c r="B229" s="444"/>
      <c r="C229" s="445"/>
      <c r="D229" s="445"/>
      <c r="E229" s="445"/>
      <c r="G229" s="385"/>
      <c r="I229" s="457"/>
    </row>
    <row r="230" spans="1:9" x14ac:dyDescent="0.25">
      <c r="B230" s="444"/>
      <c r="C230" s="445"/>
      <c r="D230" s="445"/>
      <c r="E230" s="445"/>
      <c r="G230" s="385"/>
      <c r="I230" s="457"/>
    </row>
    <row r="231" spans="1:9" x14ac:dyDescent="0.25">
      <c r="B231" s="444"/>
      <c r="C231" s="445"/>
      <c r="D231" s="445"/>
      <c r="E231" s="445"/>
      <c r="G231" s="385"/>
      <c r="I231" s="457"/>
    </row>
    <row r="232" spans="1:9" ht="28.5" x14ac:dyDescent="0.45">
      <c r="A232" s="570" t="s">
        <v>252</v>
      </c>
      <c r="B232" s="570"/>
      <c r="C232" s="570"/>
      <c r="D232" s="570"/>
      <c r="E232" s="570"/>
      <c r="F232" s="570"/>
      <c r="G232" s="570"/>
      <c r="H232" s="570"/>
      <c r="I232" s="570"/>
    </row>
    <row r="233" spans="1:9" x14ac:dyDescent="0.25">
      <c r="B233" s="444"/>
      <c r="C233" s="445"/>
      <c r="D233" s="445"/>
      <c r="E233" s="445"/>
      <c r="G233" s="385"/>
      <c r="I233" s="457"/>
    </row>
    <row r="234" spans="1:9" x14ac:dyDescent="0.25">
      <c r="B234" s="444"/>
      <c r="C234" s="445"/>
      <c r="D234" s="445"/>
      <c r="E234" s="445"/>
      <c r="G234" s="385"/>
      <c r="I234" s="457"/>
    </row>
    <row r="235" spans="1:9" x14ac:dyDescent="0.25">
      <c r="H235" s="443"/>
      <c r="I235" s="457"/>
    </row>
    <row r="236" spans="1:9" x14ac:dyDescent="0.25">
      <c r="A236" s="445"/>
      <c r="B236" s="444" t="s">
        <v>157</v>
      </c>
      <c r="C236" s="444" t="s">
        <v>11</v>
      </c>
      <c r="D236" s="444" t="s">
        <v>12</v>
      </c>
      <c r="E236" s="444" t="s">
        <v>13</v>
      </c>
      <c r="F236" s="444" t="s">
        <v>14</v>
      </c>
      <c r="G236" s="474" t="s">
        <v>0</v>
      </c>
      <c r="I236" s="457"/>
    </row>
    <row r="237" spans="1:9" x14ac:dyDescent="0.25">
      <c r="A237" s="445">
        <v>2</v>
      </c>
      <c r="B237" s="138" t="s">
        <v>2</v>
      </c>
      <c r="C237" s="466">
        <v>0.75</v>
      </c>
      <c r="D237" s="462">
        <v>0.83333333333333337</v>
      </c>
      <c r="E237" s="138">
        <v>2</v>
      </c>
      <c r="F237" s="138"/>
      <c r="G237" s="138" t="s">
        <v>512</v>
      </c>
      <c r="I237" s="457"/>
    </row>
    <row r="238" spans="1:9" x14ac:dyDescent="0.25">
      <c r="A238" s="445">
        <v>3</v>
      </c>
      <c r="B238" s="138" t="s">
        <v>3</v>
      </c>
      <c r="C238" s="466"/>
      <c r="D238" s="462"/>
      <c r="E238" s="138"/>
      <c r="F238" s="138"/>
      <c r="G238" s="138"/>
      <c r="I238" s="457"/>
    </row>
    <row r="239" spans="1:9" x14ac:dyDescent="0.25">
      <c r="A239" s="445">
        <v>4</v>
      </c>
      <c r="B239" s="138" t="s">
        <v>4</v>
      </c>
      <c r="C239" s="466">
        <v>0.41666666666666669</v>
      </c>
      <c r="D239" s="462">
        <v>0.5</v>
      </c>
      <c r="E239" s="138">
        <v>2</v>
      </c>
      <c r="F239" s="138"/>
      <c r="G239" s="385" t="s">
        <v>513</v>
      </c>
      <c r="I239" s="457"/>
    </row>
    <row r="240" spans="1:9" x14ac:dyDescent="0.25">
      <c r="A240" s="445">
        <v>5</v>
      </c>
      <c r="B240" s="138" t="s">
        <v>5</v>
      </c>
      <c r="C240" s="466"/>
      <c r="D240" s="462"/>
      <c r="E240" s="481"/>
      <c r="F240" s="481"/>
      <c r="G240" s="481"/>
      <c r="I240" s="457"/>
    </row>
    <row r="241" spans="1:9" x14ac:dyDescent="0.25">
      <c r="A241" s="445">
        <v>6</v>
      </c>
      <c r="B241" s="138" t="s">
        <v>6</v>
      </c>
      <c r="C241" s="466">
        <v>0.375</v>
      </c>
      <c r="D241" s="462">
        <v>0.5</v>
      </c>
      <c r="E241" s="138">
        <v>3</v>
      </c>
      <c r="F241" s="138"/>
      <c r="G241" s="138" t="s">
        <v>514</v>
      </c>
      <c r="I241" s="457"/>
    </row>
    <row r="242" spans="1:9" x14ac:dyDescent="0.25">
      <c r="A242" s="445">
        <v>7</v>
      </c>
      <c r="B242" s="138" t="s">
        <v>7</v>
      </c>
      <c r="C242" s="466"/>
      <c r="D242" s="462"/>
      <c r="E242" s="138"/>
      <c r="F242" s="138"/>
      <c r="G242" s="138"/>
      <c r="I242" s="457"/>
    </row>
    <row r="243" spans="1:9" x14ac:dyDescent="0.25">
      <c r="A243" s="445">
        <v>8</v>
      </c>
      <c r="B243" s="138" t="s">
        <v>8</v>
      </c>
      <c r="C243" s="138"/>
      <c r="D243" s="138"/>
      <c r="E243" s="138"/>
      <c r="F243" s="138"/>
      <c r="G243" s="138"/>
      <c r="I243" s="457"/>
    </row>
    <row r="244" spans="1:9" x14ac:dyDescent="0.25">
      <c r="A244" s="445"/>
      <c r="B244" s="444" t="s">
        <v>26</v>
      </c>
      <c r="C244" s="445"/>
      <c r="D244" s="445"/>
      <c r="E244" s="445">
        <f>SUM(E237:E243)</f>
        <v>7</v>
      </c>
      <c r="F244" s="448" t="s">
        <v>393</v>
      </c>
      <c r="G244" s="449" t="s">
        <v>397</v>
      </c>
      <c r="I244" s="457"/>
    </row>
    <row r="245" spans="1:9" x14ac:dyDescent="0.25">
      <c r="A245" s="442" t="s">
        <v>407</v>
      </c>
      <c r="B245" s="450" t="s">
        <v>227</v>
      </c>
      <c r="C245" s="451"/>
      <c r="D245" s="450"/>
      <c r="E245" s="450">
        <f>SUM(E228,E244)</f>
        <v>18</v>
      </c>
      <c r="F245" s="448">
        <f>SUM([1]Anthony_hist!G49)</f>
        <v>2</v>
      </c>
      <c r="G245" s="527">
        <f>SUM(E245+G218)-F245</f>
        <v>35</v>
      </c>
      <c r="H245" s="452"/>
      <c r="I245" s="457"/>
    </row>
    <row r="246" spans="1:9" x14ac:dyDescent="0.25">
      <c r="A246" s="445"/>
      <c r="I246" s="457"/>
    </row>
    <row r="247" spans="1:9" x14ac:dyDescent="0.25">
      <c r="A247" s="445"/>
      <c r="B247" s="444" t="s">
        <v>158</v>
      </c>
      <c r="C247" s="444" t="s">
        <v>11</v>
      </c>
      <c r="D247" s="444" t="s">
        <v>12</v>
      </c>
      <c r="E247" s="444" t="s">
        <v>13</v>
      </c>
      <c r="F247" s="444" t="s">
        <v>14</v>
      </c>
      <c r="G247" s="474" t="s">
        <v>0</v>
      </c>
      <c r="I247" s="457"/>
    </row>
    <row r="248" spans="1:9" x14ac:dyDescent="0.25">
      <c r="A248" s="445">
        <v>9</v>
      </c>
      <c r="B248" s="485" t="s">
        <v>2</v>
      </c>
      <c r="C248" s="486"/>
      <c r="D248" s="486"/>
      <c r="E248" s="486"/>
      <c r="F248" s="486"/>
      <c r="G248" s="486"/>
      <c r="I248" s="457"/>
    </row>
    <row r="249" spans="1:9" ht="30" x14ac:dyDescent="0.25">
      <c r="A249" s="445">
        <v>10</v>
      </c>
      <c r="B249" s="485" t="s">
        <v>3</v>
      </c>
      <c r="C249" s="466">
        <v>0.52083333333333337</v>
      </c>
      <c r="D249" s="462">
        <v>0.5625</v>
      </c>
      <c r="E249" s="485">
        <v>2</v>
      </c>
      <c r="F249" s="485"/>
      <c r="G249" s="485" t="s">
        <v>515</v>
      </c>
      <c r="I249" s="457"/>
    </row>
    <row r="250" spans="1:9" ht="61.5" x14ac:dyDescent="0.9">
      <c r="A250" s="445">
        <v>11</v>
      </c>
      <c r="B250" s="485" t="s">
        <v>4</v>
      </c>
      <c r="C250" s="466">
        <v>0.5625</v>
      </c>
      <c r="D250" s="462">
        <v>0.64583333333333337</v>
      </c>
      <c r="E250" s="485">
        <v>2</v>
      </c>
      <c r="F250" s="485"/>
      <c r="G250" s="487" t="s">
        <v>80</v>
      </c>
      <c r="I250" s="479"/>
    </row>
    <row r="251" spans="1:9" x14ac:dyDescent="0.25">
      <c r="A251" s="445">
        <v>12</v>
      </c>
      <c r="B251" s="485" t="s">
        <v>5</v>
      </c>
      <c r="C251" s="466">
        <v>0.47916666666666669</v>
      </c>
      <c r="D251" s="462">
        <v>0.52083333333333337</v>
      </c>
      <c r="E251" s="487">
        <v>1</v>
      </c>
      <c r="F251" s="487"/>
      <c r="G251" s="487" t="s">
        <v>516</v>
      </c>
      <c r="I251" s="457"/>
    </row>
    <row r="252" spans="1:9" x14ac:dyDescent="0.25">
      <c r="A252" s="445">
        <v>13</v>
      </c>
      <c r="B252" s="485" t="s">
        <v>6</v>
      </c>
      <c r="C252" s="466"/>
      <c r="D252" s="462"/>
      <c r="E252" s="485"/>
      <c r="F252" s="485"/>
      <c r="G252" s="485"/>
      <c r="I252" s="457"/>
    </row>
    <row r="253" spans="1:9" x14ac:dyDescent="0.25">
      <c r="A253" s="445">
        <v>14</v>
      </c>
      <c r="B253" s="485" t="s">
        <v>7</v>
      </c>
      <c r="C253" s="466">
        <v>0.375</v>
      </c>
      <c r="D253" s="462">
        <v>0.625</v>
      </c>
      <c r="E253" s="485">
        <v>6</v>
      </c>
      <c r="F253" s="485"/>
      <c r="G253" s="485" t="s">
        <v>517</v>
      </c>
      <c r="I253" s="457"/>
    </row>
    <row r="254" spans="1:9" x14ac:dyDescent="0.25">
      <c r="A254" s="445">
        <v>15</v>
      </c>
      <c r="B254" s="138" t="s">
        <v>8</v>
      </c>
      <c r="C254" s="466">
        <v>0.54166666666666663</v>
      </c>
      <c r="D254" s="462">
        <v>0.75</v>
      </c>
      <c r="E254" s="138">
        <v>5</v>
      </c>
      <c r="F254" s="138"/>
      <c r="G254" s="138" t="s">
        <v>518</v>
      </c>
      <c r="I254" s="457"/>
    </row>
    <row r="255" spans="1:9" x14ac:dyDescent="0.25">
      <c r="A255" s="445"/>
      <c r="B255" s="444" t="s">
        <v>26</v>
      </c>
      <c r="C255" s="466"/>
      <c r="D255" s="462"/>
      <c r="E255" s="445">
        <f>SUM(E247:E254)</f>
        <v>16</v>
      </c>
      <c r="G255" s="385"/>
      <c r="I255" s="457"/>
    </row>
    <row r="256" spans="1:9" x14ac:dyDescent="0.25">
      <c r="A256" s="445"/>
      <c r="G256" s="385"/>
      <c r="I256" s="457"/>
    </row>
    <row r="257" spans="1:9" x14ac:dyDescent="0.25">
      <c r="A257" s="445"/>
      <c r="B257" s="444" t="s">
        <v>159</v>
      </c>
      <c r="C257" s="444" t="s">
        <v>11</v>
      </c>
      <c r="D257" s="444" t="s">
        <v>12</v>
      </c>
      <c r="E257" s="444" t="s">
        <v>13</v>
      </c>
      <c r="F257" s="444" t="s">
        <v>14</v>
      </c>
      <c r="G257" s="474" t="s">
        <v>0</v>
      </c>
      <c r="I257" s="457"/>
    </row>
    <row r="258" spans="1:9" ht="30" x14ac:dyDescent="0.25">
      <c r="A258" s="445">
        <v>16</v>
      </c>
      <c r="B258" s="446" t="s">
        <v>2</v>
      </c>
      <c r="C258" s="466">
        <v>0.41666666666666669</v>
      </c>
      <c r="D258" s="462">
        <v>0.5</v>
      </c>
      <c r="E258" s="446">
        <v>2</v>
      </c>
      <c r="F258" s="446"/>
      <c r="G258" s="138" t="s">
        <v>519</v>
      </c>
      <c r="I258" s="457"/>
    </row>
    <row r="259" spans="1:9" x14ac:dyDescent="0.25">
      <c r="A259" s="445">
        <v>17</v>
      </c>
      <c r="B259" s="446" t="s">
        <v>3</v>
      </c>
      <c r="C259" s="466">
        <v>0.47916666666666669</v>
      </c>
      <c r="D259" s="462">
        <v>0.5625</v>
      </c>
      <c r="E259" s="443">
        <v>2</v>
      </c>
      <c r="G259" s="385" t="s">
        <v>520</v>
      </c>
      <c r="I259" s="457"/>
    </row>
    <row r="260" spans="1:9" x14ac:dyDescent="0.25">
      <c r="A260" s="445">
        <v>18</v>
      </c>
      <c r="B260" s="446" t="s">
        <v>4</v>
      </c>
      <c r="C260" s="466">
        <v>0.60416666666666663</v>
      </c>
      <c r="D260" s="462">
        <v>0.70833333333333337</v>
      </c>
      <c r="E260" s="443">
        <v>2.5</v>
      </c>
      <c r="G260" s="138" t="s">
        <v>521</v>
      </c>
      <c r="I260" s="457"/>
    </row>
    <row r="261" spans="1:9" x14ac:dyDescent="0.25">
      <c r="A261" s="445">
        <v>19</v>
      </c>
      <c r="B261" s="446" t="s">
        <v>5</v>
      </c>
      <c r="C261" s="466">
        <v>0.47916666666666669</v>
      </c>
      <c r="D261" s="462">
        <v>0.54166666666666663</v>
      </c>
      <c r="E261" s="446">
        <v>2.5</v>
      </c>
      <c r="F261" s="446"/>
      <c r="G261" s="138"/>
      <c r="I261" s="457"/>
    </row>
    <row r="262" spans="1:9" x14ac:dyDescent="0.25">
      <c r="A262" s="445"/>
      <c r="B262" s="446"/>
      <c r="C262" s="466">
        <v>0.54166666666666663</v>
      </c>
      <c r="D262" s="462" t="s">
        <v>522</v>
      </c>
      <c r="E262" s="446">
        <v>4</v>
      </c>
      <c r="F262" s="446" t="s">
        <v>523</v>
      </c>
      <c r="G262" s="138"/>
      <c r="I262" s="457"/>
    </row>
    <row r="263" spans="1:9" x14ac:dyDescent="0.25">
      <c r="A263" s="445">
        <v>20</v>
      </c>
      <c r="B263" s="446" t="s">
        <v>6</v>
      </c>
      <c r="C263" s="466"/>
      <c r="D263" s="462"/>
      <c r="E263" s="446"/>
      <c r="G263" s="138"/>
      <c r="I263" s="457"/>
    </row>
    <row r="264" spans="1:9" x14ac:dyDescent="0.25">
      <c r="A264" s="445">
        <v>21</v>
      </c>
      <c r="B264" s="446" t="s">
        <v>7</v>
      </c>
      <c r="C264" s="446"/>
      <c r="D264" s="446"/>
      <c r="E264" s="446"/>
      <c r="F264" s="446"/>
      <c r="G264" s="138"/>
      <c r="I264" s="457"/>
    </row>
    <row r="265" spans="1:9" x14ac:dyDescent="0.25">
      <c r="A265" s="445">
        <v>22</v>
      </c>
      <c r="B265" s="446" t="s">
        <v>8</v>
      </c>
      <c r="C265" s="446"/>
      <c r="D265" s="446"/>
      <c r="E265" s="446"/>
      <c r="F265" s="446"/>
      <c r="G265" s="138"/>
      <c r="I265" s="457"/>
    </row>
    <row r="266" spans="1:9" x14ac:dyDescent="0.25">
      <c r="A266" s="450" t="s">
        <v>396</v>
      </c>
      <c r="B266" s="444" t="s">
        <v>26</v>
      </c>
      <c r="C266" s="445"/>
      <c r="D266" s="445"/>
      <c r="E266" s="445">
        <f>SUM(E257:E265)</f>
        <v>13</v>
      </c>
      <c r="F266" s="448" t="s">
        <v>393</v>
      </c>
      <c r="G266" s="449" t="s">
        <v>397</v>
      </c>
      <c r="I266" s="457"/>
    </row>
    <row r="267" spans="1:9" x14ac:dyDescent="0.25">
      <c r="A267" s="442"/>
      <c r="B267" s="450" t="s">
        <v>227</v>
      </c>
      <c r="C267" s="451"/>
      <c r="D267" s="450" t="s">
        <v>396</v>
      </c>
      <c r="E267" s="450">
        <f>SUM(E255+E266)</f>
        <v>29</v>
      </c>
      <c r="F267" s="416">
        <v>0</v>
      </c>
      <c r="G267" s="527">
        <f>SUM(E267+G245)-F267</f>
        <v>64</v>
      </c>
      <c r="H267" s="452"/>
      <c r="I267" s="457"/>
    </row>
    <row r="268" spans="1:9" x14ac:dyDescent="0.25">
      <c r="A268" s="445"/>
      <c r="I268" s="457"/>
    </row>
    <row r="269" spans="1:9" x14ac:dyDescent="0.25">
      <c r="A269" s="445"/>
      <c r="B269" s="444" t="s">
        <v>160</v>
      </c>
      <c r="C269" s="444" t="s">
        <v>11</v>
      </c>
      <c r="D269" s="444" t="s">
        <v>12</v>
      </c>
      <c r="E269" s="444" t="s">
        <v>13</v>
      </c>
      <c r="F269" s="444" t="s">
        <v>14</v>
      </c>
      <c r="G269" s="444" t="s">
        <v>0</v>
      </c>
      <c r="I269" s="457"/>
    </row>
    <row r="270" spans="1:9" x14ac:dyDescent="0.25">
      <c r="A270" s="445">
        <v>23</v>
      </c>
      <c r="B270" s="446" t="s">
        <v>2</v>
      </c>
      <c r="D270" s="446"/>
      <c r="E270" s="446"/>
      <c r="F270" s="446"/>
      <c r="G270" s="446"/>
      <c r="I270" s="457"/>
    </row>
    <row r="271" spans="1:9" x14ac:dyDescent="0.25">
      <c r="A271" s="445">
        <v>24</v>
      </c>
      <c r="B271" s="446" t="s">
        <v>3</v>
      </c>
      <c r="C271" s="466"/>
      <c r="D271" s="462"/>
      <c r="I271" s="457"/>
    </row>
    <row r="272" spans="1:9" x14ac:dyDescent="0.25">
      <c r="A272" s="445">
        <v>25</v>
      </c>
      <c r="B272" s="446" t="s">
        <v>4</v>
      </c>
      <c r="C272" s="466">
        <v>0.52083333333333337</v>
      </c>
      <c r="D272" s="462">
        <v>0.70833333333333337</v>
      </c>
      <c r="E272" s="443">
        <v>4.5</v>
      </c>
      <c r="G272" s="446" t="s">
        <v>517</v>
      </c>
      <c r="I272" s="457"/>
    </row>
    <row r="273" spans="1:9" x14ac:dyDescent="0.25">
      <c r="A273" s="445">
        <v>26</v>
      </c>
      <c r="B273" s="446" t="s">
        <v>5</v>
      </c>
      <c r="C273" s="466">
        <v>0.625</v>
      </c>
      <c r="D273" s="462">
        <v>0.79166666666666663</v>
      </c>
      <c r="E273" s="446">
        <v>5</v>
      </c>
      <c r="F273" s="446"/>
      <c r="G273" s="443" t="s">
        <v>517</v>
      </c>
      <c r="I273" s="457"/>
    </row>
    <row r="274" spans="1:9" ht="30" x14ac:dyDescent="0.25">
      <c r="A274" s="445">
        <v>27</v>
      </c>
      <c r="B274" s="446" t="s">
        <v>6</v>
      </c>
      <c r="C274" s="466">
        <v>0.45833333333333331</v>
      </c>
      <c r="D274" s="462">
        <v>0.70833333333333337</v>
      </c>
      <c r="E274" s="446">
        <v>3</v>
      </c>
      <c r="G274" s="446" t="s">
        <v>517</v>
      </c>
      <c r="H274" s="385" t="s">
        <v>524</v>
      </c>
      <c r="I274" s="457"/>
    </row>
    <row r="275" spans="1:9" x14ac:dyDescent="0.25">
      <c r="A275" s="445"/>
      <c r="B275" s="446"/>
      <c r="C275" s="466">
        <v>0.70833333333333337</v>
      </c>
      <c r="D275" s="462">
        <v>0.79166666666666663</v>
      </c>
      <c r="E275" s="446">
        <v>2</v>
      </c>
      <c r="G275" s="446" t="s">
        <v>90</v>
      </c>
      <c r="I275" s="457"/>
    </row>
    <row r="276" spans="1:9" ht="30" x14ac:dyDescent="0.25">
      <c r="A276" s="445">
        <v>28</v>
      </c>
      <c r="B276" s="446" t="s">
        <v>7</v>
      </c>
      <c r="C276" s="466" t="s">
        <v>525</v>
      </c>
      <c r="D276" s="462" t="s">
        <v>526</v>
      </c>
      <c r="E276" s="446">
        <v>4</v>
      </c>
      <c r="F276" s="446"/>
      <c r="G276" s="446" t="s">
        <v>527</v>
      </c>
      <c r="I276" s="457"/>
    </row>
    <row r="277" spans="1:9" x14ac:dyDescent="0.25">
      <c r="A277" s="445">
        <v>29</v>
      </c>
      <c r="B277" s="446" t="s">
        <v>8</v>
      </c>
      <c r="C277" s="466">
        <v>0.54166666666666663</v>
      </c>
      <c r="D277" s="462">
        <v>0.70833333333333337</v>
      </c>
      <c r="E277" s="446">
        <v>4</v>
      </c>
      <c r="F277" s="446"/>
      <c r="G277" s="443" t="s">
        <v>518</v>
      </c>
      <c r="I277" s="457"/>
    </row>
    <row r="278" spans="1:9" ht="30" x14ac:dyDescent="0.25">
      <c r="A278" s="445"/>
      <c r="B278" s="446"/>
      <c r="C278" s="466">
        <v>0.70833333333333337</v>
      </c>
      <c r="D278" s="462">
        <v>0.75</v>
      </c>
      <c r="E278" s="446">
        <v>1</v>
      </c>
      <c r="F278" s="446"/>
      <c r="G278" s="443" t="s">
        <v>528</v>
      </c>
      <c r="I278" s="457"/>
    </row>
    <row r="279" spans="1:9" x14ac:dyDescent="0.25">
      <c r="A279" s="445"/>
      <c r="B279" s="444" t="s">
        <v>26</v>
      </c>
      <c r="C279" s="466"/>
      <c r="D279" s="462"/>
      <c r="E279" s="445">
        <f>SUM(E269:E278)</f>
        <v>23.5</v>
      </c>
      <c r="I279" s="457"/>
    </row>
    <row r="280" spans="1:9" x14ac:dyDescent="0.25">
      <c r="A280" s="445"/>
      <c r="C280" s="466"/>
      <c r="D280" s="462"/>
      <c r="I280" s="457"/>
    </row>
    <row r="281" spans="1:9" ht="36.75" customHeight="1" x14ac:dyDescent="0.25">
      <c r="A281" s="445"/>
      <c r="B281" s="444" t="s">
        <v>162</v>
      </c>
      <c r="C281" s="444" t="s">
        <v>11</v>
      </c>
      <c r="D281" s="444" t="s">
        <v>12</v>
      </c>
      <c r="E281" s="444" t="s">
        <v>13</v>
      </c>
      <c r="F281" s="444" t="s">
        <v>14</v>
      </c>
      <c r="G281" s="444" t="s">
        <v>0</v>
      </c>
      <c r="I281" s="457"/>
    </row>
    <row r="282" spans="1:9" x14ac:dyDescent="0.25">
      <c r="A282" s="445">
        <v>30</v>
      </c>
      <c r="B282" s="446" t="s">
        <v>2</v>
      </c>
      <c r="C282" s="455">
        <v>0.375</v>
      </c>
      <c r="D282" s="447">
        <v>0.45833333333333331</v>
      </c>
      <c r="E282" s="446">
        <v>2</v>
      </c>
      <c r="F282" s="446"/>
      <c r="G282" s="446" t="s">
        <v>529</v>
      </c>
      <c r="I282" s="457"/>
    </row>
    <row r="283" spans="1:9" x14ac:dyDescent="0.25">
      <c r="A283" s="488" t="s">
        <v>422</v>
      </c>
      <c r="B283" s="446" t="s">
        <v>3</v>
      </c>
      <c r="C283" s="455">
        <v>0.375</v>
      </c>
      <c r="D283" s="447">
        <v>0</v>
      </c>
      <c r="E283" s="446">
        <v>3</v>
      </c>
      <c r="I283" s="457"/>
    </row>
    <row r="284" spans="1:9" x14ac:dyDescent="0.25">
      <c r="A284" s="445">
        <v>1</v>
      </c>
      <c r="B284" s="446" t="s">
        <v>4</v>
      </c>
      <c r="G284" s="446"/>
      <c r="I284" s="457"/>
    </row>
    <row r="285" spans="1:9" x14ac:dyDescent="0.25">
      <c r="A285" s="445">
        <v>2</v>
      </c>
      <c r="B285" s="446" t="s">
        <v>5</v>
      </c>
      <c r="C285" s="446"/>
      <c r="D285" s="446"/>
      <c r="E285" s="446"/>
      <c r="F285" s="446"/>
      <c r="G285" s="446"/>
      <c r="I285" s="457"/>
    </row>
    <row r="286" spans="1:9" x14ac:dyDescent="0.25">
      <c r="A286" s="445">
        <v>3</v>
      </c>
      <c r="B286" s="446" t="s">
        <v>6</v>
      </c>
      <c r="C286" s="446"/>
      <c r="D286" s="446"/>
      <c r="E286" s="446"/>
      <c r="G286" s="446"/>
      <c r="I286" s="457"/>
    </row>
    <row r="287" spans="1:9" x14ac:dyDescent="0.25">
      <c r="A287" s="445">
        <v>4</v>
      </c>
      <c r="B287" s="446" t="s">
        <v>7</v>
      </c>
      <c r="C287" s="446"/>
      <c r="D287" s="446"/>
      <c r="E287" s="446"/>
      <c r="F287" s="446"/>
      <c r="G287" s="446"/>
      <c r="I287" s="457"/>
    </row>
    <row r="288" spans="1:9" x14ac:dyDescent="0.25">
      <c r="A288" s="474">
        <v>5</v>
      </c>
      <c r="B288" s="446" t="s">
        <v>8</v>
      </c>
      <c r="C288" s="446"/>
      <c r="D288" s="446"/>
      <c r="E288" s="446"/>
      <c r="F288" s="446"/>
      <c r="G288" s="446"/>
      <c r="I288" s="457"/>
    </row>
    <row r="289" spans="1:9" x14ac:dyDescent="0.25">
      <c r="A289" s="445"/>
      <c r="B289" s="444" t="s">
        <v>26</v>
      </c>
      <c r="C289" s="445"/>
      <c r="D289" s="445"/>
      <c r="E289" s="445">
        <f>SUM(E281:E288)</f>
        <v>5</v>
      </c>
      <c r="F289" s="448" t="s">
        <v>393</v>
      </c>
      <c r="G289" s="449" t="s">
        <v>397</v>
      </c>
      <c r="I289" s="457"/>
    </row>
    <row r="290" spans="1:9" x14ac:dyDescent="0.25">
      <c r="A290" s="442" t="s">
        <v>334</v>
      </c>
      <c r="B290" s="450" t="s">
        <v>227</v>
      </c>
      <c r="C290" s="489"/>
      <c r="D290" s="490"/>
      <c r="E290" s="450">
        <f>SUM(E282:E288, E270:E278)</f>
        <v>28.5</v>
      </c>
      <c r="F290" s="416">
        <v>76</v>
      </c>
      <c r="G290" s="527">
        <f>SUM(E290+G267)-F290</f>
        <v>16.5</v>
      </c>
      <c r="H290" s="452" t="s">
        <v>422</v>
      </c>
      <c r="I290" s="457"/>
    </row>
    <row r="291" spans="1:9" x14ac:dyDescent="0.25">
      <c r="A291" s="445"/>
      <c r="I291" s="457"/>
    </row>
    <row r="292" spans="1:9" x14ac:dyDescent="0.25">
      <c r="A292" s="445"/>
      <c r="B292" s="444" t="s">
        <v>161</v>
      </c>
      <c r="C292" s="444" t="s">
        <v>11</v>
      </c>
      <c r="D292" s="444" t="s">
        <v>12</v>
      </c>
      <c r="E292" s="444" t="s">
        <v>13</v>
      </c>
      <c r="F292" s="444" t="s">
        <v>14</v>
      </c>
      <c r="G292" s="444" t="s">
        <v>0</v>
      </c>
      <c r="I292" s="457"/>
    </row>
    <row r="293" spans="1:9" x14ac:dyDescent="0.25">
      <c r="A293" s="445">
        <v>6</v>
      </c>
      <c r="B293" s="446" t="s">
        <v>2</v>
      </c>
      <c r="D293" s="446"/>
      <c r="E293" s="446"/>
      <c r="F293" s="446"/>
      <c r="G293" s="446"/>
      <c r="I293" s="457"/>
    </row>
    <row r="294" spans="1:9" x14ac:dyDescent="0.25">
      <c r="A294" s="445">
        <v>7</v>
      </c>
      <c r="B294" s="446" t="s">
        <v>3</v>
      </c>
      <c r="I294" s="457"/>
    </row>
    <row r="295" spans="1:9" x14ac:dyDescent="0.25">
      <c r="A295" s="445">
        <v>8</v>
      </c>
      <c r="B295" s="446" t="s">
        <v>4</v>
      </c>
      <c r="G295" s="446"/>
      <c r="I295" s="457"/>
    </row>
    <row r="296" spans="1:9" x14ac:dyDescent="0.25">
      <c r="A296" s="445">
        <v>9</v>
      </c>
      <c r="B296" s="446" t="s">
        <v>5</v>
      </c>
      <c r="C296" s="446"/>
      <c r="D296" s="446"/>
      <c r="E296" s="446"/>
      <c r="F296" s="446"/>
      <c r="G296" s="446"/>
      <c r="I296" s="457"/>
    </row>
    <row r="297" spans="1:9" x14ac:dyDescent="0.25">
      <c r="A297" s="445">
        <v>10</v>
      </c>
      <c r="B297" s="446" t="s">
        <v>6</v>
      </c>
      <c r="C297" s="446"/>
      <c r="D297" s="446"/>
      <c r="E297" s="446"/>
      <c r="G297" s="446"/>
      <c r="I297" s="457"/>
    </row>
    <row r="298" spans="1:9" x14ac:dyDescent="0.25">
      <c r="A298" s="445">
        <v>11</v>
      </c>
      <c r="B298" s="446" t="s">
        <v>7</v>
      </c>
      <c r="C298" s="446"/>
      <c r="D298" s="446"/>
      <c r="E298" s="446"/>
      <c r="F298" s="446"/>
      <c r="G298" s="446"/>
      <c r="I298" s="457"/>
    </row>
    <row r="299" spans="1:9" x14ac:dyDescent="0.25">
      <c r="A299" s="445">
        <v>12</v>
      </c>
      <c r="B299" s="446" t="s">
        <v>8</v>
      </c>
      <c r="C299" s="446"/>
      <c r="D299" s="446"/>
      <c r="E299" s="446"/>
      <c r="F299" s="446"/>
      <c r="G299" s="446"/>
      <c r="I299" s="457"/>
    </row>
    <row r="300" spans="1:9" x14ac:dyDescent="0.25">
      <c r="A300" s="445">
        <v>13</v>
      </c>
      <c r="B300" s="444" t="s">
        <v>26</v>
      </c>
      <c r="C300" s="445"/>
      <c r="D300" s="445"/>
      <c r="E300" s="445">
        <v>0.5</v>
      </c>
      <c r="I300" s="457"/>
    </row>
    <row r="301" spans="1:9" x14ac:dyDescent="0.25">
      <c r="A301" s="445"/>
      <c r="I301" s="457"/>
    </row>
    <row r="302" spans="1:9" x14ac:dyDescent="0.25">
      <c r="A302" s="445"/>
      <c r="B302" s="444" t="s">
        <v>163</v>
      </c>
      <c r="C302" s="444" t="s">
        <v>11</v>
      </c>
      <c r="D302" s="444" t="s">
        <v>12</v>
      </c>
      <c r="E302" s="444" t="s">
        <v>13</v>
      </c>
      <c r="F302" s="444" t="s">
        <v>14</v>
      </c>
      <c r="G302" s="444" t="s">
        <v>0</v>
      </c>
      <c r="I302" s="457"/>
    </row>
    <row r="303" spans="1:9" x14ac:dyDescent="0.25">
      <c r="A303" s="445">
        <v>14</v>
      </c>
      <c r="B303" s="446" t="s">
        <v>2</v>
      </c>
      <c r="D303" s="446"/>
      <c r="E303" s="446"/>
      <c r="F303" s="446"/>
      <c r="G303" s="446"/>
      <c r="I303" s="457"/>
    </row>
    <row r="304" spans="1:9" x14ac:dyDescent="0.25">
      <c r="A304" s="445">
        <v>15</v>
      </c>
      <c r="B304" s="446" t="s">
        <v>3</v>
      </c>
      <c r="I304" s="457"/>
    </row>
    <row r="305" spans="1:11" x14ac:dyDescent="0.25">
      <c r="A305" s="445">
        <v>16</v>
      </c>
      <c r="B305" s="446" t="s">
        <v>4</v>
      </c>
      <c r="G305" s="446"/>
      <c r="I305" s="457"/>
    </row>
    <row r="306" spans="1:11" x14ac:dyDescent="0.25">
      <c r="A306" s="445">
        <v>17</v>
      </c>
      <c r="B306" s="446" t="s">
        <v>5</v>
      </c>
      <c r="C306" s="446"/>
      <c r="D306" s="446"/>
      <c r="E306" s="446"/>
      <c r="F306" s="446"/>
      <c r="G306" s="446"/>
      <c r="I306" s="457"/>
    </row>
    <row r="307" spans="1:11" x14ac:dyDescent="0.25">
      <c r="A307" s="445">
        <v>18</v>
      </c>
      <c r="B307" s="446" t="s">
        <v>6</v>
      </c>
      <c r="C307" s="446"/>
      <c r="D307" s="446"/>
      <c r="E307" s="446"/>
      <c r="G307" s="446"/>
      <c r="I307" s="457"/>
    </row>
    <row r="308" spans="1:11" x14ac:dyDescent="0.25">
      <c r="A308" s="445">
        <v>19</v>
      </c>
      <c r="B308" s="446" t="s">
        <v>7</v>
      </c>
      <c r="C308" s="446"/>
      <c r="D308" s="446"/>
      <c r="E308" s="446"/>
      <c r="F308" s="446"/>
      <c r="G308" s="446"/>
      <c r="I308" s="457"/>
    </row>
    <row r="309" spans="1:11" x14ac:dyDescent="0.25">
      <c r="A309" s="445">
        <v>20</v>
      </c>
      <c r="B309" s="446" t="s">
        <v>8</v>
      </c>
      <c r="C309" s="446"/>
      <c r="D309" s="446"/>
      <c r="E309" s="446"/>
      <c r="F309" s="446"/>
      <c r="G309" s="446"/>
      <c r="I309" s="457"/>
    </row>
    <row r="310" spans="1:11" x14ac:dyDescent="0.25">
      <c r="A310" s="445"/>
      <c r="B310" s="444" t="s">
        <v>26</v>
      </c>
      <c r="C310" s="445"/>
      <c r="D310" s="445"/>
      <c r="E310" s="445">
        <v>2</v>
      </c>
      <c r="F310" s="448" t="s">
        <v>393</v>
      </c>
      <c r="G310" s="449" t="s">
        <v>397</v>
      </c>
      <c r="I310" s="457"/>
    </row>
    <row r="311" spans="1:11" x14ac:dyDescent="0.25">
      <c r="A311" s="442" t="s">
        <v>335</v>
      </c>
      <c r="B311" s="450" t="s">
        <v>227</v>
      </c>
      <c r="C311" s="489"/>
      <c r="D311" s="490"/>
      <c r="E311" s="490">
        <f>SUM(E310,E300)</f>
        <v>2.5</v>
      </c>
      <c r="F311" s="416">
        <v>16</v>
      </c>
      <c r="G311" s="527">
        <f>SUM(E311+G290)-F311</f>
        <v>3</v>
      </c>
      <c r="H311" s="452" t="s">
        <v>422</v>
      </c>
      <c r="I311" s="457"/>
    </row>
    <row r="312" spans="1:11" x14ac:dyDescent="0.25">
      <c r="A312" s="445"/>
      <c r="I312" s="457"/>
      <c r="K312" s="385">
        <f>SUM(6*8)</f>
        <v>48</v>
      </c>
    </row>
    <row r="313" spans="1:11" x14ac:dyDescent="0.25">
      <c r="A313" s="445"/>
      <c r="B313" s="444" t="s">
        <v>164</v>
      </c>
      <c r="C313" s="444" t="s">
        <v>11</v>
      </c>
      <c r="D313" s="444" t="s">
        <v>12</v>
      </c>
      <c r="E313" s="444" t="s">
        <v>13</v>
      </c>
      <c r="F313" s="444" t="s">
        <v>14</v>
      </c>
      <c r="G313" s="444" t="s">
        <v>0</v>
      </c>
      <c r="I313" s="457"/>
    </row>
    <row r="314" spans="1:11" x14ac:dyDescent="0.25">
      <c r="A314" s="445">
        <v>20</v>
      </c>
      <c r="B314" s="446" t="s">
        <v>2</v>
      </c>
      <c r="D314" s="446"/>
      <c r="E314" s="446"/>
      <c r="F314" s="446"/>
      <c r="G314" s="446"/>
      <c r="I314" s="457"/>
    </row>
    <row r="315" spans="1:11" x14ac:dyDescent="0.25">
      <c r="A315" s="445">
        <v>21</v>
      </c>
      <c r="B315" s="446" t="s">
        <v>3</v>
      </c>
      <c r="I315" s="457"/>
    </row>
    <row r="316" spans="1:11" x14ac:dyDescent="0.25">
      <c r="A316" s="445">
        <v>22</v>
      </c>
      <c r="B316" s="446" t="s">
        <v>4</v>
      </c>
      <c r="G316" s="446"/>
      <c r="I316" s="457"/>
    </row>
    <row r="317" spans="1:11" x14ac:dyDescent="0.25">
      <c r="A317" s="445">
        <v>23</v>
      </c>
      <c r="B317" s="446" t="s">
        <v>5</v>
      </c>
      <c r="C317" s="446"/>
      <c r="D317" s="446"/>
      <c r="E317" s="446"/>
      <c r="F317" s="446"/>
      <c r="G317" s="446"/>
      <c r="I317" s="457"/>
    </row>
    <row r="318" spans="1:11" x14ac:dyDescent="0.25">
      <c r="A318" s="445">
        <v>24</v>
      </c>
      <c r="B318" s="446" t="s">
        <v>6</v>
      </c>
      <c r="C318" s="446"/>
      <c r="D318" s="446"/>
      <c r="E318" s="446"/>
      <c r="G318" s="446"/>
      <c r="I318" s="457"/>
    </row>
    <row r="319" spans="1:11" x14ac:dyDescent="0.25">
      <c r="A319" s="445">
        <v>25</v>
      </c>
      <c r="B319" s="446" t="s">
        <v>7</v>
      </c>
      <c r="C319" s="446"/>
      <c r="D319" s="446"/>
      <c r="E319" s="446"/>
      <c r="F319" s="446"/>
      <c r="G319" s="446"/>
      <c r="I319" s="457"/>
    </row>
    <row r="320" spans="1:11" x14ac:dyDescent="0.25">
      <c r="A320" s="445">
        <v>26</v>
      </c>
      <c r="B320" s="446" t="s">
        <v>8</v>
      </c>
      <c r="C320" s="446"/>
      <c r="D320" s="446"/>
      <c r="E320" s="446"/>
      <c r="F320" s="446"/>
      <c r="G320" s="446"/>
      <c r="I320" s="457"/>
    </row>
    <row r="321" spans="1:9" x14ac:dyDescent="0.25">
      <c r="A321" s="445"/>
      <c r="B321" s="444" t="s">
        <v>26</v>
      </c>
      <c r="C321" s="445"/>
      <c r="D321" s="445"/>
      <c r="E321" s="445">
        <v>3</v>
      </c>
      <c r="I321" s="457"/>
    </row>
    <row r="322" spans="1:9" x14ac:dyDescent="0.25">
      <c r="I322" s="457"/>
    </row>
    <row r="323" spans="1:9" x14ac:dyDescent="0.25">
      <c r="B323" s="444" t="s">
        <v>165</v>
      </c>
      <c r="C323" s="444" t="s">
        <v>11</v>
      </c>
      <c r="D323" s="444" t="s">
        <v>12</v>
      </c>
      <c r="E323" s="444" t="s">
        <v>13</v>
      </c>
      <c r="F323" s="444" t="s">
        <v>14</v>
      </c>
      <c r="G323" s="444" t="s">
        <v>0</v>
      </c>
      <c r="I323" s="457"/>
    </row>
    <row r="324" spans="1:9" x14ac:dyDescent="0.25">
      <c r="A324" s="445">
        <v>27</v>
      </c>
      <c r="B324" s="446" t="s">
        <v>2</v>
      </c>
      <c r="D324" s="446"/>
      <c r="E324" s="446"/>
      <c r="F324" s="446"/>
      <c r="G324" s="446"/>
      <c r="I324" s="457"/>
    </row>
    <row r="325" spans="1:9" x14ac:dyDescent="0.25">
      <c r="A325" s="445">
        <v>28</v>
      </c>
      <c r="B325" s="446" t="s">
        <v>3</v>
      </c>
      <c r="I325" s="457"/>
    </row>
    <row r="326" spans="1:9" x14ac:dyDescent="0.25">
      <c r="A326" s="445">
        <v>29</v>
      </c>
      <c r="B326" s="446" t="s">
        <v>4</v>
      </c>
      <c r="G326" s="446"/>
      <c r="I326" s="457"/>
    </row>
    <row r="327" spans="1:9" x14ac:dyDescent="0.25">
      <c r="A327" s="445">
        <v>30</v>
      </c>
      <c r="B327" s="446" t="s">
        <v>5</v>
      </c>
      <c r="C327" s="446"/>
      <c r="D327" s="446"/>
      <c r="E327" s="446"/>
      <c r="F327" s="446"/>
      <c r="G327" s="446"/>
      <c r="I327" s="457"/>
    </row>
    <row r="328" spans="1:9" x14ac:dyDescent="0.25">
      <c r="B328" s="444" t="s">
        <v>26</v>
      </c>
      <c r="C328" s="445"/>
      <c r="D328" s="445"/>
      <c r="E328" s="445">
        <v>3</v>
      </c>
      <c r="F328" s="448" t="s">
        <v>393</v>
      </c>
      <c r="G328" s="449" t="s">
        <v>397</v>
      </c>
      <c r="I328" s="457"/>
    </row>
    <row r="329" spans="1:9" x14ac:dyDescent="0.25">
      <c r="A329" s="442" t="s">
        <v>336</v>
      </c>
      <c r="B329" s="450" t="s">
        <v>227</v>
      </c>
      <c r="C329" s="489"/>
      <c r="D329" s="490"/>
      <c r="E329" s="490">
        <f>SUM(E328,E321)</f>
        <v>6</v>
      </c>
      <c r="F329" s="416">
        <v>6</v>
      </c>
      <c r="G329" s="527">
        <f>SUM(E329+G311)-F329</f>
        <v>3</v>
      </c>
      <c r="H329" s="452" t="s">
        <v>422</v>
      </c>
      <c r="I329" s="457"/>
    </row>
    <row r="330" spans="1:9" x14ac:dyDescent="0.25">
      <c r="A330" s="491">
        <v>1</v>
      </c>
      <c r="B330" s="492" t="s">
        <v>6</v>
      </c>
      <c r="C330" s="492"/>
      <c r="D330" s="492"/>
      <c r="E330" s="492"/>
      <c r="F330" s="493"/>
      <c r="G330" s="492"/>
      <c r="H330" s="493"/>
      <c r="I330" s="457"/>
    </row>
    <row r="331" spans="1:9" x14ac:dyDescent="0.25">
      <c r="A331" s="491">
        <v>2</v>
      </c>
      <c r="B331" s="492" t="s">
        <v>7</v>
      </c>
      <c r="C331" s="492"/>
      <c r="D331" s="492"/>
      <c r="E331" s="492"/>
      <c r="F331" s="492"/>
      <c r="G331" s="492"/>
      <c r="H331" s="493"/>
      <c r="I331" s="457"/>
    </row>
    <row r="332" spans="1:9" x14ac:dyDescent="0.25">
      <c r="A332" s="494">
        <v>3</v>
      </c>
      <c r="B332" s="492" t="s">
        <v>8</v>
      </c>
      <c r="C332" s="492"/>
      <c r="D332" s="492"/>
      <c r="E332" s="492"/>
      <c r="F332" s="492"/>
      <c r="G332" s="492"/>
      <c r="H332" s="493"/>
      <c r="I332" s="457"/>
    </row>
    <row r="333" spans="1:9" ht="33.75" x14ac:dyDescent="0.5">
      <c r="A333" s="571" t="s">
        <v>530</v>
      </c>
      <c r="B333" s="571"/>
      <c r="C333" s="571"/>
      <c r="D333" s="571"/>
      <c r="E333" s="571"/>
      <c r="F333" s="571"/>
      <c r="G333" s="571"/>
      <c r="H333" s="571"/>
      <c r="I333" s="457"/>
    </row>
    <row r="334" spans="1:9" ht="33.75" x14ac:dyDescent="0.5">
      <c r="A334" s="495" t="s">
        <v>425</v>
      </c>
      <c r="B334" s="495" t="s">
        <v>531</v>
      </c>
      <c r="C334" s="495" t="s">
        <v>430</v>
      </c>
      <c r="D334" s="572" t="s">
        <v>536</v>
      </c>
      <c r="E334" s="572"/>
      <c r="F334" s="572"/>
      <c r="G334" s="572"/>
      <c r="H334" s="572"/>
      <c r="I334" s="457"/>
    </row>
    <row r="335" spans="1:9" ht="67.5" x14ac:dyDescent="0.5">
      <c r="A335" s="496" t="s">
        <v>532</v>
      </c>
      <c r="B335" s="497">
        <f>SUM([1]Anthony_hist!G52)</f>
        <v>219.25</v>
      </c>
      <c r="C335" s="496"/>
      <c r="D335" s="572"/>
      <c r="E335" s="572"/>
      <c r="F335" s="572"/>
      <c r="G335" s="572"/>
      <c r="H335" s="572"/>
      <c r="I335" s="457"/>
    </row>
    <row r="336" spans="1:9" ht="101.25" x14ac:dyDescent="0.5">
      <c r="A336" s="496" t="s">
        <v>533</v>
      </c>
      <c r="B336" s="443">
        <f>SUM(E328,E321,E310,E300,E289,E279,E266,E255,E244,E228,E217,E207,E193,E182,E168,E158,E146,E136,E123,E97,E85,E71,E60,E71,E48,I7,I4,I6,I5)</f>
        <v>195.5</v>
      </c>
      <c r="D336" s="572"/>
      <c r="E336" s="572"/>
      <c r="F336" s="572"/>
      <c r="G336" s="572"/>
      <c r="H336" s="572"/>
      <c r="I336" s="457"/>
    </row>
    <row r="337" spans="1:9" ht="36" x14ac:dyDescent="0.55000000000000004">
      <c r="A337" s="498" t="s">
        <v>427</v>
      </c>
      <c r="B337" s="508">
        <f>SUM(B335-B336)</f>
        <v>23.75</v>
      </c>
      <c r="D337" s="572"/>
      <c r="E337" s="572"/>
      <c r="F337" s="572"/>
      <c r="G337" s="572"/>
      <c r="H337" s="572"/>
      <c r="I337" s="457"/>
    </row>
    <row r="338" spans="1:9" ht="36" x14ac:dyDescent="0.55000000000000004">
      <c r="A338" s="443" t="s">
        <v>534</v>
      </c>
      <c r="B338" s="507">
        <f>SUM(G329)</f>
        <v>3</v>
      </c>
      <c r="D338" s="572"/>
      <c r="E338" s="572"/>
      <c r="F338" s="572"/>
      <c r="G338" s="572"/>
      <c r="H338" s="572"/>
      <c r="I338" s="457"/>
    </row>
    <row r="339" spans="1:9" x14ac:dyDescent="0.25">
      <c r="I339" s="457"/>
    </row>
    <row r="340" spans="1:9" x14ac:dyDescent="0.25">
      <c r="I340" s="457"/>
    </row>
    <row r="341" spans="1:9" x14ac:dyDescent="0.25">
      <c r="I341" s="457"/>
    </row>
    <row r="342" spans="1:9" x14ac:dyDescent="0.25">
      <c r="B342" s="443">
        <f>SUM(C6,C7,F329,F311,F290,F245,F218,F169,F194,F267,F147,F124,F99,F72,F49,F37,F19)</f>
        <v>317.25</v>
      </c>
      <c r="I342" s="457"/>
    </row>
    <row r="343" spans="1:9" x14ac:dyDescent="0.25">
      <c r="A343" s="443" t="s">
        <v>535</v>
      </c>
      <c r="B343" s="443">
        <f>SUM(F329,F311,F290,F245,F218,F169,F194,F267,F147,F124,F99,F72,F49,F37,F19)</f>
        <v>231.25</v>
      </c>
      <c r="I343" s="457"/>
    </row>
    <row r="344" spans="1:9" x14ac:dyDescent="0.25">
      <c r="I344" s="457"/>
    </row>
    <row r="345" spans="1:9" x14ac:dyDescent="0.25">
      <c r="I345" s="457"/>
    </row>
    <row r="346" spans="1:9" x14ac:dyDescent="0.25">
      <c r="I346" s="457"/>
    </row>
    <row r="347" spans="1:9" x14ac:dyDescent="0.25">
      <c r="I347" s="457"/>
    </row>
    <row r="508" spans="1:8" x14ac:dyDescent="0.25">
      <c r="A508" s="499"/>
      <c r="B508" s="500"/>
      <c r="C508" s="500"/>
    </row>
    <row r="509" spans="1:8" x14ac:dyDescent="0.25">
      <c r="A509" s="499"/>
      <c r="B509" s="500"/>
      <c r="C509" s="500"/>
      <c r="D509" s="500"/>
      <c r="E509" s="500"/>
      <c r="F509" s="501"/>
      <c r="G509" s="500"/>
      <c r="H509" s="502"/>
    </row>
    <row r="510" spans="1:8" x14ac:dyDescent="0.25">
      <c r="A510" s="499"/>
      <c r="B510" s="500"/>
      <c r="C510" s="500"/>
      <c r="D510" s="500"/>
      <c r="E510" s="500"/>
      <c r="F510" s="500"/>
      <c r="G510" s="500"/>
      <c r="H510" s="502"/>
    </row>
    <row r="511" spans="1:8" x14ac:dyDescent="0.25">
      <c r="A511" s="499"/>
      <c r="B511" s="503"/>
      <c r="C511" s="504"/>
      <c r="D511" s="500"/>
      <c r="E511" s="500"/>
      <c r="F511" s="500"/>
      <c r="G511" s="500"/>
      <c r="H511" s="502"/>
    </row>
    <row r="512" spans="1:8" x14ac:dyDescent="0.25">
      <c r="A512" s="499"/>
      <c r="B512" s="505"/>
      <c r="C512" s="499"/>
      <c r="D512" s="504"/>
      <c r="E512" s="504"/>
      <c r="F512" s="501"/>
      <c r="G512" s="499"/>
      <c r="H512" s="502"/>
    </row>
    <row r="513" spans="1:19" x14ac:dyDescent="0.25">
      <c r="A513" s="502"/>
      <c r="B513" s="502"/>
      <c r="C513" s="502"/>
      <c r="D513" s="505"/>
      <c r="E513" s="505"/>
      <c r="F513" s="505"/>
      <c r="G513" s="499"/>
      <c r="H513" s="506"/>
    </row>
    <row r="514" spans="1:19" x14ac:dyDescent="0.25">
      <c r="A514" s="502"/>
      <c r="B514" s="502"/>
      <c r="C514" s="502"/>
      <c r="D514" s="502"/>
      <c r="E514" s="502"/>
      <c r="F514" s="502"/>
      <c r="G514" s="502"/>
      <c r="H514" s="502"/>
    </row>
    <row r="515" spans="1:19" x14ac:dyDescent="0.25">
      <c r="A515" s="502"/>
      <c r="B515" s="502"/>
      <c r="C515" s="502"/>
      <c r="D515" s="502"/>
      <c r="E515" s="502"/>
      <c r="F515" s="502"/>
      <c r="G515" s="502"/>
      <c r="H515" s="502"/>
    </row>
    <row r="516" spans="1:19" x14ac:dyDescent="0.25">
      <c r="A516" s="502"/>
      <c r="B516" s="502"/>
      <c r="C516" s="502"/>
      <c r="D516" s="502"/>
      <c r="E516" s="502"/>
      <c r="F516" s="502"/>
      <c r="G516" s="502"/>
      <c r="H516" s="502"/>
    </row>
    <row r="517" spans="1:19" x14ac:dyDescent="0.25">
      <c r="A517" s="502"/>
      <c r="B517" s="502"/>
      <c r="C517" s="502"/>
      <c r="D517" s="502"/>
      <c r="E517" s="502"/>
      <c r="F517" s="502"/>
      <c r="G517" s="502"/>
      <c r="H517" s="502"/>
    </row>
    <row r="518" spans="1:19" x14ac:dyDescent="0.25">
      <c r="A518" s="502"/>
      <c r="B518" s="502"/>
      <c r="C518" s="502"/>
      <c r="D518" s="502"/>
      <c r="E518" s="502"/>
      <c r="F518" s="502"/>
      <c r="G518" s="502"/>
      <c r="H518" s="502"/>
    </row>
    <row r="519" spans="1:19" x14ac:dyDescent="0.25">
      <c r="A519" s="502"/>
      <c r="B519" s="502"/>
      <c r="C519" s="502"/>
      <c r="D519" s="502"/>
      <c r="E519" s="502"/>
      <c r="F519" s="502"/>
      <c r="G519" s="502"/>
      <c r="H519" s="502"/>
    </row>
    <row r="520" spans="1:19" x14ac:dyDescent="0.25">
      <c r="A520" s="502"/>
      <c r="B520" s="502"/>
      <c r="C520" s="502"/>
      <c r="D520" s="502"/>
      <c r="E520" s="502"/>
      <c r="F520" s="502"/>
      <c r="G520" s="502"/>
      <c r="H520" s="502"/>
    </row>
    <row r="521" spans="1:19" x14ac:dyDescent="0.25">
      <c r="A521" s="502"/>
      <c r="B521" s="502"/>
      <c r="C521" s="502"/>
      <c r="D521" s="502"/>
      <c r="E521" s="502"/>
      <c r="F521" s="502"/>
      <c r="G521" s="502"/>
      <c r="H521" s="502"/>
    </row>
    <row r="522" spans="1:19" x14ac:dyDescent="0.25">
      <c r="A522" s="502"/>
      <c r="B522" s="502"/>
      <c r="C522" s="502"/>
      <c r="D522" s="502"/>
      <c r="E522" s="502"/>
      <c r="F522" s="502"/>
      <c r="G522" s="502"/>
      <c r="H522" s="502"/>
    </row>
    <row r="523" spans="1:19" x14ac:dyDescent="0.25">
      <c r="A523" s="502"/>
      <c r="B523" s="502"/>
      <c r="C523" s="502"/>
      <c r="D523" s="502"/>
      <c r="E523" s="502"/>
      <c r="F523" s="502"/>
      <c r="G523" s="502"/>
      <c r="H523" s="502"/>
    </row>
    <row r="524" spans="1:19" x14ac:dyDescent="0.25">
      <c r="A524" s="502"/>
      <c r="B524" s="502"/>
      <c r="C524" s="502"/>
      <c r="D524" s="502"/>
      <c r="E524" s="502"/>
      <c r="F524" s="502"/>
      <c r="G524" s="502"/>
      <c r="H524" s="502"/>
    </row>
    <row r="525" spans="1:19" x14ac:dyDescent="0.25">
      <c r="A525" s="502"/>
      <c r="B525" s="502"/>
      <c r="C525" s="502"/>
      <c r="D525" s="502"/>
      <c r="E525" s="502"/>
      <c r="F525" s="502"/>
      <c r="G525" s="502"/>
      <c r="H525" s="502"/>
    </row>
    <row r="526" spans="1:19" x14ac:dyDescent="0.25">
      <c r="A526" s="502"/>
      <c r="B526" s="502"/>
      <c r="C526" s="502"/>
      <c r="D526" s="502"/>
      <c r="E526" s="502"/>
      <c r="F526" s="502"/>
      <c r="G526" s="502"/>
      <c r="H526" s="502"/>
      <c r="I526" s="502"/>
      <c r="J526" s="502"/>
      <c r="K526" s="502"/>
      <c r="L526" s="502"/>
      <c r="M526" s="502"/>
      <c r="N526" s="502"/>
      <c r="O526" s="502"/>
      <c r="P526" s="502"/>
      <c r="Q526" s="502"/>
      <c r="R526" s="502"/>
      <c r="S526" s="502"/>
    </row>
    <row r="527" spans="1:19" x14ac:dyDescent="0.25">
      <c r="A527" s="502"/>
      <c r="B527" s="502"/>
      <c r="C527" s="502"/>
      <c r="D527" s="502"/>
      <c r="E527" s="502"/>
      <c r="F527" s="502"/>
      <c r="G527" s="502"/>
      <c r="H527" s="502"/>
      <c r="I527" s="502"/>
      <c r="J527" s="502"/>
      <c r="K527" s="502"/>
      <c r="L527" s="502"/>
      <c r="M527" s="502"/>
      <c r="N527" s="502"/>
      <c r="O527" s="502"/>
      <c r="P527" s="502"/>
      <c r="Q527" s="502"/>
      <c r="R527" s="502"/>
      <c r="S527" s="502"/>
    </row>
    <row r="528" spans="1:19" x14ac:dyDescent="0.25">
      <c r="A528" s="502"/>
      <c r="B528" s="502"/>
      <c r="C528" s="502"/>
      <c r="D528" s="502"/>
      <c r="E528" s="502"/>
      <c r="F528" s="502"/>
      <c r="G528" s="502"/>
      <c r="H528" s="502"/>
      <c r="I528" s="502"/>
      <c r="J528" s="502"/>
      <c r="K528" s="502"/>
      <c r="L528" s="502"/>
      <c r="M528" s="502"/>
      <c r="N528" s="502"/>
      <c r="O528" s="502"/>
      <c r="P528" s="502"/>
      <c r="Q528" s="502"/>
      <c r="R528" s="502"/>
      <c r="S528" s="502"/>
    </row>
    <row r="529" spans="1:19" x14ac:dyDescent="0.25">
      <c r="A529" s="502"/>
      <c r="B529" s="502"/>
      <c r="C529" s="502"/>
      <c r="D529" s="502"/>
      <c r="E529" s="502"/>
      <c r="F529" s="502"/>
      <c r="G529" s="502"/>
      <c r="H529" s="502"/>
      <c r="I529" s="502"/>
      <c r="J529" s="502"/>
      <c r="K529" s="502"/>
      <c r="L529" s="502"/>
      <c r="M529" s="502"/>
      <c r="N529" s="502"/>
      <c r="O529" s="502"/>
      <c r="P529" s="502"/>
      <c r="Q529" s="502"/>
      <c r="R529" s="502"/>
      <c r="S529" s="502"/>
    </row>
    <row r="530" spans="1:19" x14ac:dyDescent="0.25">
      <c r="A530" s="502"/>
      <c r="B530" s="502"/>
      <c r="C530" s="502"/>
      <c r="D530" s="502"/>
      <c r="E530" s="502"/>
      <c r="F530" s="502"/>
      <c r="G530" s="502"/>
      <c r="H530" s="502"/>
      <c r="I530" s="502"/>
      <c r="J530" s="502"/>
      <c r="K530" s="502"/>
      <c r="L530" s="502"/>
      <c r="M530" s="502"/>
      <c r="N530" s="502"/>
      <c r="O530" s="502"/>
      <c r="P530" s="502"/>
      <c r="Q530" s="502"/>
      <c r="R530" s="502"/>
      <c r="S530" s="502"/>
    </row>
    <row r="531" spans="1:19" x14ac:dyDescent="0.25">
      <c r="A531" s="502"/>
      <c r="B531" s="502"/>
      <c r="C531" s="502"/>
      <c r="D531" s="502"/>
      <c r="E531" s="502"/>
      <c r="F531" s="502"/>
      <c r="G531" s="502"/>
      <c r="H531" s="502"/>
      <c r="I531" s="502"/>
      <c r="J531" s="502"/>
      <c r="K531" s="502"/>
      <c r="L531" s="502"/>
      <c r="M531" s="502"/>
      <c r="N531" s="502"/>
      <c r="O531" s="502"/>
      <c r="P531" s="502"/>
      <c r="Q531" s="502"/>
      <c r="R531" s="502"/>
      <c r="S531" s="502"/>
    </row>
    <row r="532" spans="1:19" x14ac:dyDescent="0.25">
      <c r="A532" s="502"/>
      <c r="B532" s="502"/>
      <c r="C532" s="502"/>
      <c r="D532" s="502"/>
      <c r="E532" s="502"/>
      <c r="F532" s="502"/>
      <c r="G532" s="502"/>
      <c r="H532" s="502"/>
      <c r="I532" s="502"/>
      <c r="J532" s="502"/>
      <c r="K532" s="502"/>
      <c r="L532" s="502"/>
      <c r="M532" s="502"/>
      <c r="N532" s="502"/>
      <c r="O532" s="502"/>
      <c r="P532" s="502"/>
      <c r="Q532" s="502"/>
      <c r="R532" s="502"/>
      <c r="S532" s="502"/>
    </row>
    <row r="533" spans="1:19" x14ac:dyDescent="0.25">
      <c r="A533" s="502"/>
      <c r="B533" s="502"/>
      <c r="C533" s="502"/>
      <c r="D533" s="502"/>
      <c r="E533" s="502"/>
      <c r="F533" s="502"/>
      <c r="G533" s="502"/>
      <c r="H533" s="502"/>
      <c r="I533" s="502"/>
      <c r="J533" s="502"/>
      <c r="K533" s="502"/>
      <c r="L533" s="502"/>
      <c r="M533" s="502"/>
      <c r="N533" s="502"/>
      <c r="O533" s="502"/>
      <c r="P533" s="502"/>
      <c r="Q533" s="502"/>
      <c r="R533" s="502"/>
      <c r="S533" s="502"/>
    </row>
    <row r="534" spans="1:19" x14ac:dyDescent="0.25">
      <c r="A534" s="502"/>
      <c r="B534" s="502"/>
      <c r="C534" s="502"/>
      <c r="D534" s="502"/>
      <c r="E534" s="502"/>
      <c r="F534" s="502"/>
      <c r="G534" s="502"/>
      <c r="H534" s="502"/>
      <c r="I534" s="502"/>
      <c r="J534" s="502"/>
      <c r="K534" s="502"/>
      <c r="L534" s="502"/>
      <c r="M534" s="502"/>
      <c r="N534" s="502"/>
      <c r="O534" s="502"/>
      <c r="P534" s="502"/>
      <c r="Q534" s="502"/>
      <c r="R534" s="502"/>
      <c r="S534" s="502"/>
    </row>
    <row r="535" spans="1:19" x14ac:dyDescent="0.25">
      <c r="A535" s="502"/>
      <c r="B535" s="502"/>
      <c r="C535" s="502"/>
      <c r="D535" s="502"/>
      <c r="E535" s="502"/>
      <c r="F535" s="502"/>
      <c r="G535" s="502"/>
      <c r="H535" s="502"/>
      <c r="I535" s="502"/>
      <c r="J535" s="502"/>
      <c r="K535" s="502"/>
      <c r="L535" s="502"/>
      <c r="M535" s="502"/>
      <c r="N535" s="502"/>
      <c r="O535" s="502"/>
      <c r="P535" s="502"/>
      <c r="Q535" s="502"/>
      <c r="R535" s="502"/>
      <c r="S535" s="502"/>
    </row>
    <row r="536" spans="1:19" x14ac:dyDescent="0.25">
      <c r="A536" s="502"/>
      <c r="B536" s="502"/>
      <c r="C536" s="502"/>
      <c r="D536" s="502"/>
      <c r="E536" s="502"/>
      <c r="F536" s="502"/>
      <c r="G536" s="502"/>
      <c r="H536" s="502"/>
      <c r="I536" s="502"/>
      <c r="J536" s="502"/>
      <c r="K536" s="502"/>
      <c r="L536" s="502"/>
      <c r="M536" s="502"/>
      <c r="N536" s="502"/>
      <c r="O536" s="502"/>
      <c r="P536" s="502"/>
      <c r="Q536" s="502"/>
      <c r="R536" s="502"/>
      <c r="S536" s="502"/>
    </row>
    <row r="537" spans="1:19" x14ac:dyDescent="0.25">
      <c r="A537" s="502"/>
      <c r="B537" s="502"/>
      <c r="C537" s="502"/>
      <c r="D537" s="502"/>
      <c r="E537" s="502"/>
      <c r="F537" s="502"/>
      <c r="G537" s="502"/>
      <c r="H537" s="502"/>
      <c r="I537" s="502"/>
      <c r="J537" s="502"/>
      <c r="K537" s="502"/>
      <c r="L537" s="502"/>
      <c r="M537" s="502"/>
      <c r="N537" s="502"/>
      <c r="O537" s="502"/>
      <c r="P537" s="502"/>
      <c r="Q537" s="502"/>
      <c r="R537" s="502"/>
      <c r="S537" s="502"/>
    </row>
    <row r="538" spans="1:19" x14ac:dyDescent="0.25">
      <c r="A538" s="502"/>
      <c r="B538" s="502"/>
      <c r="C538" s="502"/>
      <c r="D538" s="502"/>
      <c r="E538" s="502"/>
      <c r="F538" s="502"/>
      <c r="G538" s="502"/>
      <c r="H538" s="502"/>
      <c r="I538" s="502"/>
      <c r="J538" s="502"/>
      <c r="K538" s="502"/>
      <c r="L538" s="502"/>
      <c r="M538" s="502"/>
      <c r="N538" s="502"/>
      <c r="O538" s="502"/>
      <c r="P538" s="502"/>
      <c r="Q538" s="502"/>
      <c r="R538" s="502"/>
      <c r="S538" s="502"/>
    </row>
    <row r="539" spans="1:19" x14ac:dyDescent="0.25">
      <c r="A539" s="502"/>
      <c r="B539" s="502"/>
      <c r="C539" s="502"/>
      <c r="D539" s="502"/>
      <c r="E539" s="502"/>
      <c r="F539" s="502"/>
      <c r="G539" s="502"/>
      <c r="H539" s="502"/>
      <c r="I539" s="502"/>
      <c r="J539" s="502"/>
      <c r="K539" s="502"/>
      <c r="L539" s="502"/>
      <c r="M539" s="502"/>
      <c r="N539" s="502"/>
      <c r="O539" s="502"/>
      <c r="P539" s="502"/>
      <c r="Q539" s="502"/>
      <c r="R539" s="502"/>
      <c r="S539" s="502"/>
    </row>
    <row r="540" spans="1:19" x14ac:dyDescent="0.25">
      <c r="A540" s="502"/>
      <c r="B540" s="502"/>
      <c r="C540" s="502"/>
      <c r="D540" s="502"/>
      <c r="E540" s="502"/>
      <c r="F540" s="502"/>
      <c r="G540" s="502"/>
      <c r="H540" s="502"/>
      <c r="I540" s="502"/>
      <c r="J540" s="502"/>
      <c r="K540" s="502"/>
      <c r="L540" s="502"/>
      <c r="M540" s="502"/>
      <c r="N540" s="502"/>
      <c r="O540" s="502"/>
      <c r="P540" s="502"/>
      <c r="Q540" s="502"/>
      <c r="R540" s="502"/>
      <c r="S540" s="502"/>
    </row>
    <row r="541" spans="1:19" x14ac:dyDescent="0.25">
      <c r="A541" s="502"/>
      <c r="B541" s="502"/>
      <c r="C541" s="502"/>
      <c r="D541" s="502"/>
      <c r="E541" s="502"/>
      <c r="F541" s="502"/>
      <c r="G541" s="502"/>
      <c r="H541" s="502"/>
      <c r="I541" s="502"/>
      <c r="J541" s="502"/>
      <c r="K541" s="502"/>
      <c r="L541" s="502"/>
      <c r="M541" s="502"/>
      <c r="N541" s="502"/>
      <c r="O541" s="502"/>
      <c r="P541" s="502"/>
      <c r="Q541" s="502"/>
      <c r="R541" s="502"/>
      <c r="S541" s="502"/>
    </row>
    <row r="542" spans="1:19" x14ac:dyDescent="0.25">
      <c r="D542" s="502"/>
      <c r="E542" s="502"/>
      <c r="F542" s="502"/>
      <c r="G542" s="502"/>
      <c r="H542" s="502"/>
      <c r="I542" s="502"/>
      <c r="J542" s="502"/>
      <c r="K542" s="502"/>
      <c r="L542" s="502"/>
      <c r="M542" s="502"/>
      <c r="N542" s="502"/>
      <c r="O542" s="502"/>
      <c r="P542" s="502"/>
      <c r="Q542" s="502"/>
      <c r="R542" s="502"/>
      <c r="S542" s="502"/>
    </row>
    <row r="543" spans="1:19" x14ac:dyDescent="0.25">
      <c r="I543" s="502"/>
      <c r="J543" s="502"/>
      <c r="K543" s="502"/>
      <c r="L543" s="502"/>
      <c r="M543" s="502"/>
      <c r="N543" s="502"/>
      <c r="O543" s="502"/>
      <c r="P543" s="502"/>
      <c r="Q543" s="502"/>
      <c r="R543" s="502"/>
      <c r="S543" s="502"/>
    </row>
    <row r="544" spans="1:19" x14ac:dyDescent="0.25">
      <c r="I544" s="502"/>
      <c r="J544" s="502"/>
      <c r="K544" s="502"/>
      <c r="L544" s="502"/>
      <c r="M544" s="502"/>
      <c r="N544" s="502"/>
      <c r="O544" s="502"/>
      <c r="P544" s="502"/>
      <c r="Q544" s="502"/>
      <c r="R544" s="502"/>
      <c r="S544" s="502"/>
    </row>
    <row r="545" spans="9:19" x14ac:dyDescent="0.25">
      <c r="I545" s="502"/>
      <c r="J545" s="502"/>
      <c r="K545" s="502"/>
      <c r="L545" s="502"/>
      <c r="M545" s="502"/>
      <c r="N545" s="502"/>
      <c r="O545" s="502"/>
      <c r="P545" s="502"/>
      <c r="Q545" s="502"/>
      <c r="R545" s="502"/>
      <c r="S545" s="502"/>
    </row>
    <row r="546" spans="9:19" x14ac:dyDescent="0.25">
      <c r="I546" s="502"/>
      <c r="J546" s="502"/>
      <c r="K546" s="502"/>
      <c r="L546" s="502"/>
      <c r="M546" s="502"/>
      <c r="N546" s="502"/>
      <c r="O546" s="502"/>
      <c r="P546" s="502"/>
      <c r="Q546" s="502"/>
      <c r="R546" s="502"/>
      <c r="S546" s="502"/>
    </row>
    <row r="547" spans="9:19" x14ac:dyDescent="0.25">
      <c r="I547" s="502"/>
      <c r="J547" s="502"/>
      <c r="K547" s="502"/>
      <c r="L547" s="502"/>
      <c r="M547" s="502"/>
      <c r="N547" s="502"/>
      <c r="O547" s="502"/>
      <c r="P547" s="502"/>
      <c r="Q547" s="502"/>
      <c r="R547" s="502"/>
      <c r="S547" s="502"/>
    </row>
    <row r="548" spans="9:19" x14ac:dyDescent="0.25">
      <c r="I548" s="502"/>
      <c r="J548" s="502"/>
      <c r="K548" s="502"/>
      <c r="L548" s="502"/>
      <c r="M548" s="502"/>
      <c r="N548" s="502"/>
      <c r="O548" s="502"/>
      <c r="P548" s="502"/>
      <c r="Q548" s="502"/>
      <c r="R548" s="502"/>
      <c r="S548" s="502"/>
    </row>
    <row r="549" spans="9:19" x14ac:dyDescent="0.25">
      <c r="I549" s="502"/>
      <c r="J549" s="502"/>
      <c r="K549" s="502"/>
      <c r="L549" s="502"/>
      <c r="M549" s="502"/>
      <c r="N549" s="502"/>
      <c r="O549" s="502"/>
      <c r="P549" s="502"/>
      <c r="Q549" s="502"/>
      <c r="R549" s="502"/>
      <c r="S549" s="502"/>
    </row>
    <row r="550" spans="9:19" x14ac:dyDescent="0.25">
      <c r="I550" s="502"/>
      <c r="J550" s="502"/>
      <c r="K550" s="502"/>
      <c r="L550" s="502"/>
      <c r="M550" s="502"/>
      <c r="N550" s="502"/>
      <c r="O550" s="502"/>
      <c r="P550" s="502"/>
      <c r="Q550" s="502"/>
      <c r="R550" s="502"/>
      <c r="S550" s="502"/>
    </row>
    <row r="551" spans="9:19" x14ac:dyDescent="0.25">
      <c r="I551" s="502"/>
      <c r="J551" s="502"/>
      <c r="K551" s="502"/>
      <c r="L551" s="502"/>
      <c r="M551" s="502"/>
      <c r="N551" s="502"/>
      <c r="O551" s="502"/>
      <c r="P551" s="502"/>
      <c r="Q551" s="502"/>
      <c r="R551" s="502"/>
      <c r="S551" s="502"/>
    </row>
    <row r="552" spans="9:19" x14ac:dyDescent="0.25">
      <c r="I552" s="502"/>
      <c r="J552" s="502"/>
      <c r="K552" s="502"/>
      <c r="L552" s="502"/>
      <c r="M552" s="502"/>
      <c r="N552" s="502"/>
      <c r="O552" s="502"/>
      <c r="P552" s="502"/>
      <c r="Q552" s="502"/>
      <c r="R552" s="502"/>
      <c r="S552" s="502"/>
    </row>
    <row r="553" spans="9:19" x14ac:dyDescent="0.25">
      <c r="I553" s="502"/>
      <c r="J553" s="502"/>
      <c r="K553" s="502"/>
      <c r="L553" s="502"/>
      <c r="M553" s="502"/>
      <c r="N553" s="502"/>
      <c r="O553" s="502"/>
      <c r="P553" s="502"/>
      <c r="Q553" s="502"/>
      <c r="R553" s="502"/>
      <c r="S553" s="502"/>
    </row>
    <row r="554" spans="9:19" x14ac:dyDescent="0.25">
      <c r="I554" s="502"/>
      <c r="J554" s="502"/>
      <c r="K554" s="502"/>
      <c r="L554" s="502"/>
      <c r="M554" s="502"/>
      <c r="N554" s="502"/>
      <c r="O554" s="502"/>
      <c r="P554" s="502"/>
      <c r="Q554" s="502"/>
      <c r="R554" s="502"/>
      <c r="S554" s="502"/>
    </row>
    <row r="555" spans="9:19" x14ac:dyDescent="0.25">
      <c r="I555" s="502"/>
      <c r="J555" s="502"/>
      <c r="K555" s="502"/>
      <c r="L555" s="502"/>
      <c r="M555" s="502"/>
      <c r="N555" s="502"/>
      <c r="O555" s="502"/>
      <c r="P555" s="502"/>
      <c r="Q555" s="502"/>
      <c r="R555" s="502"/>
      <c r="S555" s="502"/>
    </row>
    <row r="556" spans="9:19" x14ac:dyDescent="0.25">
      <c r="I556" s="502"/>
      <c r="J556" s="502"/>
      <c r="K556" s="502"/>
      <c r="L556" s="502"/>
      <c r="M556" s="502"/>
      <c r="N556" s="502"/>
      <c r="O556" s="502"/>
      <c r="P556" s="502"/>
      <c r="Q556" s="502"/>
      <c r="R556" s="502"/>
      <c r="S556" s="502"/>
    </row>
    <row r="557" spans="9:19" x14ac:dyDescent="0.25">
      <c r="I557" s="502"/>
      <c r="J557" s="502"/>
      <c r="K557" s="502"/>
      <c r="L557" s="502"/>
      <c r="M557" s="502"/>
      <c r="N557" s="502"/>
      <c r="O557" s="502"/>
      <c r="P557" s="502"/>
      <c r="Q557" s="502"/>
      <c r="R557" s="502"/>
      <c r="S557" s="502"/>
    </row>
    <row r="558" spans="9:19" x14ac:dyDescent="0.25">
      <c r="I558" s="502"/>
      <c r="J558" s="502"/>
      <c r="K558" s="502"/>
      <c r="L558" s="502"/>
      <c r="M558" s="502"/>
      <c r="N558" s="502"/>
      <c r="O558" s="502"/>
      <c r="P558" s="502"/>
      <c r="Q558" s="502"/>
      <c r="R558" s="502"/>
      <c r="S558" s="502"/>
    </row>
  </sheetData>
  <mergeCells count="9">
    <mergeCell ref="A232:I232"/>
    <mergeCell ref="A333:H333"/>
    <mergeCell ref="D334:H338"/>
    <mergeCell ref="A1:G3"/>
    <mergeCell ref="F36:G36"/>
    <mergeCell ref="A38:I38"/>
    <mergeCell ref="H47:H49"/>
    <mergeCell ref="C56:H56"/>
    <mergeCell ref="A111:I1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3C6E-B19D-47EA-8082-F1724CE56F7F}">
  <dimension ref="A1:Y563"/>
  <sheetViews>
    <sheetView topLeftCell="A279" zoomScale="55" zoomScaleNormal="55" workbookViewId="0">
      <selection activeCell="AH139" sqref="AH139"/>
    </sheetView>
  </sheetViews>
  <sheetFormatPr defaultColWidth="41.7109375" defaultRowHeight="15" x14ac:dyDescent="0.25"/>
  <cols>
    <col min="1" max="1" width="18.5703125" style="15" customWidth="1"/>
    <col min="2" max="2" width="27.42578125" style="15" bestFit="1" customWidth="1"/>
    <col min="3" max="3" width="36" style="15" customWidth="1"/>
    <col min="4" max="4" width="39.42578125" style="15" customWidth="1"/>
    <col min="5" max="5" width="15.42578125" style="15" bestFit="1" customWidth="1"/>
    <col min="6" max="6" width="14.42578125" style="15" bestFit="1" customWidth="1"/>
    <col min="7" max="7" width="52.140625" style="15" bestFit="1" customWidth="1"/>
    <col min="8" max="8" width="36.28515625" style="22" bestFit="1" customWidth="1"/>
    <col min="9" max="9" width="2.28515625" style="22" bestFit="1" customWidth="1"/>
    <col min="10" max="10" width="7.140625" style="22" customWidth="1"/>
    <col min="11" max="11" width="5.85546875" style="22" bestFit="1" customWidth="1"/>
    <col min="12" max="12" width="27.140625" style="22" bestFit="1" customWidth="1"/>
    <col min="13" max="13" width="26.85546875" style="22" bestFit="1" customWidth="1"/>
    <col min="14" max="14" width="11" style="22" bestFit="1" customWidth="1"/>
    <col min="15" max="15" width="15.42578125" style="22" bestFit="1" customWidth="1"/>
    <col min="16" max="16" width="32.140625" style="22" bestFit="1" customWidth="1"/>
    <col min="17" max="17" width="47.140625" style="22" bestFit="1" customWidth="1"/>
    <col min="18" max="18" width="15.42578125" style="22" bestFit="1" customWidth="1"/>
    <col min="19" max="19" width="54.42578125" style="22" bestFit="1" customWidth="1"/>
    <col min="20" max="20" width="19.85546875" style="22" bestFit="1" customWidth="1"/>
    <col min="21" max="21" width="8.42578125" style="22" bestFit="1" customWidth="1"/>
    <col min="22" max="25" width="41.7109375" style="22"/>
    <col min="26" max="16384" width="41.7109375" style="15"/>
  </cols>
  <sheetData>
    <row r="1" spans="1:7" x14ac:dyDescent="0.25">
      <c r="A1" s="579" t="s">
        <v>315</v>
      </c>
      <c r="B1" s="579"/>
      <c r="C1" s="579"/>
      <c r="D1" s="579"/>
      <c r="E1" s="579"/>
      <c r="F1" s="579"/>
      <c r="G1" s="579"/>
    </row>
    <row r="2" spans="1:7" x14ac:dyDescent="0.25">
      <c r="A2" s="579"/>
      <c r="B2" s="579"/>
      <c r="C2" s="579"/>
      <c r="D2" s="579"/>
      <c r="E2" s="579"/>
      <c r="F2" s="579"/>
      <c r="G2" s="579"/>
    </row>
    <row r="3" spans="1:7" x14ac:dyDescent="0.25">
      <c r="A3" s="579"/>
      <c r="B3" s="579"/>
      <c r="C3" s="579"/>
      <c r="D3" s="579"/>
      <c r="E3" s="579"/>
      <c r="F3" s="579"/>
      <c r="G3" s="579"/>
    </row>
    <row r="5" spans="1:7" x14ac:dyDescent="0.25">
      <c r="B5" s="13" t="s">
        <v>76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0</v>
      </c>
    </row>
    <row r="6" spans="1:7" x14ac:dyDescent="0.25">
      <c r="B6" s="14" t="s">
        <v>2</v>
      </c>
      <c r="C6" s="25"/>
      <c r="D6" s="25"/>
      <c r="E6" s="14"/>
      <c r="F6" s="24"/>
      <c r="G6" s="14"/>
    </row>
    <row r="7" spans="1:7" x14ac:dyDescent="0.25">
      <c r="B7" s="14" t="s">
        <v>3</v>
      </c>
      <c r="C7" s="25"/>
      <c r="D7" s="25"/>
      <c r="E7" s="14"/>
      <c r="F7" s="24"/>
      <c r="G7" s="14"/>
    </row>
    <row r="8" spans="1:7" x14ac:dyDescent="0.25">
      <c r="B8" s="14" t="s">
        <v>4</v>
      </c>
      <c r="C8" s="25"/>
      <c r="D8" s="25"/>
      <c r="E8" s="14"/>
      <c r="F8" s="24"/>
      <c r="G8" s="14"/>
    </row>
    <row r="9" spans="1:7" x14ac:dyDescent="0.25">
      <c r="B9" s="14" t="s">
        <v>5</v>
      </c>
      <c r="C9" s="25">
        <v>0.54166666666666663</v>
      </c>
      <c r="D9" s="25">
        <v>0.625</v>
      </c>
      <c r="E9" s="14">
        <v>2</v>
      </c>
      <c r="F9" s="24"/>
      <c r="G9" s="14"/>
    </row>
    <row r="10" spans="1:7" x14ac:dyDescent="0.25">
      <c r="B10" s="14" t="s">
        <v>6</v>
      </c>
      <c r="C10" s="25">
        <v>0.54166666666666663</v>
      </c>
      <c r="D10" s="25">
        <v>0.625</v>
      </c>
      <c r="E10" s="14">
        <v>2</v>
      </c>
      <c r="F10" s="24"/>
      <c r="G10" s="14"/>
    </row>
    <row r="11" spans="1:7" x14ac:dyDescent="0.25">
      <c r="B11" s="14" t="s">
        <v>7</v>
      </c>
      <c r="C11" s="25"/>
      <c r="D11" s="25"/>
      <c r="E11" s="14"/>
      <c r="F11" s="24"/>
      <c r="G11" s="14"/>
    </row>
    <row r="12" spans="1:7" x14ac:dyDescent="0.25">
      <c r="B12" s="14" t="s">
        <v>8</v>
      </c>
      <c r="C12" s="25"/>
      <c r="D12" s="25"/>
      <c r="E12" s="14"/>
      <c r="F12" s="24"/>
      <c r="G12" s="14"/>
    </row>
    <row r="16" spans="1:7" x14ac:dyDescent="0.25">
      <c r="B16" s="13" t="s">
        <v>15</v>
      </c>
      <c r="C16" s="13" t="s">
        <v>11</v>
      </c>
      <c r="D16" s="13" t="s">
        <v>12</v>
      </c>
      <c r="E16" s="13" t="s">
        <v>13</v>
      </c>
      <c r="F16" s="13" t="s">
        <v>14</v>
      </c>
      <c r="G16" s="13" t="s">
        <v>0</v>
      </c>
    </row>
    <row r="17" spans="1:19" x14ac:dyDescent="0.25">
      <c r="B17" s="14" t="s">
        <v>2</v>
      </c>
      <c r="C17" s="25"/>
      <c r="D17" s="25"/>
      <c r="E17" s="14"/>
      <c r="F17" s="24"/>
      <c r="G17" s="14"/>
    </row>
    <row r="18" spans="1:19" x14ac:dyDescent="0.25">
      <c r="B18" s="14" t="s">
        <v>3</v>
      </c>
      <c r="C18" s="25"/>
      <c r="D18" s="25"/>
      <c r="E18" s="14"/>
      <c r="F18" s="24"/>
      <c r="G18" s="14"/>
    </row>
    <row r="19" spans="1:19" x14ac:dyDescent="0.25">
      <c r="B19" s="14" t="s">
        <v>4</v>
      </c>
      <c r="C19" s="25"/>
      <c r="D19" s="14"/>
      <c r="E19" s="14">
        <v>3</v>
      </c>
      <c r="F19" s="24"/>
      <c r="G19" s="14"/>
    </row>
    <row r="20" spans="1:19" x14ac:dyDescent="0.25">
      <c r="B20" s="14" t="s">
        <v>5</v>
      </c>
      <c r="C20" s="26">
        <v>0.39583333333333331</v>
      </c>
      <c r="D20" s="26">
        <v>0.45833333333333331</v>
      </c>
      <c r="E20" s="15">
        <v>1.5</v>
      </c>
      <c r="F20" s="24"/>
      <c r="G20" s="14"/>
    </row>
    <row r="21" spans="1:19" x14ac:dyDescent="0.25">
      <c r="B21" s="14"/>
      <c r="C21" s="25">
        <v>0.54166666666666663</v>
      </c>
      <c r="D21" s="25">
        <v>0.625</v>
      </c>
      <c r="E21" s="14">
        <v>2</v>
      </c>
      <c r="F21" s="24"/>
      <c r="G21" s="14"/>
    </row>
    <row r="22" spans="1:19" x14ac:dyDescent="0.25">
      <c r="B22" s="14" t="s">
        <v>6</v>
      </c>
      <c r="C22" s="14"/>
      <c r="D22" s="14"/>
      <c r="E22" s="14"/>
      <c r="F22" s="24"/>
      <c r="G22" s="14"/>
    </row>
    <row r="23" spans="1:19" x14ac:dyDescent="0.25">
      <c r="B23" s="14" t="s">
        <v>7</v>
      </c>
      <c r="C23" s="14"/>
      <c r="D23" s="14"/>
      <c r="E23" s="14"/>
      <c r="F23" s="24"/>
      <c r="G23" s="14"/>
    </row>
    <row r="24" spans="1:19" x14ac:dyDescent="0.25">
      <c r="B24" s="14" t="s">
        <v>8</v>
      </c>
      <c r="C24" s="25"/>
      <c r="D24" s="25"/>
      <c r="E24" s="14"/>
      <c r="F24" s="24"/>
      <c r="G24" s="14"/>
    </row>
    <row r="25" spans="1:19" x14ac:dyDescent="0.25">
      <c r="E25" s="15">
        <f>SUM(E9:E10,E19:E21)</f>
        <v>10.5</v>
      </c>
    </row>
    <row r="27" spans="1:19" ht="28.5" customHeight="1" x14ac:dyDescent="0.45">
      <c r="A27" s="580" t="s">
        <v>226</v>
      </c>
      <c r="B27" s="580"/>
      <c r="C27" s="580"/>
      <c r="D27" s="580"/>
      <c r="E27" s="580"/>
      <c r="F27" s="580"/>
      <c r="G27" s="580"/>
      <c r="H27" s="580"/>
      <c r="I27" s="580"/>
      <c r="J27" s="418"/>
      <c r="K27" s="418"/>
      <c r="L27" s="418"/>
      <c r="M27" s="418"/>
      <c r="N27" s="418"/>
      <c r="O27" s="418"/>
      <c r="P27" s="418"/>
      <c r="Q27" s="418"/>
      <c r="R27" s="418"/>
      <c r="S27" s="418"/>
    </row>
    <row r="28" spans="1:19" x14ac:dyDescent="0.25">
      <c r="A28" s="57"/>
      <c r="B28" s="57"/>
      <c r="C28" s="57"/>
      <c r="D28" s="57"/>
      <c r="E28" s="57"/>
      <c r="F28" s="57"/>
      <c r="G28" s="57"/>
      <c r="H28" s="57"/>
      <c r="I28" s="57"/>
    </row>
    <row r="29" spans="1:19" x14ac:dyDescent="0.25">
      <c r="B29" s="581" t="s">
        <v>166</v>
      </c>
      <c r="C29" s="581"/>
      <c r="D29" s="581"/>
      <c r="E29" s="581"/>
      <c r="F29" s="581"/>
      <c r="G29" s="581"/>
      <c r="H29" s="581"/>
      <c r="I29" s="57"/>
      <c r="J29" s="582"/>
      <c r="K29" s="582"/>
      <c r="L29" s="582"/>
      <c r="M29" s="582"/>
      <c r="N29" s="582"/>
      <c r="O29" s="582"/>
      <c r="P29" s="582"/>
      <c r="Q29" s="582"/>
    </row>
    <row r="30" spans="1:19" x14ac:dyDescent="0.25">
      <c r="B30" s="581"/>
      <c r="C30" s="581"/>
      <c r="D30" s="581"/>
      <c r="E30" s="581"/>
      <c r="F30" s="581"/>
      <c r="G30" s="581"/>
      <c r="H30" s="581"/>
      <c r="I30" s="57"/>
      <c r="J30" s="582"/>
      <c r="K30" s="582"/>
      <c r="L30" s="582"/>
      <c r="M30" s="582"/>
      <c r="N30" s="582"/>
      <c r="O30" s="582"/>
      <c r="P30" s="582"/>
      <c r="Q30" s="582"/>
    </row>
    <row r="31" spans="1:19" x14ac:dyDescent="0.25">
      <c r="B31" s="581"/>
      <c r="C31" s="581"/>
      <c r="D31" s="581"/>
      <c r="E31" s="581"/>
      <c r="F31" s="581"/>
      <c r="G31" s="581"/>
      <c r="H31" s="581"/>
      <c r="I31" s="57"/>
      <c r="J31" s="582"/>
      <c r="K31" s="582"/>
      <c r="L31" s="582"/>
      <c r="M31" s="582"/>
      <c r="N31" s="582"/>
      <c r="O31" s="582"/>
      <c r="P31" s="582"/>
      <c r="Q31" s="582"/>
    </row>
    <row r="32" spans="1:19" x14ac:dyDescent="0.25">
      <c r="I32" s="57"/>
    </row>
    <row r="33" spans="1:17" x14ac:dyDescent="0.25">
      <c r="I33" s="57"/>
    </row>
    <row r="34" spans="1:17" x14ac:dyDescent="0.25">
      <c r="B34" s="13" t="s">
        <v>42</v>
      </c>
      <c r="C34" s="13" t="s">
        <v>11</v>
      </c>
      <c r="D34" s="13" t="s">
        <v>12</v>
      </c>
      <c r="E34" s="13" t="s">
        <v>13</v>
      </c>
      <c r="F34" s="32" t="s">
        <v>150</v>
      </c>
      <c r="G34" s="13" t="s">
        <v>0</v>
      </c>
      <c r="H34" s="13" t="s">
        <v>43</v>
      </c>
      <c r="I34" s="57"/>
      <c r="L34" s="20"/>
      <c r="M34" s="20"/>
      <c r="N34" s="20"/>
      <c r="O34" s="20"/>
      <c r="P34" s="20"/>
    </row>
    <row r="35" spans="1:17" x14ac:dyDescent="0.25">
      <c r="A35" s="32">
        <v>12</v>
      </c>
      <c r="B35" s="14" t="s">
        <v>2</v>
      </c>
      <c r="I35" s="57"/>
      <c r="L35" s="21"/>
      <c r="M35" s="49"/>
      <c r="N35" s="49"/>
      <c r="O35" s="21"/>
    </row>
    <row r="36" spans="1:17" ht="45" x14ac:dyDescent="0.25">
      <c r="A36" s="32">
        <v>13</v>
      </c>
      <c r="B36" s="14" t="s">
        <v>3</v>
      </c>
      <c r="C36" s="26">
        <v>0.375</v>
      </c>
      <c r="D36" s="26">
        <v>0.5</v>
      </c>
      <c r="E36" s="15">
        <v>3</v>
      </c>
      <c r="G36" s="15" t="s">
        <v>16</v>
      </c>
      <c r="I36" s="57"/>
      <c r="L36" s="21"/>
      <c r="M36" s="419"/>
      <c r="N36" s="420"/>
      <c r="O36" s="141"/>
      <c r="Q36" s="421"/>
    </row>
    <row r="37" spans="1:17" x14ac:dyDescent="0.25">
      <c r="A37" s="32">
        <v>14</v>
      </c>
      <c r="B37" s="14" t="s">
        <v>4</v>
      </c>
      <c r="I37" s="57"/>
      <c r="L37" s="21"/>
      <c r="M37" s="51"/>
      <c r="N37" s="51"/>
      <c r="O37" s="21"/>
      <c r="Q37" s="421"/>
    </row>
    <row r="38" spans="1:17" x14ac:dyDescent="0.25">
      <c r="A38" s="32">
        <v>15</v>
      </c>
      <c r="B38" s="14" t="s">
        <v>5</v>
      </c>
      <c r="C38" s="25">
        <v>0.54166666666666663</v>
      </c>
      <c r="D38" s="25">
        <v>0.625</v>
      </c>
      <c r="E38" s="15">
        <v>2</v>
      </c>
      <c r="G38" s="15" t="s">
        <v>17</v>
      </c>
      <c r="I38" s="57"/>
      <c r="L38" s="21"/>
      <c r="M38" s="420"/>
      <c r="N38" s="420"/>
      <c r="O38" s="141"/>
      <c r="Q38" s="421"/>
    </row>
    <row r="39" spans="1:17" ht="30" x14ac:dyDescent="0.25">
      <c r="A39" s="32">
        <v>16</v>
      </c>
      <c r="B39" s="14" t="s">
        <v>6</v>
      </c>
      <c r="C39" s="26">
        <v>0.375</v>
      </c>
      <c r="D39" s="26">
        <v>0.5</v>
      </c>
      <c r="E39" s="15">
        <v>3</v>
      </c>
      <c r="G39" s="15" t="s">
        <v>18</v>
      </c>
      <c r="I39" s="57"/>
      <c r="L39" s="21"/>
      <c r="M39" s="419"/>
      <c r="N39" s="420"/>
      <c r="O39" s="141"/>
      <c r="Q39" s="421"/>
    </row>
    <row r="40" spans="1:17" x14ac:dyDescent="0.25">
      <c r="A40" s="32">
        <v>17</v>
      </c>
      <c r="B40" s="14" t="s">
        <v>7</v>
      </c>
      <c r="I40" s="57"/>
      <c r="L40" s="21"/>
      <c r="M40" s="21"/>
      <c r="N40" s="21"/>
      <c r="O40" s="21"/>
    </row>
    <row r="41" spans="1:17" x14ac:dyDescent="0.25">
      <c r="A41" s="32">
        <v>18</v>
      </c>
      <c r="B41" s="14" t="s">
        <v>8</v>
      </c>
      <c r="I41" s="57"/>
      <c r="L41" s="21"/>
      <c r="M41" s="49"/>
      <c r="N41" s="49"/>
      <c r="O41" s="21"/>
    </row>
    <row r="42" spans="1:17" ht="30" x14ac:dyDescent="0.25">
      <c r="B42" s="13" t="s">
        <v>26</v>
      </c>
      <c r="C42" s="32"/>
      <c r="D42" s="32"/>
      <c r="E42" s="32">
        <f>SUM(E35:E41)</f>
        <v>8</v>
      </c>
      <c r="F42" s="115" t="s">
        <v>393</v>
      </c>
      <c r="G42" s="145" t="s">
        <v>397</v>
      </c>
      <c r="I42" s="57"/>
      <c r="L42" s="21"/>
      <c r="M42" s="49"/>
      <c r="N42" s="49"/>
      <c r="O42" s="21"/>
    </row>
    <row r="43" spans="1:17" x14ac:dyDescent="0.25">
      <c r="A43" s="144" t="s">
        <v>230</v>
      </c>
      <c r="B43" s="35" t="s">
        <v>227</v>
      </c>
      <c r="C43" s="17"/>
      <c r="D43" s="17"/>
      <c r="E43" s="17">
        <f>SUM(E35:E39)</f>
        <v>8</v>
      </c>
      <c r="F43" s="115">
        <f>SUM(1*[2]Angelica_hist!G3)</f>
        <v>5</v>
      </c>
      <c r="G43" s="308">
        <f>SUM(E43-F43)</f>
        <v>3</v>
      </c>
      <c r="H43" s="43"/>
      <c r="I43" s="57"/>
      <c r="L43" s="20"/>
      <c r="M43" s="53"/>
      <c r="N43" s="53"/>
      <c r="O43" s="53"/>
    </row>
    <row r="44" spans="1:17" x14ac:dyDescent="0.25">
      <c r="A44" s="32"/>
      <c r="I44" s="57"/>
    </row>
    <row r="45" spans="1:17" x14ac:dyDescent="0.25">
      <c r="A45" s="32"/>
      <c r="I45" s="57"/>
    </row>
    <row r="46" spans="1:17" x14ac:dyDescent="0.25">
      <c r="A46" s="32"/>
      <c r="B46" s="13" t="s">
        <v>46</v>
      </c>
      <c r="C46" s="13" t="s">
        <v>11</v>
      </c>
      <c r="D46" s="13" t="s">
        <v>12</v>
      </c>
      <c r="E46" s="13" t="s">
        <v>13</v>
      </c>
      <c r="F46" s="32" t="s">
        <v>150</v>
      </c>
      <c r="G46" s="13" t="s">
        <v>0</v>
      </c>
      <c r="H46" s="13" t="s">
        <v>43</v>
      </c>
      <c r="I46" s="57"/>
      <c r="L46" s="20"/>
      <c r="M46" s="20"/>
      <c r="N46" s="20"/>
      <c r="O46" s="20"/>
    </row>
    <row r="47" spans="1:17" x14ac:dyDescent="0.25">
      <c r="A47" s="32">
        <v>19</v>
      </c>
      <c r="B47" s="14" t="s">
        <v>2</v>
      </c>
      <c r="I47" s="57"/>
      <c r="L47" s="21"/>
      <c r="M47" s="49"/>
      <c r="N47" s="49"/>
      <c r="O47" s="21"/>
    </row>
    <row r="48" spans="1:17" x14ac:dyDescent="0.25">
      <c r="A48" s="32">
        <v>20</v>
      </c>
      <c r="B48" s="14" t="s">
        <v>3</v>
      </c>
      <c r="I48" s="57"/>
      <c r="L48" s="21"/>
      <c r="M48" s="48"/>
      <c r="N48" s="49"/>
      <c r="O48" s="21"/>
    </row>
    <row r="49" spans="1:17" x14ac:dyDescent="0.25">
      <c r="A49" s="32">
        <v>21</v>
      </c>
      <c r="B49" s="14" t="s">
        <v>4</v>
      </c>
      <c r="I49" s="57"/>
      <c r="L49" s="21"/>
      <c r="M49" s="51"/>
      <c r="N49" s="51"/>
      <c r="O49" s="21"/>
    </row>
    <row r="50" spans="1:17" x14ac:dyDescent="0.25">
      <c r="A50" s="32">
        <v>22</v>
      </c>
      <c r="B50" s="14" t="s">
        <v>5</v>
      </c>
      <c r="C50" s="25">
        <v>0.54166666666666663</v>
      </c>
      <c r="D50" s="25">
        <v>0.625</v>
      </c>
      <c r="E50" s="15">
        <v>2</v>
      </c>
      <c r="G50" s="15" t="s">
        <v>17</v>
      </c>
      <c r="I50" s="57"/>
      <c r="L50" s="21"/>
      <c r="M50" s="49"/>
      <c r="N50" s="49"/>
      <c r="O50" s="21"/>
    </row>
    <row r="51" spans="1:17" ht="30" x14ac:dyDescent="0.25">
      <c r="A51" s="32">
        <v>23</v>
      </c>
      <c r="B51" s="14" t="s">
        <v>6</v>
      </c>
      <c r="C51" s="26">
        <v>0.375</v>
      </c>
      <c r="D51" s="26">
        <v>0.45833333333333331</v>
      </c>
      <c r="E51" s="15">
        <v>2</v>
      </c>
      <c r="G51" s="15" t="s">
        <v>19</v>
      </c>
      <c r="I51" s="58"/>
      <c r="L51" s="21"/>
      <c r="M51" s="139"/>
      <c r="N51" s="139"/>
      <c r="O51" s="141"/>
      <c r="Q51" s="421"/>
    </row>
    <row r="52" spans="1:17" x14ac:dyDescent="0.25">
      <c r="A52" s="32">
        <v>24</v>
      </c>
      <c r="B52" s="14" t="s">
        <v>7</v>
      </c>
      <c r="I52" s="57"/>
      <c r="L52" s="21"/>
      <c r="M52" s="21"/>
      <c r="N52" s="21"/>
      <c r="O52" s="21"/>
    </row>
    <row r="53" spans="1:17" x14ac:dyDescent="0.25">
      <c r="A53" s="32">
        <v>25</v>
      </c>
      <c r="B53" s="14" t="s">
        <v>8</v>
      </c>
      <c r="I53" s="59" t="s">
        <v>23</v>
      </c>
      <c r="L53" s="21"/>
      <c r="M53" s="49"/>
      <c r="N53" s="49"/>
      <c r="O53" s="21"/>
    </row>
    <row r="54" spans="1:17" x14ac:dyDescent="0.25">
      <c r="A54" s="32"/>
      <c r="B54" s="13" t="s">
        <v>26</v>
      </c>
      <c r="C54" s="32"/>
      <c r="D54" s="32"/>
      <c r="E54" s="32">
        <f>SUM(E46:E53)</f>
        <v>4</v>
      </c>
      <c r="I54" s="59"/>
      <c r="L54" s="20"/>
      <c r="M54" s="53"/>
      <c r="N54" s="53"/>
      <c r="O54" s="53"/>
    </row>
    <row r="55" spans="1:17" x14ac:dyDescent="0.25">
      <c r="A55" s="32"/>
      <c r="B55" s="14"/>
      <c r="I55" s="59"/>
      <c r="L55" s="21"/>
      <c r="M55" s="49"/>
      <c r="N55" s="49"/>
      <c r="O55" s="21"/>
    </row>
    <row r="56" spans="1:17" x14ac:dyDescent="0.25">
      <c r="A56" s="32"/>
      <c r="B56" s="13" t="s">
        <v>10</v>
      </c>
      <c r="C56" s="13" t="s">
        <v>11</v>
      </c>
      <c r="D56" s="13" t="s">
        <v>12</v>
      </c>
      <c r="E56" s="13" t="s">
        <v>13</v>
      </c>
      <c r="F56" s="13" t="s">
        <v>14</v>
      </c>
      <c r="G56" s="13" t="s">
        <v>0</v>
      </c>
      <c r="I56" s="57"/>
      <c r="L56" s="20"/>
      <c r="M56" s="20"/>
      <c r="N56" s="20"/>
      <c r="O56" s="20"/>
      <c r="P56" s="20"/>
      <c r="Q56" s="20"/>
    </row>
    <row r="57" spans="1:17" x14ac:dyDescent="0.25">
      <c r="A57" s="32">
        <v>26</v>
      </c>
      <c r="B57" s="14" t="s">
        <v>2</v>
      </c>
      <c r="C57" s="26">
        <v>0.375</v>
      </c>
      <c r="D57" s="26">
        <v>0.41666666666666669</v>
      </c>
      <c r="E57" s="15">
        <v>1</v>
      </c>
      <c r="G57" s="15" t="s">
        <v>20</v>
      </c>
      <c r="I57" s="57"/>
      <c r="L57" s="21"/>
      <c r="M57" s="420"/>
      <c r="N57" s="420"/>
      <c r="O57" s="141"/>
      <c r="P57" s="135"/>
      <c r="Q57" s="141"/>
    </row>
    <row r="58" spans="1:17" x14ac:dyDescent="0.25">
      <c r="A58" s="32">
        <v>27</v>
      </c>
      <c r="B58" s="14" t="s">
        <v>3</v>
      </c>
      <c r="I58" s="57"/>
      <c r="L58" s="21"/>
      <c r="M58" s="48"/>
      <c r="N58" s="49"/>
      <c r="O58" s="21"/>
      <c r="P58" s="23"/>
      <c r="Q58" s="21"/>
    </row>
    <row r="59" spans="1:17" x14ac:dyDescent="0.25">
      <c r="A59" s="32">
        <v>28</v>
      </c>
      <c r="B59" s="14" t="s">
        <v>21</v>
      </c>
      <c r="I59" s="57"/>
      <c r="L59" s="21"/>
      <c r="M59" s="51"/>
      <c r="N59" s="51"/>
      <c r="O59" s="21"/>
      <c r="P59" s="23"/>
      <c r="Q59" s="21"/>
    </row>
    <row r="60" spans="1:17" x14ac:dyDescent="0.25">
      <c r="A60" s="32">
        <v>29</v>
      </c>
      <c r="B60" s="14" t="s">
        <v>5</v>
      </c>
      <c r="C60" s="25">
        <v>0.54166666666666663</v>
      </c>
      <c r="D60" s="25">
        <v>0.625</v>
      </c>
      <c r="E60" s="15">
        <v>2</v>
      </c>
      <c r="G60" s="15" t="s">
        <v>17</v>
      </c>
      <c r="I60" s="57"/>
      <c r="L60" s="21"/>
      <c r="M60" s="49"/>
      <c r="N60" s="49"/>
      <c r="O60" s="21"/>
      <c r="P60" s="23"/>
      <c r="Q60" s="21"/>
    </row>
    <row r="61" spans="1:17" x14ac:dyDescent="0.25">
      <c r="A61" s="32">
        <v>30</v>
      </c>
      <c r="B61" s="14" t="s">
        <v>6</v>
      </c>
      <c r="C61" s="26">
        <v>0.375</v>
      </c>
      <c r="D61" s="26">
        <v>0.45833333333333331</v>
      </c>
      <c r="E61" s="15">
        <v>2</v>
      </c>
      <c r="G61" s="15" t="s">
        <v>22</v>
      </c>
      <c r="I61" s="57"/>
      <c r="L61" s="21"/>
      <c r="M61" s="49"/>
      <c r="N61" s="49"/>
      <c r="O61" s="21"/>
      <c r="P61" s="23"/>
      <c r="Q61" s="21"/>
    </row>
    <row r="62" spans="1:17" x14ac:dyDescent="0.25">
      <c r="A62" s="32">
        <v>31</v>
      </c>
      <c r="B62" s="14" t="s">
        <v>7</v>
      </c>
      <c r="I62" s="57"/>
      <c r="L62" s="21"/>
      <c r="M62" s="139"/>
      <c r="N62" s="139"/>
      <c r="O62" s="141"/>
      <c r="P62" s="422"/>
      <c r="Q62" s="141"/>
    </row>
    <row r="63" spans="1:17" x14ac:dyDescent="0.25">
      <c r="A63" s="32">
        <v>1</v>
      </c>
      <c r="B63" s="14" t="s">
        <v>8</v>
      </c>
      <c r="I63" s="57"/>
      <c r="L63" s="21"/>
      <c r="M63" s="21"/>
      <c r="N63" s="21"/>
      <c r="O63" s="21"/>
      <c r="P63" s="23"/>
      <c r="Q63" s="21"/>
    </row>
    <row r="64" spans="1:17" ht="30" x14ac:dyDescent="0.25">
      <c r="B64" s="13" t="s">
        <v>26</v>
      </c>
      <c r="C64" s="32"/>
      <c r="D64" s="32"/>
      <c r="E64" s="32">
        <f>SUM(E57:E63)</f>
        <v>5</v>
      </c>
      <c r="F64" s="115" t="s">
        <v>393</v>
      </c>
      <c r="G64" s="145" t="s">
        <v>397</v>
      </c>
      <c r="I64" s="57"/>
      <c r="J64" s="53"/>
      <c r="L64" s="21"/>
      <c r="M64" s="49"/>
      <c r="N64" s="49"/>
      <c r="O64" s="21"/>
      <c r="P64" s="23"/>
      <c r="Q64" s="21"/>
    </row>
    <row r="65" spans="1:19" x14ac:dyDescent="0.25">
      <c r="A65" s="144" t="s">
        <v>394</v>
      </c>
      <c r="B65" s="35" t="s">
        <v>227</v>
      </c>
      <c r="C65" s="17"/>
      <c r="D65" s="17"/>
      <c r="E65" s="17">
        <f>SUM(E64,E54)</f>
        <v>9</v>
      </c>
      <c r="F65" s="115">
        <f>SUM(1*[2]Angelica_hist!G9)</f>
        <v>5</v>
      </c>
      <c r="G65" s="308">
        <f>SUM(E65+G43)-F65</f>
        <v>7</v>
      </c>
      <c r="H65" s="43"/>
      <c r="I65" s="57"/>
      <c r="L65" s="20"/>
      <c r="M65" s="53"/>
      <c r="N65" s="53"/>
      <c r="O65" s="53"/>
      <c r="S65" s="421"/>
    </row>
    <row r="66" spans="1:19" x14ac:dyDescent="0.25">
      <c r="I66" s="57"/>
    </row>
    <row r="67" spans="1:19" x14ac:dyDescent="0.25">
      <c r="A67" s="124"/>
      <c r="B67" s="120" t="s">
        <v>29</v>
      </c>
      <c r="C67" s="120" t="s">
        <v>11</v>
      </c>
      <c r="D67" s="120" t="s">
        <v>12</v>
      </c>
      <c r="E67" s="120" t="s">
        <v>13</v>
      </c>
      <c r="F67" s="120" t="s">
        <v>14</v>
      </c>
      <c r="G67" s="120" t="s">
        <v>0</v>
      </c>
      <c r="H67" s="583" t="s">
        <v>477</v>
      </c>
      <c r="I67" s="57"/>
    </row>
    <row r="68" spans="1:19" x14ac:dyDescent="0.25">
      <c r="A68" s="127">
        <v>2</v>
      </c>
      <c r="B68" s="121" t="s">
        <v>2</v>
      </c>
      <c r="C68" s="122"/>
      <c r="D68" s="122"/>
      <c r="E68" s="121"/>
      <c r="F68" s="123"/>
      <c r="G68" s="121"/>
      <c r="H68" s="583"/>
      <c r="I68" s="57"/>
    </row>
    <row r="69" spans="1:19" x14ac:dyDescent="0.25">
      <c r="A69" s="127">
        <v>3</v>
      </c>
      <c r="B69" s="124" t="s">
        <v>228</v>
      </c>
      <c r="C69" s="124"/>
      <c r="D69" s="124"/>
      <c r="E69" s="124"/>
      <c r="F69" s="124"/>
      <c r="G69" s="124"/>
      <c r="H69" s="583"/>
      <c r="I69" s="57"/>
    </row>
    <row r="70" spans="1:19" x14ac:dyDescent="0.25">
      <c r="A70" s="127">
        <v>4</v>
      </c>
      <c r="B70" s="121" t="s">
        <v>4</v>
      </c>
      <c r="C70" s="125"/>
      <c r="D70" s="125"/>
      <c r="E70" s="121"/>
      <c r="F70" s="123"/>
      <c r="G70" s="121"/>
      <c r="H70" s="583"/>
      <c r="I70" s="57"/>
    </row>
    <row r="71" spans="1:19" x14ac:dyDescent="0.25">
      <c r="A71" s="127">
        <v>5</v>
      </c>
      <c r="B71" s="121" t="s">
        <v>5</v>
      </c>
      <c r="C71" s="122">
        <v>0.54166666666666663</v>
      </c>
      <c r="D71" s="122">
        <v>0.125</v>
      </c>
      <c r="E71" s="121">
        <v>2</v>
      </c>
      <c r="F71" s="123"/>
      <c r="G71" s="121" t="s">
        <v>24</v>
      </c>
      <c r="H71" s="583"/>
      <c r="I71" s="57"/>
    </row>
    <row r="72" spans="1:19" x14ac:dyDescent="0.25">
      <c r="A72" s="127">
        <v>6</v>
      </c>
      <c r="B72" s="121"/>
      <c r="C72" s="122">
        <v>0.625</v>
      </c>
      <c r="D72" s="122">
        <v>0.70833333333333337</v>
      </c>
      <c r="E72" s="121">
        <v>2</v>
      </c>
      <c r="F72" s="123"/>
      <c r="G72" s="121" t="s">
        <v>25</v>
      </c>
      <c r="H72" s="583"/>
      <c r="I72" s="57"/>
    </row>
    <row r="73" spans="1:19" x14ac:dyDescent="0.25">
      <c r="A73" s="127">
        <v>7</v>
      </c>
      <c r="B73" s="121" t="s">
        <v>6</v>
      </c>
      <c r="C73" s="126"/>
      <c r="D73" s="126"/>
      <c r="E73" s="121"/>
      <c r="F73" s="123"/>
      <c r="G73" s="121"/>
      <c r="H73" s="583"/>
      <c r="I73" s="57"/>
    </row>
    <row r="74" spans="1:19" x14ac:dyDescent="0.25">
      <c r="A74" s="127">
        <v>8</v>
      </c>
      <c r="B74" s="121" t="s">
        <v>7</v>
      </c>
      <c r="C74" s="121"/>
      <c r="D74" s="121"/>
      <c r="E74" s="121"/>
      <c r="F74" s="123"/>
      <c r="G74" s="121"/>
      <c r="H74" s="583"/>
      <c r="I74" s="57"/>
    </row>
    <row r="75" spans="1:19" x14ac:dyDescent="0.25">
      <c r="A75" s="127">
        <v>9</v>
      </c>
      <c r="B75" s="121" t="s">
        <v>8</v>
      </c>
      <c r="C75" s="122"/>
      <c r="D75" s="122"/>
      <c r="E75" s="121"/>
      <c r="F75" s="123"/>
      <c r="G75" s="121"/>
      <c r="H75" s="583"/>
      <c r="I75" s="57"/>
    </row>
    <row r="76" spans="1:19" x14ac:dyDescent="0.25">
      <c r="A76" s="124"/>
      <c r="B76" s="120" t="s">
        <v>26</v>
      </c>
      <c r="C76" s="127"/>
      <c r="D76" s="127"/>
      <c r="E76" s="127">
        <f>SUM(E68:E75)</f>
        <v>4</v>
      </c>
      <c r="F76" s="124"/>
      <c r="G76" s="124"/>
      <c r="H76" s="583"/>
      <c r="I76" s="57"/>
    </row>
    <row r="77" spans="1:19" x14ac:dyDescent="0.25">
      <c r="I77" s="57"/>
    </row>
    <row r="78" spans="1:19" x14ac:dyDescent="0.25">
      <c r="I78" s="57"/>
    </row>
    <row r="79" spans="1:19" x14ac:dyDescent="0.25">
      <c r="I79" s="57"/>
    </row>
    <row r="80" spans="1:19" x14ac:dyDescent="0.25">
      <c r="B80" s="13" t="s">
        <v>29</v>
      </c>
      <c r="C80" s="13" t="s">
        <v>11</v>
      </c>
      <c r="D80" s="13" t="s">
        <v>12</v>
      </c>
      <c r="E80" s="13" t="s">
        <v>13</v>
      </c>
      <c r="F80" s="13" t="s">
        <v>14</v>
      </c>
      <c r="G80" s="13" t="s">
        <v>0</v>
      </c>
      <c r="I80" s="57"/>
      <c r="L80" s="20"/>
      <c r="M80" s="20"/>
      <c r="N80" s="20"/>
      <c r="O80" s="20"/>
      <c r="P80" s="20"/>
      <c r="Q80" s="20"/>
    </row>
    <row r="81" spans="1:17" x14ac:dyDescent="0.25">
      <c r="B81" s="14" t="s">
        <v>2</v>
      </c>
      <c r="C81" s="25"/>
      <c r="D81" s="25"/>
      <c r="E81" s="14"/>
      <c r="F81" s="24"/>
      <c r="G81" s="14" t="s">
        <v>30</v>
      </c>
      <c r="I81" s="57"/>
      <c r="L81" s="21"/>
      <c r="M81" s="49"/>
      <c r="N81" s="49"/>
      <c r="O81" s="21"/>
      <c r="P81" s="23"/>
      <c r="Q81" s="21"/>
    </row>
    <row r="82" spans="1:17" x14ac:dyDescent="0.25">
      <c r="B82" s="14" t="s">
        <v>3</v>
      </c>
      <c r="C82" s="33"/>
      <c r="D82" s="25"/>
      <c r="E82" s="14"/>
      <c r="F82" s="24"/>
      <c r="G82" s="14"/>
      <c r="I82" s="57"/>
      <c r="L82" s="21"/>
      <c r="M82" s="48"/>
      <c r="N82" s="49"/>
      <c r="O82" s="21"/>
      <c r="P82" s="23"/>
      <c r="Q82" s="21"/>
    </row>
    <row r="83" spans="1:17" x14ac:dyDescent="0.25">
      <c r="B83" s="14" t="s">
        <v>4</v>
      </c>
      <c r="C83" s="26"/>
      <c r="D83" s="26"/>
      <c r="E83" s="14"/>
      <c r="F83" s="24"/>
      <c r="G83" s="14"/>
      <c r="I83" s="57"/>
      <c r="L83" s="21"/>
      <c r="M83" s="51"/>
      <c r="N83" s="51"/>
      <c r="O83" s="21"/>
      <c r="P83" s="23"/>
      <c r="Q83" s="21"/>
    </row>
    <row r="84" spans="1:17" x14ac:dyDescent="0.25">
      <c r="B84" s="14" t="s">
        <v>5</v>
      </c>
      <c r="C84" s="42">
        <v>0.5</v>
      </c>
      <c r="D84" s="42">
        <v>0.54166666666666663</v>
      </c>
      <c r="E84" s="14">
        <v>1</v>
      </c>
      <c r="F84" s="24"/>
      <c r="G84" s="14" t="s">
        <v>31</v>
      </c>
      <c r="I84" s="57"/>
      <c r="L84" s="21"/>
      <c r="M84" s="52"/>
      <c r="N84" s="52"/>
      <c r="O84" s="21"/>
      <c r="P84" s="23"/>
      <c r="Q84" s="21"/>
    </row>
    <row r="85" spans="1:17" x14ac:dyDescent="0.25">
      <c r="B85" s="14"/>
      <c r="C85" s="25">
        <v>0.54166666666666663</v>
      </c>
      <c r="D85" s="25">
        <v>0.125</v>
      </c>
      <c r="E85" s="14">
        <v>2</v>
      </c>
      <c r="F85" s="24"/>
      <c r="G85" s="14" t="s">
        <v>24</v>
      </c>
      <c r="I85" s="57"/>
      <c r="L85" s="21"/>
      <c r="M85" s="49"/>
      <c r="N85" s="49"/>
      <c r="O85" s="21"/>
      <c r="P85" s="23"/>
      <c r="Q85" s="21"/>
    </row>
    <row r="86" spans="1:17" x14ac:dyDescent="0.25">
      <c r="B86" s="14"/>
      <c r="C86" s="25">
        <v>0.75</v>
      </c>
      <c r="D86" s="25">
        <v>0.83333333333333337</v>
      </c>
      <c r="E86" s="14">
        <v>2</v>
      </c>
      <c r="F86" s="24"/>
      <c r="G86" s="14" t="s">
        <v>32</v>
      </c>
      <c r="I86" s="57"/>
      <c r="L86" s="21"/>
      <c r="M86" s="49"/>
      <c r="N86" s="49"/>
      <c r="O86" s="21"/>
      <c r="P86" s="23"/>
      <c r="Q86" s="21"/>
    </row>
    <row r="87" spans="1:17" x14ac:dyDescent="0.25">
      <c r="B87" s="14" t="s">
        <v>6</v>
      </c>
      <c r="C87" s="42">
        <v>0.70833333333333337</v>
      </c>
      <c r="D87" s="42">
        <v>0.75</v>
      </c>
      <c r="E87" s="14">
        <v>1</v>
      </c>
      <c r="F87" s="24"/>
      <c r="G87" s="14" t="s">
        <v>33</v>
      </c>
      <c r="I87" s="57"/>
      <c r="L87" s="21"/>
      <c r="M87" s="52"/>
      <c r="N87" s="52"/>
      <c r="O87" s="21"/>
      <c r="P87" s="422"/>
      <c r="Q87" s="21"/>
    </row>
    <row r="88" spans="1:17" x14ac:dyDescent="0.25">
      <c r="B88" s="14" t="s">
        <v>7</v>
      </c>
      <c r="C88" s="42">
        <v>0.41666666666666669</v>
      </c>
      <c r="D88" s="42">
        <v>0.47916666666666669</v>
      </c>
      <c r="E88" s="14">
        <v>1.5</v>
      </c>
      <c r="F88" s="24"/>
      <c r="G88" s="14" t="s">
        <v>34</v>
      </c>
      <c r="I88" s="57"/>
      <c r="L88" s="21"/>
      <c r="M88" s="52"/>
      <c r="N88" s="52"/>
      <c r="O88" s="21"/>
      <c r="P88" s="23"/>
      <c r="Q88" s="21"/>
    </row>
    <row r="89" spans="1:17" x14ac:dyDescent="0.25">
      <c r="B89" s="14" t="s">
        <v>8</v>
      </c>
      <c r="C89" s="25"/>
      <c r="D89" s="25"/>
      <c r="E89" s="14"/>
      <c r="F89" s="24"/>
      <c r="G89" s="14"/>
      <c r="I89" s="57"/>
      <c r="L89" s="21"/>
      <c r="M89" s="49"/>
      <c r="N89" s="49"/>
      <c r="O89" s="21"/>
      <c r="P89" s="23"/>
      <c r="Q89" s="21"/>
    </row>
    <row r="90" spans="1:17" x14ac:dyDescent="0.25">
      <c r="B90" s="13" t="s">
        <v>26</v>
      </c>
      <c r="C90" s="32"/>
      <c r="D90" s="32"/>
      <c r="E90" s="32">
        <f>SUM(E81:E89)</f>
        <v>7.5</v>
      </c>
      <c r="G90" s="15" t="s">
        <v>35</v>
      </c>
      <c r="I90" s="57"/>
      <c r="L90" s="20"/>
      <c r="M90" s="53"/>
      <c r="N90" s="53"/>
      <c r="O90" s="53"/>
    </row>
    <row r="91" spans="1:17" x14ac:dyDescent="0.25">
      <c r="I91" s="57"/>
    </row>
    <row r="92" spans="1:17" x14ac:dyDescent="0.25">
      <c r="I92" s="57"/>
    </row>
    <row r="93" spans="1:17" x14ac:dyDescent="0.25">
      <c r="B93" s="13" t="s">
        <v>36</v>
      </c>
      <c r="C93" s="13" t="s">
        <v>11</v>
      </c>
      <c r="D93" s="13" t="s">
        <v>12</v>
      </c>
      <c r="E93" s="13" t="s">
        <v>13</v>
      </c>
      <c r="F93" s="13" t="s">
        <v>14</v>
      </c>
      <c r="G93" s="13" t="s">
        <v>0</v>
      </c>
      <c r="I93" s="57"/>
      <c r="L93" s="20"/>
      <c r="M93" s="20"/>
      <c r="N93" s="20"/>
      <c r="O93" s="20"/>
      <c r="P93" s="20"/>
      <c r="Q93" s="20"/>
    </row>
    <row r="94" spans="1:17" x14ac:dyDescent="0.25">
      <c r="B94" s="14" t="s">
        <v>2</v>
      </c>
      <c r="C94" s="25">
        <v>0.45833333333333331</v>
      </c>
      <c r="D94" s="25">
        <v>0.54166666666666663</v>
      </c>
      <c r="E94" s="14">
        <v>2</v>
      </c>
      <c r="F94" s="24"/>
      <c r="G94" s="14" t="s">
        <v>37</v>
      </c>
      <c r="I94" s="57"/>
      <c r="L94" s="21"/>
      <c r="M94" s="49"/>
      <c r="N94" s="49"/>
      <c r="O94" s="21"/>
      <c r="P94" s="23"/>
      <c r="Q94" s="21"/>
    </row>
    <row r="95" spans="1:17" ht="30" x14ac:dyDescent="0.25">
      <c r="B95" s="14"/>
      <c r="C95" s="25">
        <v>0.58333333333333337</v>
      </c>
      <c r="D95" s="25" t="s">
        <v>38</v>
      </c>
      <c r="E95" s="14">
        <v>1.5</v>
      </c>
      <c r="F95" s="24"/>
      <c r="G95" s="14" t="s">
        <v>39</v>
      </c>
      <c r="I95" s="57"/>
      <c r="L95" s="21"/>
      <c r="M95" s="49"/>
      <c r="N95" s="49"/>
      <c r="O95" s="21"/>
      <c r="P95" s="23"/>
      <c r="Q95" s="21"/>
    </row>
    <row r="96" spans="1:17" x14ac:dyDescent="0.25">
      <c r="A96" s="22"/>
      <c r="B96" s="21" t="s">
        <v>40</v>
      </c>
      <c r="C96" s="48"/>
      <c r="D96" s="49"/>
      <c r="E96" s="21"/>
      <c r="F96" s="23"/>
      <c r="G96" s="21"/>
      <c r="I96" s="57"/>
      <c r="L96" s="21"/>
      <c r="M96" s="48"/>
      <c r="N96" s="49"/>
      <c r="O96" s="21"/>
      <c r="P96" s="23"/>
      <c r="Q96" s="21"/>
    </row>
    <row r="97" spans="1:17" x14ac:dyDescent="0.25">
      <c r="B97" s="14" t="s">
        <v>4</v>
      </c>
      <c r="C97" s="26"/>
      <c r="D97" s="26"/>
      <c r="E97" s="14"/>
      <c r="F97" s="24"/>
      <c r="G97" s="14"/>
      <c r="I97" s="57"/>
      <c r="L97" s="21"/>
      <c r="M97" s="51"/>
      <c r="N97" s="51"/>
      <c r="O97" s="21"/>
      <c r="P97" s="23"/>
      <c r="Q97" s="21"/>
    </row>
    <row r="98" spans="1:17" x14ac:dyDescent="0.25">
      <c r="B98" s="14" t="s">
        <v>5</v>
      </c>
      <c r="C98" s="34">
        <v>4.1666666666666664E-2</v>
      </c>
      <c r="D98" s="34">
        <v>0.125</v>
      </c>
      <c r="E98" s="30">
        <v>2</v>
      </c>
      <c r="F98" s="38"/>
      <c r="G98" s="30" t="s">
        <v>24</v>
      </c>
      <c r="I98" s="57"/>
      <c r="L98" s="21"/>
      <c r="M98" s="139"/>
      <c r="N98" s="139"/>
      <c r="O98" s="141"/>
      <c r="P98" s="135"/>
      <c r="Q98" s="141"/>
    </row>
    <row r="99" spans="1:17" x14ac:dyDescent="0.25">
      <c r="B99" s="14" t="s">
        <v>6</v>
      </c>
      <c r="C99" s="34">
        <v>0.125</v>
      </c>
      <c r="D99" s="34">
        <v>0.16666666666666666</v>
      </c>
      <c r="E99" s="30">
        <v>1</v>
      </c>
      <c r="F99" s="38"/>
      <c r="G99" s="30" t="s">
        <v>52</v>
      </c>
      <c r="I99" s="57"/>
      <c r="L99" s="21"/>
      <c r="M99" s="139"/>
      <c r="N99" s="139"/>
      <c r="O99" s="141"/>
      <c r="P99" s="135"/>
      <c r="Q99" s="141"/>
    </row>
    <row r="100" spans="1:17" x14ac:dyDescent="0.25">
      <c r="B100" s="14" t="s">
        <v>7</v>
      </c>
      <c r="C100" s="42"/>
      <c r="D100" s="42"/>
      <c r="E100" s="14"/>
      <c r="F100" s="39">
        <v>3.5</v>
      </c>
      <c r="G100" s="14"/>
      <c r="I100" s="57"/>
      <c r="L100" s="21"/>
      <c r="M100" s="52"/>
      <c r="N100" s="52"/>
      <c r="O100" s="21"/>
      <c r="P100" s="422"/>
      <c r="Q100" s="21"/>
    </row>
    <row r="101" spans="1:17" x14ac:dyDescent="0.25">
      <c r="B101" s="14" t="s">
        <v>8</v>
      </c>
      <c r="C101" s="14"/>
      <c r="D101" s="14"/>
      <c r="E101" s="14"/>
      <c r="F101" s="24"/>
      <c r="G101" s="14"/>
      <c r="I101" s="57"/>
      <c r="L101" s="21"/>
      <c r="M101" s="21"/>
      <c r="N101" s="21"/>
      <c r="O101" s="21"/>
      <c r="P101" s="23"/>
      <c r="Q101" s="21"/>
    </row>
    <row r="102" spans="1:17" x14ac:dyDescent="0.25">
      <c r="B102" s="13" t="s">
        <v>26</v>
      </c>
      <c r="C102" s="25"/>
      <c r="D102" s="25"/>
      <c r="E102" s="32">
        <f>SUM(E94:E101)</f>
        <v>6.5</v>
      </c>
      <c r="F102" s="24"/>
      <c r="G102" s="14"/>
      <c r="I102" s="57"/>
      <c r="L102" s="21"/>
      <c r="M102" s="49"/>
      <c r="N102" s="49"/>
      <c r="O102" s="21"/>
      <c r="P102" s="23"/>
      <c r="Q102" s="21"/>
    </row>
    <row r="103" spans="1:17" ht="30" x14ac:dyDescent="0.25">
      <c r="A103" s="61" t="s">
        <v>396</v>
      </c>
      <c r="B103" s="13" t="s">
        <v>26</v>
      </c>
      <c r="C103" s="32"/>
      <c r="D103" s="32"/>
      <c r="E103" s="32">
        <f>SUM(E102,E90,E76)</f>
        <v>18</v>
      </c>
      <c r="F103" s="115" t="s">
        <v>393</v>
      </c>
      <c r="G103" s="145" t="s">
        <v>392</v>
      </c>
      <c r="I103" s="57"/>
      <c r="L103" s="20"/>
      <c r="M103" s="53"/>
      <c r="N103" s="53"/>
      <c r="O103" s="53"/>
    </row>
    <row r="104" spans="1:17" ht="30" x14ac:dyDescent="0.25">
      <c r="A104" s="144"/>
      <c r="B104" s="35" t="s">
        <v>227</v>
      </c>
      <c r="C104" s="17"/>
      <c r="D104" s="17"/>
      <c r="E104" s="17" t="s">
        <v>396</v>
      </c>
      <c r="F104" s="287" t="s">
        <v>398</v>
      </c>
      <c r="G104" s="308">
        <f>SUM(E103+G65)</f>
        <v>25</v>
      </c>
      <c r="H104" s="43" t="s">
        <v>399</v>
      </c>
      <c r="I104" s="57"/>
      <c r="P104" s="116"/>
    </row>
    <row r="105" spans="1:17" x14ac:dyDescent="0.25">
      <c r="A105" s="53"/>
      <c r="B105" s="20"/>
      <c r="C105" s="146"/>
      <c r="D105" s="147"/>
      <c r="E105" s="20"/>
      <c r="F105" s="20"/>
      <c r="G105" s="53"/>
      <c r="I105" s="57"/>
      <c r="P105" s="116"/>
    </row>
    <row r="106" spans="1:17" x14ac:dyDescent="0.25">
      <c r="B106" s="13" t="s">
        <v>54</v>
      </c>
      <c r="C106" s="13" t="s">
        <v>11</v>
      </c>
      <c r="D106" s="13" t="s">
        <v>12</v>
      </c>
      <c r="E106" s="13" t="s">
        <v>13</v>
      </c>
      <c r="F106" s="13" t="s">
        <v>14</v>
      </c>
      <c r="G106" s="20" t="s">
        <v>0</v>
      </c>
      <c r="I106" s="57"/>
      <c r="L106" s="20"/>
      <c r="M106" s="20"/>
      <c r="N106" s="20"/>
      <c r="O106" s="20"/>
      <c r="P106" s="20"/>
      <c r="Q106" s="20"/>
    </row>
    <row r="107" spans="1:17" ht="30" x14ac:dyDescent="0.25">
      <c r="B107" s="14" t="s">
        <v>2</v>
      </c>
      <c r="C107" s="25" t="s">
        <v>55</v>
      </c>
      <c r="D107" s="25">
        <v>0.5</v>
      </c>
      <c r="E107" s="14">
        <v>0.5</v>
      </c>
      <c r="F107" s="24"/>
      <c r="G107" s="14" t="s">
        <v>56</v>
      </c>
      <c r="I107" s="57"/>
      <c r="L107" s="21"/>
      <c r="M107" s="49"/>
      <c r="N107" s="49"/>
      <c r="O107" s="21"/>
      <c r="P107" s="23"/>
      <c r="Q107" s="21"/>
    </row>
    <row r="108" spans="1:17" x14ac:dyDescent="0.25">
      <c r="B108" s="14" t="s">
        <v>3</v>
      </c>
      <c r="C108" s="33"/>
      <c r="D108" s="25"/>
      <c r="E108" s="14"/>
      <c r="F108" s="24"/>
      <c r="G108" s="14"/>
      <c r="I108" s="57"/>
      <c r="L108" s="21"/>
      <c r="M108" s="48"/>
      <c r="N108" s="49"/>
      <c r="O108" s="21"/>
      <c r="P108" s="23"/>
      <c r="Q108" s="21"/>
    </row>
    <row r="109" spans="1:17" x14ac:dyDescent="0.25">
      <c r="B109" s="14" t="s">
        <v>4</v>
      </c>
      <c r="C109" s="26"/>
      <c r="D109" s="26"/>
      <c r="E109" s="14"/>
      <c r="F109" s="24"/>
      <c r="G109" s="14"/>
      <c r="I109" s="57"/>
      <c r="L109" s="21"/>
      <c r="M109" s="51"/>
      <c r="N109" s="51"/>
      <c r="O109" s="21"/>
      <c r="P109" s="23"/>
      <c r="Q109" s="21"/>
    </row>
    <row r="110" spans="1:17" x14ac:dyDescent="0.25">
      <c r="B110" s="14" t="s">
        <v>5</v>
      </c>
      <c r="C110" s="26">
        <v>0.5</v>
      </c>
      <c r="D110" s="51">
        <v>4.1666666666666664E-2</v>
      </c>
      <c r="E110" s="22">
        <v>1</v>
      </c>
      <c r="F110" s="22"/>
      <c r="G110" s="22" t="s">
        <v>52</v>
      </c>
      <c r="I110" s="57"/>
      <c r="L110" s="21"/>
      <c r="M110" s="51"/>
      <c r="N110" s="51"/>
    </row>
    <row r="111" spans="1:17" x14ac:dyDescent="0.25">
      <c r="C111" s="34">
        <v>4.1666666666666664E-2</v>
      </c>
      <c r="D111" s="139">
        <v>0.125</v>
      </c>
      <c r="E111" s="141">
        <v>2</v>
      </c>
      <c r="F111" s="135"/>
      <c r="G111" s="141" t="s">
        <v>24</v>
      </c>
      <c r="I111" s="57"/>
      <c r="L111" s="21"/>
      <c r="M111" s="139"/>
      <c r="N111" s="139"/>
      <c r="O111" s="141"/>
      <c r="P111" s="135"/>
      <c r="Q111" s="141"/>
    </row>
    <row r="112" spans="1:17" x14ac:dyDescent="0.25">
      <c r="C112" s="34">
        <v>0.125</v>
      </c>
      <c r="D112" s="139">
        <v>0.14583333333333334</v>
      </c>
      <c r="E112" s="141">
        <v>0.5</v>
      </c>
      <c r="F112" s="135"/>
      <c r="G112" s="141" t="s">
        <v>57</v>
      </c>
      <c r="I112" s="57"/>
      <c r="L112" s="21"/>
      <c r="M112" s="139"/>
      <c r="N112" s="139"/>
      <c r="O112" s="141"/>
      <c r="P112" s="135"/>
      <c r="Q112" s="141"/>
    </row>
    <row r="113" spans="1:19" x14ac:dyDescent="0.25">
      <c r="B113" s="14" t="s">
        <v>6</v>
      </c>
      <c r="D113" s="22"/>
      <c r="E113" s="22"/>
      <c r="F113" s="22"/>
      <c r="G113" s="22"/>
      <c r="I113" s="57"/>
      <c r="L113" s="21"/>
    </row>
    <row r="114" spans="1:19" x14ac:dyDescent="0.25">
      <c r="B114" s="14"/>
      <c r="D114" s="22"/>
      <c r="E114" s="22"/>
      <c r="F114" s="22"/>
      <c r="G114" s="22"/>
      <c r="I114" s="57"/>
      <c r="L114" s="21"/>
    </row>
    <row r="115" spans="1:19" x14ac:dyDescent="0.25">
      <c r="B115" s="14"/>
      <c r="D115" s="22"/>
      <c r="E115" s="22"/>
      <c r="F115" s="22"/>
      <c r="G115" s="22"/>
      <c r="I115" s="57"/>
      <c r="L115" s="21"/>
    </row>
    <row r="116" spans="1:19" x14ac:dyDescent="0.25">
      <c r="B116" s="14"/>
      <c r="D116" s="22"/>
      <c r="E116" s="22"/>
      <c r="F116" s="22"/>
      <c r="G116" s="22"/>
      <c r="I116" s="57"/>
      <c r="L116" s="21"/>
    </row>
    <row r="117" spans="1:19" x14ac:dyDescent="0.25">
      <c r="B117" s="14" t="s">
        <v>7</v>
      </c>
      <c r="C117" s="14"/>
      <c r="D117" s="21"/>
      <c r="E117" s="21"/>
      <c r="F117" s="23"/>
      <c r="G117" s="21"/>
      <c r="I117" s="57"/>
      <c r="L117" s="21"/>
      <c r="M117" s="21"/>
      <c r="N117" s="21"/>
      <c r="O117" s="21"/>
      <c r="P117" s="23"/>
      <c r="Q117" s="21"/>
    </row>
    <row r="118" spans="1:19" x14ac:dyDescent="0.25">
      <c r="B118" s="14" t="s">
        <v>8</v>
      </c>
      <c r="C118" s="25">
        <v>0.54166666666666663</v>
      </c>
      <c r="D118" s="49">
        <v>0.64583333333333337</v>
      </c>
      <c r="E118" s="21">
        <v>2.5</v>
      </c>
      <c r="F118" s="23"/>
      <c r="G118" s="21" t="s">
        <v>58</v>
      </c>
      <c r="I118" s="57"/>
      <c r="L118" s="21"/>
      <c r="M118" s="49"/>
      <c r="N118" s="49"/>
      <c r="O118" s="21"/>
      <c r="P118" s="23"/>
      <c r="Q118" s="21"/>
    </row>
    <row r="119" spans="1:19" x14ac:dyDescent="0.25">
      <c r="B119" s="13" t="s">
        <v>26</v>
      </c>
      <c r="C119" s="32"/>
      <c r="D119" s="32"/>
      <c r="E119" s="32">
        <f>SUM(E107:E118)</f>
        <v>6.5</v>
      </c>
      <c r="I119" s="57"/>
      <c r="L119" s="20"/>
      <c r="M119" s="53"/>
      <c r="N119" s="53"/>
      <c r="O119" s="53"/>
    </row>
    <row r="120" spans="1:19" ht="61.5" customHeight="1" x14ac:dyDescent="0.9">
      <c r="A120" s="578" t="s">
        <v>252</v>
      </c>
      <c r="B120" s="578"/>
      <c r="C120" s="578"/>
      <c r="D120" s="578"/>
      <c r="E120" s="578"/>
      <c r="F120" s="578"/>
      <c r="G120" s="578"/>
      <c r="H120" s="578"/>
      <c r="I120" s="578"/>
      <c r="J120" s="423"/>
      <c r="K120" s="423"/>
      <c r="L120" s="423"/>
      <c r="M120" s="423"/>
      <c r="N120" s="423"/>
      <c r="O120" s="423"/>
      <c r="P120" s="423"/>
      <c r="Q120" s="423"/>
      <c r="R120" s="423"/>
      <c r="S120" s="423"/>
    </row>
    <row r="121" spans="1:19" x14ac:dyDescent="0.25">
      <c r="I121" s="57"/>
    </row>
    <row r="122" spans="1:19" x14ac:dyDescent="0.25">
      <c r="B122" s="13" t="s">
        <v>60</v>
      </c>
      <c r="C122" s="13" t="s">
        <v>11</v>
      </c>
      <c r="D122" s="13" t="s">
        <v>12</v>
      </c>
      <c r="E122" s="13" t="s">
        <v>13</v>
      </c>
      <c r="F122" s="13" t="s">
        <v>14</v>
      </c>
      <c r="G122" s="20" t="s">
        <v>0</v>
      </c>
      <c r="I122" s="57"/>
      <c r="L122" s="20"/>
      <c r="M122" s="20"/>
      <c r="N122" s="20"/>
      <c r="O122" s="20"/>
      <c r="P122" s="20"/>
      <c r="Q122" s="20"/>
    </row>
    <row r="123" spans="1:19" x14ac:dyDescent="0.25">
      <c r="A123" s="15">
        <v>23</v>
      </c>
      <c r="B123" s="14" t="s">
        <v>2</v>
      </c>
      <c r="C123" s="25" t="s">
        <v>55</v>
      </c>
      <c r="D123" s="25">
        <v>0.5</v>
      </c>
      <c r="E123" s="14">
        <v>0.5</v>
      </c>
      <c r="F123" s="24"/>
      <c r="G123" s="14" t="s">
        <v>61</v>
      </c>
      <c r="H123" s="15"/>
      <c r="I123" s="57"/>
      <c r="L123" s="21"/>
      <c r="M123" s="49"/>
      <c r="N123" s="49"/>
      <c r="O123" s="21"/>
      <c r="P123" s="23"/>
      <c r="Q123" s="21"/>
    </row>
    <row r="124" spans="1:19" ht="30" x14ac:dyDescent="0.25">
      <c r="B124" s="14"/>
      <c r="C124" s="25" t="s">
        <v>62</v>
      </c>
      <c r="D124" s="49">
        <v>0.70833333333333337</v>
      </c>
      <c r="E124" s="21">
        <v>0.5</v>
      </c>
      <c r="F124" s="23"/>
      <c r="G124" s="21" t="s">
        <v>63</v>
      </c>
      <c r="H124" s="15"/>
      <c r="I124" s="57"/>
      <c r="L124" s="21"/>
      <c r="M124" s="49"/>
      <c r="N124" s="49"/>
      <c r="O124" s="21"/>
      <c r="P124" s="23"/>
      <c r="Q124" s="21"/>
    </row>
    <row r="125" spans="1:19" x14ac:dyDescent="0.25">
      <c r="A125" s="15">
        <v>24</v>
      </c>
      <c r="B125" s="14" t="s">
        <v>3</v>
      </c>
      <c r="C125" s="33">
        <v>0.625</v>
      </c>
      <c r="D125" s="49">
        <v>0.70833333333333337</v>
      </c>
      <c r="E125" s="21">
        <v>2</v>
      </c>
      <c r="F125" s="23"/>
      <c r="G125" s="21" t="s">
        <v>64</v>
      </c>
      <c r="H125" s="15"/>
      <c r="I125" s="57"/>
      <c r="L125" s="21"/>
      <c r="M125" s="48"/>
      <c r="N125" s="49"/>
      <c r="O125" s="21"/>
      <c r="P125" s="23"/>
      <c r="Q125" s="21"/>
    </row>
    <row r="126" spans="1:19" x14ac:dyDescent="0.25">
      <c r="A126" s="15">
        <v>25</v>
      </c>
      <c r="B126" s="14" t="s">
        <v>4</v>
      </c>
      <c r="C126" s="26"/>
      <c r="D126" s="51"/>
      <c r="E126" s="21"/>
      <c r="F126" s="23"/>
      <c r="G126" s="21" t="s">
        <v>65</v>
      </c>
      <c r="H126" s="15"/>
      <c r="I126" s="57"/>
      <c r="L126" s="21"/>
      <c r="M126" s="51"/>
      <c r="N126" s="51"/>
      <c r="O126" s="21"/>
      <c r="P126" s="23"/>
      <c r="Q126" s="21"/>
    </row>
    <row r="127" spans="1:19" x14ac:dyDescent="0.25">
      <c r="A127" s="15">
        <v>26</v>
      </c>
      <c r="B127" s="14" t="s">
        <v>5</v>
      </c>
      <c r="C127" s="34">
        <v>4.1666666666666664E-2</v>
      </c>
      <c r="D127" s="139">
        <v>0.125</v>
      </c>
      <c r="E127" s="141">
        <v>2</v>
      </c>
      <c r="F127" s="303" t="s">
        <v>66</v>
      </c>
      <c r="G127" s="141" t="s">
        <v>24</v>
      </c>
      <c r="H127" s="15" t="s">
        <v>67</v>
      </c>
      <c r="I127" s="57"/>
      <c r="L127" s="21"/>
      <c r="M127" s="139"/>
      <c r="N127" s="139"/>
      <c r="O127" s="141"/>
      <c r="P127" s="303"/>
      <c r="Q127" s="141"/>
    </row>
    <row r="128" spans="1:19" x14ac:dyDescent="0.25">
      <c r="B128" s="14"/>
      <c r="C128" s="34">
        <v>0.125</v>
      </c>
      <c r="D128" s="139">
        <v>0.16666666666666666</v>
      </c>
      <c r="E128" s="141">
        <v>1</v>
      </c>
      <c r="F128" s="135"/>
      <c r="G128" s="141" t="s">
        <v>68</v>
      </c>
      <c r="H128" s="15" t="s">
        <v>67</v>
      </c>
      <c r="I128" s="57"/>
      <c r="L128" s="21"/>
      <c r="M128" s="139"/>
      <c r="N128" s="139"/>
      <c r="O128" s="141"/>
      <c r="P128" s="135"/>
      <c r="Q128" s="141"/>
    </row>
    <row r="129" spans="1:17" x14ac:dyDescent="0.25">
      <c r="A129" s="15">
        <v>27</v>
      </c>
      <c r="B129" s="14" t="s">
        <v>6</v>
      </c>
      <c r="C129" s="42"/>
      <c r="D129" s="52"/>
      <c r="E129" s="21"/>
      <c r="F129" s="23"/>
      <c r="G129" s="21"/>
      <c r="H129" s="15"/>
      <c r="I129" s="57"/>
      <c r="L129" s="21"/>
      <c r="M129" s="52"/>
      <c r="N129" s="52"/>
      <c r="O129" s="21"/>
      <c r="P129" s="23"/>
      <c r="Q129" s="21"/>
    </row>
    <row r="130" spans="1:17" x14ac:dyDescent="0.25">
      <c r="A130" s="15">
        <v>28</v>
      </c>
      <c r="B130" s="14" t="s">
        <v>7</v>
      </c>
      <c r="C130" s="14"/>
      <c r="D130" s="14"/>
      <c r="E130" s="14"/>
      <c r="F130" s="24"/>
      <c r="G130" s="14"/>
      <c r="H130" s="15"/>
      <c r="I130" s="57"/>
      <c r="L130" s="21"/>
      <c r="M130" s="21"/>
      <c r="N130" s="21"/>
      <c r="O130" s="21"/>
      <c r="P130" s="23"/>
      <c r="Q130" s="21"/>
    </row>
    <row r="131" spans="1:17" x14ac:dyDescent="0.25">
      <c r="A131" s="15">
        <v>29</v>
      </c>
      <c r="B131" s="14" t="s">
        <v>8</v>
      </c>
      <c r="C131" s="14"/>
      <c r="D131" s="14"/>
      <c r="E131" s="14"/>
      <c r="F131" s="24"/>
      <c r="G131" s="14"/>
      <c r="H131" s="15"/>
      <c r="I131" s="57"/>
      <c r="L131" s="21"/>
      <c r="M131" s="21"/>
      <c r="N131" s="21"/>
      <c r="O131" s="21"/>
      <c r="P131" s="23"/>
      <c r="Q131" s="21"/>
    </row>
    <row r="132" spans="1:17" ht="30" x14ac:dyDescent="0.25">
      <c r="B132" s="13" t="s">
        <v>26</v>
      </c>
      <c r="C132" s="32"/>
      <c r="D132" s="32"/>
      <c r="E132" s="32">
        <f>SUM(E123:E131)</f>
        <v>6</v>
      </c>
      <c r="F132" s="115" t="s">
        <v>393</v>
      </c>
      <c r="G132" s="145" t="s">
        <v>397</v>
      </c>
      <c r="H132" s="15"/>
      <c r="I132" s="57"/>
      <c r="L132" s="21"/>
      <c r="M132" s="49"/>
      <c r="N132" s="49"/>
      <c r="O132" s="21"/>
      <c r="P132" s="23"/>
      <c r="Q132" s="21"/>
    </row>
    <row r="133" spans="1:17" ht="30" x14ac:dyDescent="0.25">
      <c r="A133" s="144" t="s">
        <v>401</v>
      </c>
      <c r="B133" s="35" t="s">
        <v>227</v>
      </c>
      <c r="C133" s="60"/>
      <c r="D133" s="61"/>
      <c r="E133" s="304">
        <f>SUM(E119,E132)</f>
        <v>12.5</v>
      </c>
      <c r="F133" s="115">
        <f>SUM(1*[2]Angelica_hist!G15)</f>
        <v>10</v>
      </c>
      <c r="G133" s="309">
        <f>SUM(E133 + G104)-F133</f>
        <v>27.5</v>
      </c>
      <c r="H133" s="43" t="s">
        <v>400</v>
      </c>
      <c r="I133" s="57"/>
      <c r="L133" s="21"/>
      <c r="M133" s="49"/>
      <c r="N133" s="49"/>
      <c r="O133" s="21"/>
      <c r="P133" s="23"/>
      <c r="Q133" s="21"/>
    </row>
    <row r="134" spans="1:17" x14ac:dyDescent="0.25">
      <c r="H134" s="15"/>
      <c r="I134" s="57"/>
      <c r="L134" s="21"/>
      <c r="M134" s="49"/>
      <c r="N134" s="49"/>
      <c r="O134" s="21"/>
      <c r="P134" s="23"/>
      <c r="Q134" s="21"/>
    </row>
    <row r="135" spans="1:17" x14ac:dyDescent="0.25">
      <c r="I135" s="57"/>
    </row>
    <row r="136" spans="1:17" x14ac:dyDescent="0.25">
      <c r="B136" s="13" t="s">
        <v>70</v>
      </c>
      <c r="C136" s="13" t="s">
        <v>11</v>
      </c>
      <c r="D136" s="13" t="s">
        <v>12</v>
      </c>
      <c r="E136" s="13" t="s">
        <v>13</v>
      </c>
      <c r="F136" s="13" t="s">
        <v>14</v>
      </c>
      <c r="G136" s="20" t="s">
        <v>0</v>
      </c>
      <c r="I136" s="57"/>
      <c r="O136" s="53"/>
    </row>
    <row r="137" spans="1:17" x14ac:dyDescent="0.25">
      <c r="A137" s="15">
        <v>30</v>
      </c>
      <c r="B137" s="14" t="s">
        <v>2</v>
      </c>
      <c r="C137" s="25"/>
      <c r="D137" s="49"/>
      <c r="E137" s="21">
        <v>5</v>
      </c>
      <c r="F137" s="23"/>
      <c r="G137" s="21" t="s">
        <v>71</v>
      </c>
      <c r="H137" s="15"/>
      <c r="I137" s="57"/>
    </row>
    <row r="138" spans="1:17" x14ac:dyDescent="0.25">
      <c r="A138" s="15">
        <v>1</v>
      </c>
      <c r="B138" s="14" t="s">
        <v>3</v>
      </c>
      <c r="C138" s="33"/>
      <c r="D138" s="49"/>
      <c r="E138" s="21">
        <v>4</v>
      </c>
      <c r="F138" s="23"/>
      <c r="G138" s="21" t="s">
        <v>71</v>
      </c>
      <c r="H138" s="15"/>
      <c r="I138" s="57"/>
      <c r="L138" s="20"/>
      <c r="M138" s="20"/>
      <c r="N138" s="20"/>
      <c r="O138" s="20"/>
      <c r="P138" s="20"/>
      <c r="Q138" s="20"/>
    </row>
    <row r="139" spans="1:17" x14ac:dyDescent="0.25">
      <c r="A139" s="15">
        <v>2</v>
      </c>
      <c r="B139" s="14" t="s">
        <v>4</v>
      </c>
      <c r="C139" s="26"/>
      <c r="D139" s="51"/>
      <c r="E139" s="21">
        <v>3</v>
      </c>
      <c r="F139" s="23"/>
      <c r="G139" s="21" t="s">
        <v>71</v>
      </c>
      <c r="H139" s="15"/>
      <c r="I139" s="57"/>
      <c r="L139" s="21"/>
      <c r="M139" s="49"/>
      <c r="N139" s="49"/>
      <c r="O139" s="21"/>
      <c r="P139" s="23"/>
      <c r="Q139" s="21"/>
    </row>
    <row r="140" spans="1:17" x14ac:dyDescent="0.25">
      <c r="A140" s="15">
        <v>3</v>
      </c>
      <c r="B140" s="14" t="s">
        <v>5</v>
      </c>
      <c r="C140" s="34">
        <v>4.1666666666666664E-2</v>
      </c>
      <c r="D140" s="139">
        <v>0.125</v>
      </c>
      <c r="E140" s="141">
        <v>2</v>
      </c>
      <c r="F140" s="135"/>
      <c r="G140" s="141" t="s">
        <v>24</v>
      </c>
      <c r="H140" s="15" t="s">
        <v>67</v>
      </c>
      <c r="I140" s="57"/>
      <c r="L140" s="21"/>
      <c r="M140" s="48"/>
      <c r="N140" s="49"/>
      <c r="O140" s="21"/>
      <c r="P140" s="23"/>
      <c r="Q140" s="21"/>
    </row>
    <row r="141" spans="1:17" x14ac:dyDescent="0.25">
      <c r="B141" s="14"/>
      <c r="C141" s="54">
        <v>0.33333333333333331</v>
      </c>
      <c r="D141" s="305">
        <v>0.375</v>
      </c>
      <c r="E141" s="306">
        <v>1</v>
      </c>
      <c r="F141" s="307"/>
      <c r="G141" s="306" t="s">
        <v>72</v>
      </c>
      <c r="H141" s="15"/>
      <c r="I141" s="57"/>
      <c r="L141" s="21"/>
      <c r="M141" s="51"/>
      <c r="N141" s="51"/>
      <c r="O141" s="21"/>
      <c r="P141" s="23"/>
      <c r="Q141" s="21"/>
    </row>
    <row r="142" spans="1:17" x14ac:dyDescent="0.25">
      <c r="A142" s="15">
        <v>4</v>
      </c>
      <c r="B142" s="14" t="s">
        <v>6</v>
      </c>
      <c r="C142" s="42"/>
      <c r="D142" s="52"/>
      <c r="E142" s="21">
        <v>2</v>
      </c>
      <c r="F142" s="23"/>
      <c r="G142" s="21" t="s">
        <v>71</v>
      </c>
      <c r="H142" s="15"/>
      <c r="I142" s="57"/>
      <c r="L142" s="21"/>
      <c r="M142" s="139"/>
      <c r="N142" s="139"/>
      <c r="O142" s="141"/>
      <c r="P142" s="135"/>
      <c r="Q142" s="141"/>
    </row>
    <row r="143" spans="1:17" x14ac:dyDescent="0.25">
      <c r="A143" s="15">
        <v>5</v>
      </c>
      <c r="B143" s="14" t="s">
        <v>7</v>
      </c>
      <c r="C143" s="14"/>
      <c r="D143" s="21"/>
      <c r="E143" s="22"/>
      <c r="F143" s="23"/>
      <c r="G143" s="21"/>
      <c r="H143" s="15"/>
      <c r="I143" s="57"/>
      <c r="L143" s="21"/>
      <c r="M143" s="305"/>
      <c r="N143" s="305"/>
      <c r="O143" s="306"/>
      <c r="P143" s="307"/>
      <c r="Q143" s="306"/>
    </row>
    <row r="144" spans="1:17" x14ac:dyDescent="0.25">
      <c r="A144" s="15">
        <v>6</v>
      </c>
      <c r="B144" s="14" t="s">
        <v>8</v>
      </c>
      <c r="C144" s="25"/>
      <c r="D144" s="25"/>
      <c r="E144" s="14"/>
      <c r="F144" s="24"/>
      <c r="G144" s="14"/>
      <c r="H144" s="15"/>
      <c r="I144" s="57"/>
      <c r="L144" s="21"/>
      <c r="M144" s="52"/>
      <c r="N144" s="52"/>
      <c r="O144" s="21"/>
      <c r="P144" s="23"/>
      <c r="Q144" s="21"/>
    </row>
    <row r="145" spans="1:17" x14ac:dyDescent="0.25">
      <c r="B145" s="13" t="s">
        <v>26</v>
      </c>
      <c r="C145" s="32"/>
      <c r="D145" s="32"/>
      <c r="E145" s="32">
        <f>SUM(E137:E144)</f>
        <v>17</v>
      </c>
      <c r="G145" s="22"/>
      <c r="I145" s="57"/>
      <c r="L145" s="21"/>
      <c r="M145" s="21"/>
      <c r="N145" s="21"/>
      <c r="P145" s="23"/>
      <c r="Q145" s="21"/>
    </row>
    <row r="146" spans="1:17" x14ac:dyDescent="0.25">
      <c r="G146" s="22"/>
      <c r="I146" s="57"/>
      <c r="L146" s="21"/>
      <c r="M146" s="49"/>
      <c r="N146" s="49"/>
      <c r="O146" s="21"/>
      <c r="P146" s="23"/>
      <c r="Q146" s="21"/>
    </row>
    <row r="147" spans="1:17" x14ac:dyDescent="0.25">
      <c r="B147" s="13" t="s">
        <v>74</v>
      </c>
      <c r="C147" s="13" t="s">
        <v>11</v>
      </c>
      <c r="D147" s="13" t="s">
        <v>12</v>
      </c>
      <c r="E147" s="13" t="s">
        <v>13</v>
      </c>
      <c r="F147" s="13" t="s">
        <v>14</v>
      </c>
      <c r="G147" s="20" t="s">
        <v>0</v>
      </c>
      <c r="I147" s="57"/>
    </row>
    <row r="148" spans="1:17" x14ac:dyDescent="0.25">
      <c r="A148" s="15">
        <v>7</v>
      </c>
      <c r="B148" s="14" t="s">
        <v>2</v>
      </c>
      <c r="C148" s="25">
        <v>0.47916666666666669</v>
      </c>
      <c r="D148" s="25">
        <v>0.52083333333333337</v>
      </c>
      <c r="E148" s="14">
        <v>1</v>
      </c>
      <c r="F148" s="24"/>
      <c r="G148" s="14" t="s">
        <v>75</v>
      </c>
      <c r="H148" s="15"/>
      <c r="I148" s="57"/>
    </row>
    <row r="149" spans="1:17" x14ac:dyDescent="0.25">
      <c r="A149" s="15">
        <v>8</v>
      </c>
      <c r="B149" s="14" t="s">
        <v>3</v>
      </c>
      <c r="C149" s="33"/>
      <c r="D149" s="25"/>
      <c r="E149" s="14"/>
      <c r="F149" s="24"/>
      <c r="G149" s="14"/>
      <c r="H149" s="15"/>
      <c r="I149" s="57"/>
      <c r="L149" s="20"/>
      <c r="M149" s="20"/>
      <c r="N149" s="20"/>
      <c r="O149" s="20"/>
      <c r="P149" s="20"/>
      <c r="Q149" s="20"/>
    </row>
    <row r="150" spans="1:17" x14ac:dyDescent="0.25">
      <c r="A150" s="15">
        <v>9</v>
      </c>
      <c r="B150" s="14" t="s">
        <v>4</v>
      </c>
      <c r="C150" s="26"/>
      <c r="D150" s="26"/>
      <c r="E150" s="14"/>
      <c r="F150" s="24"/>
      <c r="G150" s="14"/>
      <c r="H150" s="15"/>
      <c r="I150" s="57"/>
      <c r="L150" s="21"/>
      <c r="M150" s="49"/>
      <c r="N150" s="49"/>
      <c r="O150" s="21"/>
      <c r="P150" s="23"/>
      <c r="Q150" s="21"/>
    </row>
    <row r="151" spans="1:17" x14ac:dyDescent="0.25">
      <c r="A151" s="15">
        <v>10</v>
      </c>
      <c r="B151" s="14" t="s">
        <v>5</v>
      </c>
      <c r="C151" s="34">
        <v>4.1666666666666664E-2</v>
      </c>
      <c r="D151" s="34">
        <v>0.125</v>
      </c>
      <c r="E151" s="30">
        <v>2</v>
      </c>
      <c r="F151" s="38"/>
      <c r="G151" s="30" t="s">
        <v>24</v>
      </c>
      <c r="H151" s="15" t="s">
        <v>67</v>
      </c>
      <c r="I151" s="57"/>
      <c r="L151" s="21"/>
      <c r="M151" s="48"/>
      <c r="N151" s="49"/>
      <c r="O151" s="21"/>
      <c r="P151" s="23"/>
      <c r="Q151" s="21"/>
    </row>
    <row r="152" spans="1:17" x14ac:dyDescent="0.25">
      <c r="B152" s="14"/>
      <c r="C152" s="34">
        <v>0.125</v>
      </c>
      <c r="D152" s="34">
        <v>0.16666666666666666</v>
      </c>
      <c r="E152" s="30">
        <v>1</v>
      </c>
      <c r="F152" s="38"/>
      <c r="G152" s="30" t="s">
        <v>52</v>
      </c>
      <c r="H152" s="15" t="s">
        <v>67</v>
      </c>
      <c r="I152" s="57"/>
      <c r="L152" s="21"/>
      <c r="M152" s="51"/>
      <c r="N152" s="51"/>
      <c r="O152" s="21"/>
      <c r="P152" s="23"/>
      <c r="Q152" s="21"/>
    </row>
    <row r="153" spans="1:17" x14ac:dyDescent="0.25">
      <c r="A153" s="15">
        <v>11</v>
      </c>
      <c r="B153" s="14" t="s">
        <v>6</v>
      </c>
      <c r="C153" s="42"/>
      <c r="D153" s="42"/>
      <c r="E153" s="14"/>
      <c r="F153" s="24"/>
      <c r="G153" s="14"/>
      <c r="H153" s="15"/>
      <c r="I153" s="57"/>
      <c r="L153" s="21"/>
      <c r="M153" s="139"/>
      <c r="N153" s="139"/>
      <c r="O153" s="141"/>
      <c r="P153" s="135"/>
      <c r="Q153" s="141"/>
    </row>
    <row r="154" spans="1:17" x14ac:dyDescent="0.25">
      <c r="A154" s="15">
        <v>12</v>
      </c>
      <c r="B154" s="14" t="s">
        <v>7</v>
      </c>
      <c r="C154" s="14"/>
      <c r="D154" s="14"/>
      <c r="E154" s="14"/>
      <c r="F154" s="24"/>
      <c r="G154" s="14"/>
      <c r="H154" s="15"/>
      <c r="I154" s="57"/>
      <c r="L154" s="21"/>
      <c r="M154" s="139"/>
      <c r="N154" s="139"/>
      <c r="O154" s="141"/>
      <c r="P154" s="135"/>
      <c r="Q154" s="141"/>
    </row>
    <row r="155" spans="1:17" x14ac:dyDescent="0.25">
      <c r="A155" s="15">
        <v>13</v>
      </c>
      <c r="B155" s="14" t="s">
        <v>8</v>
      </c>
      <c r="C155" s="25"/>
      <c r="D155" s="25"/>
      <c r="E155" s="14"/>
      <c r="F155" s="24"/>
      <c r="G155" s="14"/>
      <c r="H155" s="15"/>
      <c r="I155" s="57"/>
      <c r="L155" s="21"/>
      <c r="M155" s="52"/>
      <c r="N155" s="52"/>
      <c r="O155" s="21"/>
      <c r="P155" s="23"/>
      <c r="Q155" s="21"/>
    </row>
    <row r="156" spans="1:17" ht="30" x14ac:dyDescent="0.25">
      <c r="B156" s="13" t="s">
        <v>26</v>
      </c>
      <c r="C156" s="32"/>
      <c r="D156" s="32"/>
      <c r="E156" s="32">
        <f>SUM(E148:E155)</f>
        <v>4</v>
      </c>
      <c r="F156" s="115" t="s">
        <v>393</v>
      </c>
      <c r="G156" s="145" t="s">
        <v>397</v>
      </c>
      <c r="I156" s="57"/>
      <c r="L156" s="21"/>
      <c r="M156" s="21"/>
      <c r="N156" s="21"/>
      <c r="O156" s="21"/>
      <c r="P156" s="23"/>
      <c r="Q156" s="21"/>
    </row>
    <row r="157" spans="1:17" ht="30" x14ac:dyDescent="0.25">
      <c r="A157" s="144" t="s">
        <v>402</v>
      </c>
      <c r="B157" s="35" t="s">
        <v>227</v>
      </c>
      <c r="C157" s="17"/>
      <c r="D157" s="17"/>
      <c r="E157" s="35">
        <f>SUM(E137:E144,E148:E155)</f>
        <v>21</v>
      </c>
      <c r="F157" s="115">
        <f>SUM(1*[2]Angelica_hist!G21)</f>
        <v>22.5</v>
      </c>
      <c r="G157" s="308">
        <f>SUM(G133+E157)-F157</f>
        <v>26</v>
      </c>
      <c r="H157" s="43"/>
      <c r="I157" s="57"/>
      <c r="L157" s="21"/>
      <c r="M157" s="49"/>
      <c r="N157" s="49"/>
      <c r="O157" s="21"/>
      <c r="P157" s="23"/>
      <c r="Q157" s="21"/>
    </row>
    <row r="158" spans="1:17" x14ac:dyDescent="0.25">
      <c r="A158" s="21"/>
      <c r="B158" s="20"/>
      <c r="C158" s="48"/>
      <c r="D158" s="49"/>
      <c r="E158" s="21"/>
      <c r="F158" s="128"/>
      <c r="G158" s="21"/>
      <c r="I158" s="57"/>
      <c r="L158" s="21"/>
      <c r="M158" s="49"/>
      <c r="N158" s="49"/>
      <c r="O158" s="21"/>
      <c r="P158" s="23"/>
      <c r="Q158" s="21"/>
    </row>
    <row r="159" spans="1:17" x14ac:dyDescent="0.25">
      <c r="B159" s="13" t="s">
        <v>128</v>
      </c>
      <c r="C159" s="13" t="s">
        <v>11</v>
      </c>
      <c r="D159" s="13" t="s">
        <v>12</v>
      </c>
      <c r="E159" s="13" t="s">
        <v>13</v>
      </c>
      <c r="F159" s="13" t="s">
        <v>14</v>
      </c>
      <c r="G159" s="20" t="s">
        <v>0</v>
      </c>
      <c r="I159" s="57"/>
      <c r="L159" s="21"/>
      <c r="M159" s="49"/>
      <c r="N159" s="49"/>
      <c r="O159" s="21"/>
      <c r="P159" s="23"/>
      <c r="Q159" s="21"/>
    </row>
    <row r="160" spans="1:17" x14ac:dyDescent="0.25">
      <c r="A160" s="15">
        <v>14</v>
      </c>
      <c r="B160" s="21" t="s">
        <v>2</v>
      </c>
      <c r="C160" s="49"/>
      <c r="D160" s="49"/>
      <c r="E160" s="138"/>
      <c r="F160" s="23"/>
      <c r="G160" s="21"/>
      <c r="I160" s="57"/>
    </row>
    <row r="161" spans="1:19" x14ac:dyDescent="0.25">
      <c r="A161" s="15">
        <v>15</v>
      </c>
      <c r="B161" s="21" t="s">
        <v>3</v>
      </c>
      <c r="C161" s="48"/>
      <c r="D161" s="49"/>
      <c r="E161" s="138"/>
      <c r="F161" s="23"/>
      <c r="G161" s="21"/>
      <c r="I161" s="57"/>
    </row>
    <row r="162" spans="1:19" x14ac:dyDescent="0.25">
      <c r="A162" s="15">
        <v>16</v>
      </c>
      <c r="B162" s="21" t="s">
        <v>4</v>
      </c>
      <c r="C162" s="51">
        <v>0.41666666666666669</v>
      </c>
      <c r="D162" s="51">
        <v>0.5625</v>
      </c>
      <c r="E162" s="138">
        <v>3.5</v>
      </c>
      <c r="F162" s="23"/>
      <c r="G162" s="22" t="s">
        <v>233</v>
      </c>
      <c r="I162" s="57"/>
      <c r="M162" s="20"/>
      <c r="N162" s="20"/>
      <c r="O162" s="20"/>
      <c r="P162" s="20"/>
      <c r="Q162" s="20"/>
    </row>
    <row r="163" spans="1:19" x14ac:dyDescent="0.25">
      <c r="A163" s="15">
        <v>17</v>
      </c>
      <c r="B163" s="21" t="s">
        <v>5</v>
      </c>
      <c r="C163" s="51">
        <v>0.4375</v>
      </c>
      <c r="D163" s="51">
        <v>0.52083333333333337</v>
      </c>
      <c r="E163" s="22">
        <v>2</v>
      </c>
      <c r="F163" s="22"/>
      <c r="G163" s="22" t="s">
        <v>233</v>
      </c>
      <c r="I163" s="57"/>
      <c r="M163" s="21"/>
      <c r="N163" s="49"/>
      <c r="O163" s="49"/>
      <c r="P163" s="138"/>
      <c r="Q163" s="23"/>
      <c r="S163" s="21"/>
    </row>
    <row r="164" spans="1:19" x14ac:dyDescent="0.25">
      <c r="B164" s="21"/>
      <c r="C164" s="139">
        <v>4.1666666666666664E-2</v>
      </c>
      <c r="D164" s="139">
        <v>0.125</v>
      </c>
      <c r="E164" s="140">
        <v>2</v>
      </c>
      <c r="F164" s="135"/>
      <c r="G164" s="141" t="s">
        <v>24</v>
      </c>
      <c r="I164" s="57"/>
      <c r="M164" s="21"/>
      <c r="N164" s="48"/>
      <c r="O164" s="49"/>
      <c r="P164" s="138"/>
      <c r="Q164" s="23"/>
      <c r="S164" s="21"/>
    </row>
    <row r="165" spans="1:19" x14ac:dyDescent="0.25">
      <c r="A165" s="15">
        <v>18</v>
      </c>
      <c r="B165" s="21" t="s">
        <v>6</v>
      </c>
      <c r="C165" s="51">
        <v>0.41666666666666669</v>
      </c>
      <c r="D165" s="51">
        <v>0.58333333333333337</v>
      </c>
      <c r="E165" s="138">
        <v>4</v>
      </c>
      <c r="F165" s="23"/>
      <c r="G165" s="21" t="s">
        <v>234</v>
      </c>
      <c r="I165" s="57"/>
      <c r="M165" s="21"/>
      <c r="N165" s="51"/>
      <c r="O165" s="51"/>
      <c r="P165" s="138"/>
      <c r="Q165" s="23"/>
    </row>
    <row r="166" spans="1:19" x14ac:dyDescent="0.25">
      <c r="A166" s="15">
        <v>19</v>
      </c>
      <c r="B166" s="21" t="s">
        <v>7</v>
      </c>
      <c r="C166" s="51">
        <v>0.4375</v>
      </c>
      <c r="D166" s="51">
        <v>0.5625</v>
      </c>
      <c r="E166" s="138">
        <v>3.5</v>
      </c>
      <c r="F166" s="23"/>
      <c r="G166" s="21" t="s">
        <v>235</v>
      </c>
      <c r="I166" s="57"/>
      <c r="M166" s="21"/>
      <c r="N166" s="51"/>
      <c r="O166" s="51"/>
    </row>
    <row r="167" spans="1:19" x14ac:dyDescent="0.25">
      <c r="A167" s="15">
        <v>20</v>
      </c>
      <c r="B167" s="21" t="s">
        <v>8</v>
      </c>
      <c r="C167" s="49"/>
      <c r="D167" s="49"/>
      <c r="E167" s="138"/>
      <c r="F167" s="23"/>
      <c r="G167" s="21"/>
      <c r="I167" s="57"/>
      <c r="M167" s="21"/>
      <c r="N167" s="139"/>
      <c r="O167" s="139"/>
      <c r="P167" s="140"/>
      <c r="Q167" s="135"/>
      <c r="S167" s="141"/>
    </row>
    <row r="168" spans="1:19" x14ac:dyDescent="0.25">
      <c r="B168" s="13" t="s">
        <v>26</v>
      </c>
      <c r="C168" s="32"/>
      <c r="D168" s="32"/>
      <c r="E168" s="32">
        <f>SUM(E160:E167)</f>
        <v>15</v>
      </c>
      <c r="G168" s="22"/>
      <c r="I168" s="57"/>
      <c r="M168" s="21"/>
      <c r="N168" s="51"/>
      <c r="O168" s="51"/>
      <c r="P168" s="138"/>
      <c r="Q168" s="23"/>
      <c r="S168" s="21"/>
    </row>
    <row r="169" spans="1:19" x14ac:dyDescent="0.25">
      <c r="G169" s="22"/>
      <c r="I169" s="57"/>
      <c r="M169" s="21"/>
      <c r="N169" s="51"/>
      <c r="O169" s="51"/>
      <c r="P169" s="138"/>
      <c r="Q169" s="23"/>
      <c r="S169" s="21"/>
    </row>
    <row r="170" spans="1:19" x14ac:dyDescent="0.25">
      <c r="B170" s="13" t="s">
        <v>130</v>
      </c>
      <c r="C170" s="13" t="s">
        <v>11</v>
      </c>
      <c r="D170" s="13" t="s">
        <v>12</v>
      </c>
      <c r="E170" s="13" t="s">
        <v>13</v>
      </c>
      <c r="F170" s="13" t="s">
        <v>14</v>
      </c>
      <c r="G170" s="20" t="s">
        <v>0</v>
      </c>
      <c r="I170" s="57"/>
      <c r="M170" s="21"/>
      <c r="N170" s="49"/>
      <c r="O170" s="49"/>
      <c r="P170" s="138"/>
      <c r="Q170" s="23"/>
      <c r="S170" s="21"/>
    </row>
    <row r="171" spans="1:19" x14ac:dyDescent="0.25">
      <c r="A171" s="15">
        <v>21</v>
      </c>
      <c r="B171" s="21" t="s">
        <v>2</v>
      </c>
      <c r="C171" s="49"/>
      <c r="D171" s="49"/>
      <c r="E171" s="138"/>
      <c r="F171" s="23"/>
      <c r="G171" s="21"/>
      <c r="I171" s="57"/>
    </row>
    <row r="172" spans="1:19" x14ac:dyDescent="0.25">
      <c r="A172" s="15">
        <v>22</v>
      </c>
      <c r="B172" s="21" t="s">
        <v>3</v>
      </c>
      <c r="C172" s="48"/>
      <c r="D172" s="49"/>
      <c r="E172" s="138"/>
      <c r="F172" s="23"/>
      <c r="G172" s="21"/>
      <c r="I172" s="57"/>
    </row>
    <row r="173" spans="1:19" x14ac:dyDescent="0.25">
      <c r="A173" s="15">
        <v>23</v>
      </c>
      <c r="B173" s="21" t="s">
        <v>4</v>
      </c>
      <c r="C173" s="51">
        <v>0.41666666666666669</v>
      </c>
      <c r="D173" s="51">
        <v>0.5625</v>
      </c>
      <c r="E173" s="138">
        <v>3.5</v>
      </c>
      <c r="F173" s="23"/>
      <c r="G173" s="22" t="s">
        <v>233</v>
      </c>
      <c r="I173" s="57"/>
      <c r="M173" s="20"/>
      <c r="N173" s="20"/>
      <c r="O173" s="20"/>
      <c r="P173" s="20"/>
      <c r="Q173" s="20"/>
    </row>
    <row r="174" spans="1:19" x14ac:dyDescent="0.25">
      <c r="A174" s="15">
        <v>24</v>
      </c>
      <c r="B174" s="21" t="s">
        <v>5</v>
      </c>
      <c r="C174" s="51">
        <v>0.4375</v>
      </c>
      <c r="D174" s="51">
        <v>0.52083333333333337</v>
      </c>
      <c r="E174" s="22">
        <v>2</v>
      </c>
      <c r="F174" s="22"/>
      <c r="G174" s="22" t="s">
        <v>233</v>
      </c>
      <c r="I174" s="57"/>
      <c r="M174" s="21"/>
      <c r="N174" s="49"/>
      <c r="O174" s="49"/>
      <c r="P174" s="138"/>
      <c r="Q174" s="23"/>
      <c r="S174" s="21"/>
    </row>
    <row r="175" spans="1:19" x14ac:dyDescent="0.25">
      <c r="B175" s="21"/>
      <c r="C175" s="139">
        <v>4.1666666666666664E-2</v>
      </c>
      <c r="D175" s="139">
        <v>0.125</v>
      </c>
      <c r="E175" s="140">
        <v>2</v>
      </c>
      <c r="F175" s="135"/>
      <c r="G175" s="141" t="s">
        <v>24</v>
      </c>
      <c r="I175" s="57"/>
      <c r="M175" s="21"/>
      <c r="N175" s="48"/>
      <c r="O175" s="49"/>
      <c r="P175" s="138"/>
      <c r="Q175" s="23"/>
      <c r="S175" s="21"/>
    </row>
    <row r="176" spans="1:19" x14ac:dyDescent="0.25">
      <c r="A176" s="15">
        <v>25</v>
      </c>
      <c r="B176" s="21" t="s">
        <v>6</v>
      </c>
      <c r="C176" s="51">
        <v>0.41666666666666669</v>
      </c>
      <c r="D176" s="51">
        <v>0.58333333333333337</v>
      </c>
      <c r="E176" s="138">
        <v>4</v>
      </c>
      <c r="F176" s="23"/>
      <c r="G176" s="21" t="s">
        <v>237</v>
      </c>
      <c r="I176" s="57"/>
      <c r="M176" s="21"/>
      <c r="N176" s="51"/>
      <c r="O176" s="51"/>
      <c r="P176" s="138"/>
      <c r="Q176" s="23"/>
    </row>
    <row r="177" spans="1:19" x14ac:dyDescent="0.25">
      <c r="A177" s="15">
        <v>26</v>
      </c>
      <c r="B177" s="21" t="s">
        <v>7</v>
      </c>
      <c r="C177" s="51">
        <v>0.4375</v>
      </c>
      <c r="D177" s="51">
        <v>0.5625</v>
      </c>
      <c r="E177" s="138">
        <v>3.5</v>
      </c>
      <c r="F177" s="23"/>
      <c r="G177" s="21" t="s">
        <v>238</v>
      </c>
      <c r="I177" s="57"/>
      <c r="M177" s="21"/>
      <c r="N177" s="51"/>
      <c r="O177" s="51"/>
    </row>
    <row r="178" spans="1:19" x14ac:dyDescent="0.25">
      <c r="A178" s="15">
        <v>27</v>
      </c>
      <c r="B178" s="21" t="s">
        <v>8</v>
      </c>
      <c r="C178" s="49"/>
      <c r="D178" s="49"/>
      <c r="E178" s="138"/>
      <c r="F178" s="23"/>
      <c r="G178" s="21"/>
      <c r="I178" s="57"/>
      <c r="M178" s="21"/>
      <c r="N178" s="139"/>
      <c r="O178" s="139"/>
      <c r="P178" s="140"/>
      <c r="Q178" s="135"/>
      <c r="S178" s="141"/>
    </row>
    <row r="179" spans="1:19" ht="30" x14ac:dyDescent="0.25">
      <c r="B179" s="13" t="s">
        <v>26</v>
      </c>
      <c r="C179" s="32"/>
      <c r="D179" s="32"/>
      <c r="E179" s="289">
        <f>SUM(E171:E178)</f>
        <v>15</v>
      </c>
      <c r="F179" s="115" t="s">
        <v>393</v>
      </c>
      <c r="G179" s="145" t="s">
        <v>397</v>
      </c>
      <c r="I179" s="57"/>
      <c r="M179" s="21"/>
      <c r="N179" s="51"/>
      <c r="O179" s="51"/>
      <c r="P179" s="138"/>
      <c r="Q179" s="23"/>
      <c r="S179" s="21"/>
    </row>
    <row r="180" spans="1:19" x14ac:dyDescent="0.25">
      <c r="A180" s="144" t="s">
        <v>403</v>
      </c>
      <c r="B180" s="35" t="s">
        <v>227</v>
      </c>
      <c r="C180" s="17"/>
      <c r="D180" s="17"/>
      <c r="E180" s="35">
        <f>SUM(E160:E167,E171:E178)</f>
        <v>30</v>
      </c>
      <c r="F180" s="115">
        <f>SUM([2]Angelica_hist!G27 +[2]Angelica_hist!G28 +[2]Angelica_hist!G29)</f>
        <v>55</v>
      </c>
      <c r="G180" s="308">
        <f>SUM(G157+E180)-F180</f>
        <v>1</v>
      </c>
      <c r="H180" s="43"/>
      <c r="I180" s="57"/>
      <c r="M180" s="21"/>
      <c r="N180" s="51"/>
      <c r="O180" s="51"/>
      <c r="P180" s="138"/>
      <c r="Q180" s="23"/>
      <c r="S180" s="21"/>
    </row>
    <row r="181" spans="1:19" x14ac:dyDescent="0.25">
      <c r="A181" s="53"/>
      <c r="B181" s="20"/>
      <c r="C181" s="53"/>
      <c r="D181" s="53"/>
      <c r="E181" s="20"/>
      <c r="F181" s="20"/>
      <c r="G181" s="314"/>
      <c r="I181" s="57"/>
      <c r="M181" s="21"/>
      <c r="N181" s="49"/>
      <c r="O181" s="49"/>
      <c r="P181" s="138"/>
      <c r="Q181" s="23"/>
      <c r="S181" s="21"/>
    </row>
    <row r="182" spans="1:19" x14ac:dyDescent="0.25">
      <c r="A182" s="53"/>
      <c r="B182" s="20"/>
      <c r="C182" s="53"/>
      <c r="D182" s="53"/>
      <c r="E182" s="20"/>
      <c r="F182" s="20"/>
      <c r="G182" s="314"/>
      <c r="I182" s="57"/>
      <c r="M182" s="21"/>
      <c r="N182" s="49"/>
      <c r="O182" s="49"/>
      <c r="P182" s="138"/>
      <c r="Q182" s="23"/>
      <c r="S182" s="21"/>
    </row>
    <row r="183" spans="1:19" x14ac:dyDescent="0.25">
      <c r="A183" s="53"/>
      <c r="B183" s="20"/>
      <c r="C183" s="53"/>
      <c r="D183" s="53"/>
      <c r="E183" s="20"/>
      <c r="F183" s="20"/>
      <c r="G183" s="314"/>
      <c r="I183" s="57"/>
    </row>
    <row r="184" spans="1:19" x14ac:dyDescent="0.25">
      <c r="B184" s="13" t="s">
        <v>132</v>
      </c>
      <c r="C184" s="13" t="s">
        <v>11</v>
      </c>
      <c r="D184" s="13" t="s">
        <v>12</v>
      </c>
      <c r="E184" s="13" t="s">
        <v>13</v>
      </c>
      <c r="F184" s="13" t="s">
        <v>14</v>
      </c>
      <c r="G184" s="20" t="s">
        <v>0</v>
      </c>
      <c r="I184" s="57"/>
    </row>
    <row r="185" spans="1:19" x14ac:dyDescent="0.25">
      <c r="A185" s="15">
        <v>28</v>
      </c>
      <c r="B185" s="21" t="s">
        <v>2</v>
      </c>
      <c r="C185" s="49"/>
      <c r="D185" s="49"/>
      <c r="E185" s="138"/>
      <c r="F185" s="23"/>
      <c r="G185" s="21"/>
      <c r="I185" s="57"/>
      <c r="M185" s="20"/>
      <c r="N185" s="20"/>
      <c r="O185" s="20"/>
      <c r="P185" s="20"/>
      <c r="Q185" s="20"/>
    </row>
    <row r="186" spans="1:19" x14ac:dyDescent="0.25">
      <c r="A186" s="15">
        <v>29</v>
      </c>
      <c r="B186" s="21" t="s">
        <v>3</v>
      </c>
      <c r="C186" s="48"/>
      <c r="D186" s="49"/>
      <c r="E186" s="138"/>
      <c r="F186" s="23"/>
      <c r="G186" s="21"/>
      <c r="I186" s="57"/>
      <c r="M186" s="21"/>
      <c r="N186" s="49"/>
      <c r="O186" s="49"/>
      <c r="P186" s="138"/>
      <c r="Q186" s="23"/>
      <c r="S186" s="21"/>
    </row>
    <row r="187" spans="1:19" x14ac:dyDescent="0.25">
      <c r="A187" s="15">
        <v>30</v>
      </c>
      <c r="B187" s="21" t="s">
        <v>4</v>
      </c>
      <c r="C187" s="51">
        <v>0.41666666666666669</v>
      </c>
      <c r="D187" s="51">
        <v>0.5625</v>
      </c>
      <c r="E187" s="138">
        <v>3.5</v>
      </c>
      <c r="F187" s="23"/>
      <c r="G187" s="22" t="s">
        <v>233</v>
      </c>
      <c r="I187" s="57"/>
      <c r="M187" s="21"/>
      <c r="N187" s="48"/>
      <c r="O187" s="49"/>
      <c r="P187" s="138"/>
      <c r="Q187" s="23"/>
      <c r="S187" s="21"/>
    </row>
    <row r="188" spans="1:19" x14ac:dyDescent="0.25">
      <c r="A188" s="15">
        <v>31</v>
      </c>
      <c r="B188" s="21" t="s">
        <v>5</v>
      </c>
      <c r="C188" s="51">
        <v>0.4375</v>
      </c>
      <c r="D188" s="51">
        <v>0.52083333333333337</v>
      </c>
      <c r="E188" s="22">
        <v>2</v>
      </c>
      <c r="F188" s="22"/>
      <c r="G188" s="22" t="s">
        <v>233</v>
      </c>
      <c r="I188" s="57"/>
      <c r="M188" s="21"/>
      <c r="N188" s="51"/>
      <c r="O188" s="51"/>
      <c r="P188" s="138"/>
      <c r="Q188" s="23"/>
    </row>
    <row r="189" spans="1:19" x14ac:dyDescent="0.25">
      <c r="B189" s="21"/>
      <c r="C189" s="139">
        <v>4.1666666666666664E-2</v>
      </c>
      <c r="D189" s="139">
        <v>0.125</v>
      </c>
      <c r="E189" s="140">
        <v>2</v>
      </c>
      <c r="F189" s="135"/>
      <c r="G189" s="141" t="s">
        <v>24</v>
      </c>
      <c r="I189" s="57"/>
      <c r="M189" s="21"/>
      <c r="N189" s="51"/>
      <c r="O189" s="51"/>
    </row>
    <row r="190" spans="1:19" ht="30" x14ac:dyDescent="0.25">
      <c r="A190" s="15">
        <v>1</v>
      </c>
      <c r="B190" s="21" t="s">
        <v>6</v>
      </c>
      <c r="C190" s="51">
        <v>0.41666666666666669</v>
      </c>
      <c r="D190" s="51">
        <v>0.58333333333333337</v>
      </c>
      <c r="E190" s="138">
        <v>4</v>
      </c>
      <c r="F190" s="23"/>
      <c r="G190" s="21" t="s">
        <v>240</v>
      </c>
      <c r="I190" s="57"/>
      <c r="M190" s="21"/>
      <c r="N190" s="139"/>
      <c r="O190" s="139"/>
      <c r="P190" s="140"/>
      <c r="Q190" s="135"/>
      <c r="S190" s="141"/>
    </row>
    <row r="191" spans="1:19" x14ac:dyDescent="0.25">
      <c r="A191" s="15">
        <v>2</v>
      </c>
      <c r="B191" s="21" t="s">
        <v>7</v>
      </c>
      <c r="C191" s="51">
        <v>0.4375</v>
      </c>
      <c r="D191" s="51">
        <v>0.5625</v>
      </c>
      <c r="E191" s="138">
        <v>3.5</v>
      </c>
      <c r="F191" s="23"/>
      <c r="G191" s="21" t="s">
        <v>235</v>
      </c>
      <c r="I191" s="57"/>
      <c r="M191" s="21"/>
      <c r="N191" s="51"/>
      <c r="O191" s="51"/>
      <c r="P191" s="138"/>
      <c r="Q191" s="23"/>
      <c r="S191" s="21"/>
    </row>
    <row r="192" spans="1:19" x14ac:dyDescent="0.25">
      <c r="A192" s="15">
        <v>3</v>
      </c>
      <c r="B192" s="21" t="s">
        <v>8</v>
      </c>
      <c r="C192" s="49"/>
      <c r="D192" s="49"/>
      <c r="E192" s="138"/>
      <c r="F192" s="23"/>
      <c r="G192" s="21"/>
      <c r="I192" s="57"/>
      <c r="M192" s="21"/>
      <c r="N192" s="51"/>
      <c r="O192" s="51"/>
      <c r="P192" s="138"/>
      <c r="Q192" s="23"/>
      <c r="S192" s="21"/>
    </row>
    <row r="193" spans="1:19" x14ac:dyDescent="0.25">
      <c r="B193" s="13" t="s">
        <v>26</v>
      </c>
      <c r="C193" s="32"/>
      <c r="D193" s="32"/>
      <c r="E193" s="32">
        <f>SUM(E185:E192)</f>
        <v>15</v>
      </c>
      <c r="G193" s="22"/>
      <c r="I193" s="57"/>
      <c r="M193" s="21"/>
      <c r="N193" s="49"/>
      <c r="O193" s="49"/>
      <c r="P193" s="138"/>
      <c r="Q193" s="23"/>
      <c r="S193" s="21"/>
    </row>
    <row r="194" spans="1:19" x14ac:dyDescent="0.25">
      <c r="I194" s="57"/>
    </row>
    <row r="195" spans="1:19" x14ac:dyDescent="0.25">
      <c r="B195" s="13" t="s">
        <v>133</v>
      </c>
      <c r="C195" s="13" t="s">
        <v>11</v>
      </c>
      <c r="D195" s="13" t="s">
        <v>12</v>
      </c>
      <c r="E195" s="13" t="s">
        <v>13</v>
      </c>
      <c r="F195" s="13" t="s">
        <v>14</v>
      </c>
      <c r="G195" s="20" t="s">
        <v>0</v>
      </c>
      <c r="I195" s="57"/>
    </row>
    <row r="196" spans="1:19" x14ac:dyDescent="0.25">
      <c r="A196" s="15">
        <v>4</v>
      </c>
      <c r="B196" s="21" t="s">
        <v>2</v>
      </c>
      <c r="C196" s="49"/>
      <c r="D196" s="49"/>
      <c r="E196" s="138"/>
      <c r="F196" s="23"/>
      <c r="G196" s="21"/>
      <c r="I196" s="57"/>
      <c r="M196" s="20"/>
      <c r="N196" s="20"/>
      <c r="O196" s="20"/>
      <c r="P196" s="20"/>
      <c r="Q196" s="20"/>
    </row>
    <row r="197" spans="1:19" x14ac:dyDescent="0.25">
      <c r="A197" s="15">
        <v>5</v>
      </c>
      <c r="B197" s="21" t="s">
        <v>3</v>
      </c>
      <c r="C197" s="48"/>
      <c r="D197" s="49"/>
      <c r="E197" s="138"/>
      <c r="F197" s="23"/>
      <c r="G197" s="21"/>
      <c r="I197" s="57"/>
      <c r="M197" s="21"/>
      <c r="N197" s="49"/>
      <c r="O197" s="49"/>
      <c r="P197" s="138"/>
      <c r="Q197" s="23"/>
      <c r="S197" s="21"/>
    </row>
    <row r="198" spans="1:19" x14ac:dyDescent="0.25">
      <c r="A198" s="15">
        <v>6</v>
      </c>
      <c r="B198" s="21" t="s">
        <v>4</v>
      </c>
      <c r="C198" s="51">
        <v>0.41666666666666669</v>
      </c>
      <c r="D198" s="51">
        <v>0.5625</v>
      </c>
      <c r="E198" s="138">
        <v>3.5</v>
      </c>
      <c r="F198" s="23"/>
      <c r="G198" s="22" t="s">
        <v>233</v>
      </c>
      <c r="I198" s="57"/>
      <c r="M198" s="21"/>
      <c r="N198" s="48"/>
      <c r="O198" s="49"/>
      <c r="P198" s="138"/>
      <c r="Q198" s="23"/>
      <c r="S198" s="21"/>
    </row>
    <row r="199" spans="1:19" x14ac:dyDescent="0.25">
      <c r="A199" s="15">
        <v>7</v>
      </c>
      <c r="B199" s="21" t="s">
        <v>5</v>
      </c>
      <c r="C199" s="51">
        <v>0.4375</v>
      </c>
      <c r="D199" s="51">
        <v>0.52083333333333337</v>
      </c>
      <c r="E199" s="22">
        <v>2</v>
      </c>
      <c r="F199" s="22"/>
      <c r="G199" s="22" t="s">
        <v>243</v>
      </c>
      <c r="I199" s="57"/>
      <c r="M199" s="21"/>
      <c r="N199" s="51"/>
      <c r="O199" s="51"/>
      <c r="P199" s="138"/>
      <c r="Q199" s="23"/>
    </row>
    <row r="200" spans="1:19" x14ac:dyDescent="0.25">
      <c r="B200" s="21"/>
      <c r="C200" s="139">
        <v>4.1666666666666664E-2</v>
      </c>
      <c r="D200" s="139">
        <v>0.125</v>
      </c>
      <c r="E200" s="140">
        <v>2</v>
      </c>
      <c r="F200" s="135"/>
      <c r="G200" s="141" t="s">
        <v>24</v>
      </c>
      <c r="I200" s="57"/>
      <c r="M200" s="21"/>
      <c r="N200" s="51"/>
      <c r="O200" s="51"/>
    </row>
    <row r="201" spans="1:19" x14ac:dyDescent="0.25">
      <c r="A201" s="15">
        <v>8</v>
      </c>
      <c r="B201" s="21" t="s">
        <v>6</v>
      </c>
      <c r="C201" s="51">
        <v>0.41666666666666669</v>
      </c>
      <c r="D201" s="51">
        <v>0.58333333333333337</v>
      </c>
      <c r="E201" s="138">
        <v>4</v>
      </c>
      <c r="F201" s="23"/>
      <c r="G201" s="21" t="s">
        <v>244</v>
      </c>
      <c r="I201" s="57"/>
      <c r="M201" s="21"/>
      <c r="N201" s="139"/>
      <c r="O201" s="139"/>
      <c r="P201" s="140"/>
      <c r="Q201" s="135"/>
      <c r="S201" s="141"/>
    </row>
    <row r="202" spans="1:19" x14ac:dyDescent="0.25">
      <c r="A202" s="15">
        <v>9</v>
      </c>
      <c r="B202" s="21" t="s">
        <v>7</v>
      </c>
      <c r="C202" s="51">
        <v>0.4375</v>
      </c>
      <c r="D202" s="51">
        <v>0.5625</v>
      </c>
      <c r="E202" s="138">
        <v>3.5</v>
      </c>
      <c r="F202" s="23"/>
      <c r="G202" s="21" t="s">
        <v>245</v>
      </c>
      <c r="I202" s="57"/>
      <c r="M202" s="21"/>
      <c r="N202" s="51"/>
      <c r="O202" s="51"/>
      <c r="P202" s="138"/>
      <c r="Q202" s="23"/>
      <c r="S202" s="21"/>
    </row>
    <row r="203" spans="1:19" x14ac:dyDescent="0.25">
      <c r="A203" s="15">
        <v>10</v>
      </c>
      <c r="B203" s="21" t="s">
        <v>8</v>
      </c>
      <c r="C203" s="49"/>
      <c r="D203" s="49"/>
      <c r="E203" s="138"/>
      <c r="F203" s="23"/>
      <c r="G203" s="21"/>
      <c r="I203" s="57"/>
      <c r="M203" s="21"/>
      <c r="N203" s="51"/>
      <c r="O203" s="51"/>
      <c r="P203" s="138"/>
      <c r="Q203" s="23"/>
      <c r="S203" s="21"/>
    </row>
    <row r="204" spans="1:19" ht="30" x14ac:dyDescent="0.25">
      <c r="B204" s="13" t="s">
        <v>26</v>
      </c>
      <c r="C204" s="32"/>
      <c r="D204" s="32"/>
      <c r="E204" s="289">
        <f>SUM(E196:E203)</f>
        <v>15</v>
      </c>
      <c r="F204" s="115" t="s">
        <v>393</v>
      </c>
      <c r="G204" s="145" t="s">
        <v>397</v>
      </c>
      <c r="I204" s="57"/>
      <c r="M204" s="21"/>
      <c r="N204" s="49"/>
      <c r="O204" s="49"/>
      <c r="P204" s="138"/>
      <c r="Q204" s="23"/>
      <c r="S204" s="21"/>
    </row>
    <row r="205" spans="1:19" x14ac:dyDescent="0.25">
      <c r="A205" s="144" t="s">
        <v>404</v>
      </c>
      <c r="B205" s="35" t="s">
        <v>227</v>
      </c>
      <c r="C205" s="60"/>
      <c r="D205" s="61"/>
      <c r="E205" s="35">
        <f>SUM(E204,E193)</f>
        <v>30</v>
      </c>
      <c r="F205" s="115">
        <f>SUM([2]Angelica_hist!G35)</f>
        <v>30</v>
      </c>
      <c r="G205" s="308">
        <f>SUM(E205+G180)-F205</f>
        <v>1</v>
      </c>
      <c r="H205" s="43"/>
      <c r="I205" s="57"/>
      <c r="M205" s="21"/>
      <c r="N205" s="49"/>
      <c r="O205" s="49"/>
      <c r="Q205" s="23"/>
      <c r="S205" s="21"/>
    </row>
    <row r="206" spans="1:19" x14ac:dyDescent="0.25">
      <c r="C206" s="32"/>
      <c r="D206" s="32"/>
      <c r="E206" s="289"/>
      <c r="I206" s="57"/>
    </row>
    <row r="207" spans="1:19" x14ac:dyDescent="0.25">
      <c r="A207" s="22"/>
      <c r="B207" s="22"/>
      <c r="C207" s="53"/>
      <c r="D207" s="53"/>
      <c r="E207" s="20"/>
      <c r="F207" s="22"/>
      <c r="G207" s="22"/>
      <c r="I207" s="57"/>
      <c r="M207" s="20"/>
      <c r="N207" s="20"/>
      <c r="O207" s="20"/>
      <c r="P207" s="20"/>
      <c r="Q207" s="20"/>
    </row>
    <row r="208" spans="1:19" x14ac:dyDescent="0.25">
      <c r="A208" s="22"/>
      <c r="B208" s="22"/>
      <c r="C208" s="22"/>
      <c r="D208" s="22"/>
      <c r="E208" s="22"/>
      <c r="F208" s="22"/>
      <c r="G208" s="22"/>
      <c r="I208" s="57"/>
      <c r="M208" s="21"/>
      <c r="N208" s="49"/>
      <c r="O208" s="49"/>
      <c r="P208" s="138"/>
      <c r="Q208" s="23"/>
      <c r="S208" s="21"/>
    </row>
    <row r="209" spans="1:19" x14ac:dyDescent="0.25">
      <c r="B209" s="13" t="s">
        <v>138</v>
      </c>
      <c r="C209" s="13" t="s">
        <v>11</v>
      </c>
      <c r="D209" s="13" t="s">
        <v>12</v>
      </c>
      <c r="E209" s="13" t="s">
        <v>13</v>
      </c>
      <c r="F209" s="13" t="s">
        <v>14</v>
      </c>
      <c r="G209" s="20" t="s">
        <v>0</v>
      </c>
      <c r="I209" s="57"/>
      <c r="M209" s="21"/>
      <c r="N209" s="48"/>
      <c r="O209" s="49"/>
      <c r="P209" s="138"/>
      <c r="Q209" s="23"/>
      <c r="S209" s="21"/>
    </row>
    <row r="210" spans="1:19" x14ac:dyDescent="0.25">
      <c r="A210" s="15">
        <v>11</v>
      </c>
      <c r="B210" s="21" t="s">
        <v>2</v>
      </c>
      <c r="C210" s="49"/>
      <c r="D210" s="49"/>
      <c r="E210" s="138"/>
      <c r="F210" s="23"/>
      <c r="G210" s="21"/>
      <c r="I210" s="57"/>
      <c r="M210" s="21"/>
      <c r="N210" s="51"/>
      <c r="O210" s="51"/>
      <c r="P210" s="138"/>
      <c r="Q210" s="23"/>
    </row>
    <row r="211" spans="1:19" x14ac:dyDescent="0.25">
      <c r="A211" s="15">
        <v>12</v>
      </c>
      <c r="B211" s="21" t="s">
        <v>3</v>
      </c>
      <c r="C211" s="48"/>
      <c r="D211" s="49"/>
      <c r="E211" s="138"/>
      <c r="F211" s="23"/>
      <c r="G211" s="21"/>
      <c r="I211" s="57"/>
      <c r="M211" s="21"/>
      <c r="N211" s="51"/>
      <c r="O211" s="51"/>
    </row>
    <row r="212" spans="1:19" x14ac:dyDescent="0.25">
      <c r="A212" s="15">
        <v>13</v>
      </c>
      <c r="B212" s="21" t="s">
        <v>4</v>
      </c>
      <c r="C212" s="51">
        <v>0.41666666666666669</v>
      </c>
      <c r="D212" s="51">
        <v>0.5625</v>
      </c>
      <c r="E212" s="138">
        <v>3.5</v>
      </c>
      <c r="F212" s="23"/>
      <c r="G212" s="22" t="s">
        <v>233</v>
      </c>
      <c r="I212" s="57"/>
      <c r="M212" s="21"/>
      <c r="N212" s="139"/>
      <c r="O212" s="139"/>
      <c r="P212" s="140"/>
      <c r="Q212" s="135"/>
      <c r="S212" s="141"/>
    </row>
    <row r="213" spans="1:19" x14ac:dyDescent="0.25">
      <c r="A213" s="15">
        <v>14</v>
      </c>
      <c r="B213" s="21" t="s">
        <v>5</v>
      </c>
      <c r="C213" s="51">
        <v>0.4375</v>
      </c>
      <c r="D213" s="51">
        <v>0.52083333333333337</v>
      </c>
      <c r="E213" s="22">
        <v>2</v>
      </c>
      <c r="F213" s="22"/>
      <c r="G213" s="22" t="s">
        <v>233</v>
      </c>
      <c r="I213" s="57"/>
      <c r="M213" s="21"/>
      <c r="N213" s="51"/>
      <c r="O213" s="51"/>
      <c r="P213" s="138"/>
      <c r="Q213" s="23"/>
      <c r="S213" s="21"/>
    </row>
    <row r="214" spans="1:19" x14ac:dyDescent="0.25">
      <c r="B214" s="21"/>
      <c r="C214" s="139">
        <v>4.1666666666666664E-2</v>
      </c>
      <c r="D214" s="139">
        <v>0.125</v>
      </c>
      <c r="E214" s="140">
        <v>2</v>
      </c>
      <c r="F214" s="135"/>
      <c r="G214" s="141" t="s">
        <v>24</v>
      </c>
      <c r="I214" s="57"/>
      <c r="M214" s="21"/>
      <c r="N214" s="51"/>
      <c r="O214" s="51"/>
      <c r="P214" s="138"/>
      <c r="Q214" s="23"/>
      <c r="S214" s="21"/>
    </row>
    <row r="215" spans="1:19" x14ac:dyDescent="0.25">
      <c r="A215" s="15">
        <v>15</v>
      </c>
      <c r="B215" s="21" t="s">
        <v>6</v>
      </c>
      <c r="C215" s="51">
        <v>0.41666666666666669</v>
      </c>
      <c r="D215" s="51">
        <v>0.58333333333333337</v>
      </c>
      <c r="E215" s="138">
        <v>4</v>
      </c>
      <c r="F215" s="23"/>
      <c r="G215" s="21" t="s">
        <v>247</v>
      </c>
      <c r="I215" s="57"/>
      <c r="M215" s="21"/>
      <c r="N215" s="49"/>
      <c r="O215" s="49"/>
      <c r="P215" s="138"/>
      <c r="Q215" s="23"/>
      <c r="S215" s="21"/>
    </row>
    <row r="216" spans="1:19" x14ac:dyDescent="0.25">
      <c r="A216" s="15">
        <v>16</v>
      </c>
      <c r="B216" s="21" t="s">
        <v>7</v>
      </c>
      <c r="C216" s="51">
        <v>0.4375</v>
      </c>
      <c r="D216" s="51">
        <v>0.5625</v>
      </c>
      <c r="E216" s="138">
        <v>3.5</v>
      </c>
      <c r="F216" s="23"/>
      <c r="G216" s="21" t="s">
        <v>248</v>
      </c>
      <c r="I216" s="57"/>
      <c r="M216" s="21"/>
      <c r="N216" s="49"/>
      <c r="O216" s="49"/>
      <c r="Q216" s="23"/>
      <c r="S216" s="21"/>
    </row>
    <row r="217" spans="1:19" x14ac:dyDescent="0.25">
      <c r="A217" s="15">
        <v>17</v>
      </c>
      <c r="B217" s="21" t="s">
        <v>8</v>
      </c>
      <c r="C217" s="49"/>
      <c r="D217" s="49"/>
      <c r="E217" s="138"/>
      <c r="F217" s="23"/>
      <c r="G217" s="21"/>
      <c r="I217" s="57"/>
    </row>
    <row r="218" spans="1:19" x14ac:dyDescent="0.25">
      <c r="B218" s="13" t="s">
        <v>26</v>
      </c>
      <c r="C218" s="32"/>
      <c r="D218" s="32"/>
      <c r="E218" s="32">
        <f>SUM(E210:E217)</f>
        <v>15</v>
      </c>
      <c r="I218" s="57"/>
    </row>
    <row r="219" spans="1:19" x14ac:dyDescent="0.25">
      <c r="I219" s="57"/>
    </row>
    <row r="220" spans="1:19" x14ac:dyDescent="0.25">
      <c r="A220" s="43"/>
      <c r="B220" s="424" t="s">
        <v>140</v>
      </c>
      <c r="C220" s="424" t="s">
        <v>11</v>
      </c>
      <c r="D220" s="424" t="s">
        <v>12</v>
      </c>
      <c r="E220" s="424" t="s">
        <v>13</v>
      </c>
      <c r="F220" s="424" t="s">
        <v>14</v>
      </c>
      <c r="G220" s="424" t="s">
        <v>0</v>
      </c>
      <c r="H220" s="585" t="s">
        <v>405</v>
      </c>
      <c r="I220" s="57"/>
    </row>
    <row r="221" spans="1:19" x14ac:dyDescent="0.25">
      <c r="A221" s="43"/>
      <c r="B221" s="19" t="s">
        <v>2</v>
      </c>
      <c r="C221" s="425"/>
      <c r="D221" s="426"/>
      <c r="E221" s="19"/>
      <c r="F221" s="427"/>
      <c r="G221" s="19"/>
      <c r="H221" s="585"/>
      <c r="I221" s="57"/>
    </row>
    <row r="222" spans="1:19" x14ac:dyDescent="0.25">
      <c r="A222" s="43"/>
      <c r="B222" s="19" t="s">
        <v>3</v>
      </c>
      <c r="C222" s="428"/>
      <c r="D222" s="428"/>
      <c r="E222" s="43"/>
      <c r="F222" s="43"/>
      <c r="G222" s="43"/>
      <c r="H222" s="585"/>
      <c r="I222" s="57"/>
    </row>
    <row r="223" spans="1:19" x14ac:dyDescent="0.25">
      <c r="A223" s="43"/>
      <c r="B223" s="19" t="s">
        <v>4</v>
      </c>
      <c r="C223" s="428"/>
      <c r="D223" s="428"/>
      <c r="E223" s="43"/>
      <c r="F223" s="43"/>
      <c r="G223" s="19"/>
      <c r="H223" s="585"/>
      <c r="I223" s="57"/>
    </row>
    <row r="224" spans="1:19" x14ac:dyDescent="0.25">
      <c r="A224" s="43"/>
      <c r="B224" s="19" t="s">
        <v>5</v>
      </c>
      <c r="C224" s="426"/>
      <c r="D224" s="426"/>
      <c r="E224" s="19"/>
      <c r="F224" s="427"/>
      <c r="G224" s="19"/>
      <c r="H224" s="585"/>
      <c r="I224" s="57"/>
    </row>
    <row r="225" spans="1:19" x14ac:dyDescent="0.25">
      <c r="A225" s="43"/>
      <c r="B225" s="19" t="s">
        <v>6</v>
      </c>
      <c r="C225" s="429"/>
      <c r="D225" s="429"/>
      <c r="E225" s="19"/>
      <c r="F225" s="43"/>
      <c r="G225" s="427"/>
      <c r="H225" s="585"/>
      <c r="I225" s="57"/>
    </row>
    <row r="226" spans="1:19" x14ac:dyDescent="0.25">
      <c r="A226" s="43"/>
      <c r="B226" s="19" t="s">
        <v>7</v>
      </c>
      <c r="C226" s="429"/>
      <c r="D226" s="429"/>
      <c r="E226" s="19"/>
      <c r="F226" s="427"/>
      <c r="G226" s="19"/>
      <c r="H226" s="585"/>
      <c r="I226" s="57"/>
    </row>
    <row r="227" spans="1:19" x14ac:dyDescent="0.25">
      <c r="A227" s="43"/>
      <c r="B227" s="19" t="s">
        <v>8</v>
      </c>
      <c r="C227" s="426"/>
      <c r="D227" s="426"/>
      <c r="E227" s="19"/>
      <c r="F227" s="427"/>
      <c r="G227" s="19"/>
      <c r="H227" s="585"/>
      <c r="I227" s="57"/>
    </row>
    <row r="228" spans="1:19" ht="30" x14ac:dyDescent="0.25">
      <c r="A228" s="19"/>
      <c r="B228" s="424" t="s">
        <v>26</v>
      </c>
      <c r="C228" s="415"/>
      <c r="D228" s="415"/>
      <c r="E228" s="415">
        <f>SUM(E220:E227)</f>
        <v>0</v>
      </c>
      <c r="F228" s="115" t="s">
        <v>393</v>
      </c>
      <c r="G228" s="145" t="s">
        <v>397</v>
      </c>
      <c r="H228" s="585"/>
      <c r="I228" s="57"/>
    </row>
    <row r="229" spans="1:19" x14ac:dyDescent="0.25">
      <c r="A229" s="144" t="s">
        <v>406</v>
      </c>
      <c r="B229" s="35" t="s">
        <v>227</v>
      </c>
      <c r="C229" s="60"/>
      <c r="D229" s="61"/>
      <c r="E229" s="35">
        <f>SUM(E228, E218)</f>
        <v>15</v>
      </c>
      <c r="F229" s="312">
        <f>SUM([2]Angelica_hist!G41)</f>
        <v>30</v>
      </c>
      <c r="G229" s="386">
        <f>SUM(E229+G205)-F229</f>
        <v>-14</v>
      </c>
      <c r="H229" s="43"/>
      <c r="I229" s="57"/>
    </row>
    <row r="230" spans="1:19" x14ac:dyDescent="0.25">
      <c r="I230" s="57"/>
      <c r="M230" s="20"/>
      <c r="N230" s="20"/>
      <c r="O230" s="20"/>
      <c r="P230" s="20"/>
      <c r="Q230" s="20"/>
    </row>
    <row r="231" spans="1:19" x14ac:dyDescent="0.25">
      <c r="B231" s="13" t="s">
        <v>143</v>
      </c>
      <c r="C231" s="13" t="s">
        <v>11</v>
      </c>
      <c r="D231" s="13" t="s">
        <v>12</v>
      </c>
      <c r="E231" s="13" t="s">
        <v>13</v>
      </c>
      <c r="F231" s="13" t="s">
        <v>14</v>
      </c>
      <c r="G231" s="20" t="s">
        <v>0</v>
      </c>
      <c r="I231" s="57"/>
      <c r="M231" s="21"/>
      <c r="N231" s="49"/>
      <c r="O231" s="49"/>
      <c r="P231" s="138"/>
      <c r="Q231" s="23"/>
      <c r="S231" s="21"/>
    </row>
    <row r="232" spans="1:19" x14ac:dyDescent="0.25">
      <c r="A232" s="15">
        <v>18</v>
      </c>
      <c r="B232" s="21" t="s">
        <v>2</v>
      </c>
      <c r="C232" s="49"/>
      <c r="D232" s="49"/>
      <c r="E232" s="138" t="s">
        <v>408</v>
      </c>
      <c r="F232" s="23"/>
      <c r="G232" s="21"/>
      <c r="I232" s="57"/>
      <c r="M232" s="21"/>
      <c r="N232" s="48"/>
      <c r="O232" s="49"/>
      <c r="P232" s="138"/>
      <c r="Q232" s="23"/>
      <c r="S232" s="21"/>
    </row>
    <row r="233" spans="1:19" x14ac:dyDescent="0.25">
      <c r="A233" s="15">
        <v>19</v>
      </c>
      <c r="B233" s="21" t="s">
        <v>3</v>
      </c>
      <c r="C233" s="48"/>
      <c r="D233" s="49"/>
      <c r="E233" s="138"/>
      <c r="F233" s="23"/>
      <c r="G233" s="21"/>
      <c r="I233" s="57"/>
      <c r="M233" s="21"/>
      <c r="N233" s="51"/>
      <c r="O233" s="51"/>
      <c r="P233" s="138"/>
      <c r="Q233" s="23"/>
    </row>
    <row r="234" spans="1:19" x14ac:dyDescent="0.25">
      <c r="A234" s="15">
        <v>20</v>
      </c>
      <c r="B234" s="21" t="s">
        <v>4</v>
      </c>
      <c r="C234" s="51">
        <v>0.41666666666666669</v>
      </c>
      <c r="D234" s="51">
        <v>0.5625</v>
      </c>
      <c r="E234" s="138">
        <v>3.5</v>
      </c>
      <c r="F234" s="23"/>
      <c r="G234" s="22" t="s">
        <v>233</v>
      </c>
      <c r="I234" s="57"/>
      <c r="M234" s="21"/>
      <c r="N234" s="51"/>
      <c r="O234" s="51"/>
    </row>
    <row r="235" spans="1:19" x14ac:dyDescent="0.25">
      <c r="A235" s="15">
        <v>21</v>
      </c>
      <c r="B235" s="21" t="s">
        <v>5</v>
      </c>
      <c r="C235" s="51">
        <v>0.4375</v>
      </c>
      <c r="D235" s="51">
        <v>0.52083333333333337</v>
      </c>
      <c r="E235" s="22">
        <v>2</v>
      </c>
      <c r="F235" s="22"/>
      <c r="G235" s="22" t="s">
        <v>233</v>
      </c>
      <c r="I235" s="57"/>
      <c r="M235" s="21"/>
      <c r="N235" s="139"/>
      <c r="O235" s="139"/>
      <c r="P235" s="140"/>
      <c r="Q235" s="135"/>
      <c r="S235" s="141"/>
    </row>
    <row r="236" spans="1:19" x14ac:dyDescent="0.25">
      <c r="B236" s="21"/>
      <c r="C236" s="139">
        <v>4.1666666666666664E-2</v>
      </c>
      <c r="D236" s="139">
        <v>0.125</v>
      </c>
      <c r="E236" s="140">
        <v>2</v>
      </c>
      <c r="F236" s="135"/>
      <c r="G236" s="141" t="s">
        <v>24</v>
      </c>
      <c r="I236" s="57"/>
      <c r="M236" s="21"/>
      <c r="N236" s="51"/>
      <c r="O236" s="51"/>
      <c r="P236" s="138"/>
      <c r="Q236" s="23"/>
      <c r="S236" s="21"/>
    </row>
    <row r="237" spans="1:19" x14ac:dyDescent="0.25">
      <c r="A237" s="15">
        <v>22</v>
      </c>
      <c r="B237" s="21" t="s">
        <v>6</v>
      </c>
      <c r="C237" s="51">
        <v>0.41666666666666669</v>
      </c>
      <c r="D237" s="51">
        <v>0.58333333333333337</v>
      </c>
      <c r="E237" s="138">
        <v>4</v>
      </c>
      <c r="F237" s="23"/>
      <c r="G237" s="21" t="s">
        <v>250</v>
      </c>
      <c r="I237" s="57"/>
      <c r="M237" s="21"/>
      <c r="N237" s="51"/>
      <c r="O237" s="51"/>
      <c r="P237" s="138"/>
      <c r="Q237" s="23"/>
      <c r="S237" s="21"/>
    </row>
    <row r="238" spans="1:19" x14ac:dyDescent="0.25">
      <c r="A238" s="15">
        <v>23</v>
      </c>
      <c r="B238" s="21" t="s">
        <v>7</v>
      </c>
      <c r="C238" s="51">
        <v>0.4375</v>
      </c>
      <c r="D238" s="51">
        <v>0.5625</v>
      </c>
      <c r="E238" s="138">
        <v>3.5</v>
      </c>
      <c r="F238" s="23"/>
      <c r="G238" s="21" t="s">
        <v>251</v>
      </c>
      <c r="I238" s="57"/>
      <c r="M238" s="21"/>
      <c r="N238" s="49"/>
      <c r="O238" s="49"/>
      <c r="P238" s="138"/>
      <c r="Q238" s="23"/>
      <c r="S238" s="21"/>
    </row>
    <row r="239" spans="1:19" x14ac:dyDescent="0.25">
      <c r="A239" s="15">
        <v>24</v>
      </c>
      <c r="B239" s="21" t="s">
        <v>8</v>
      </c>
      <c r="C239" s="49"/>
      <c r="D239" s="49"/>
      <c r="E239" s="138"/>
      <c r="F239" s="23"/>
      <c r="G239" s="21"/>
      <c r="I239" s="57"/>
    </row>
    <row r="240" spans="1:19" x14ac:dyDescent="0.25">
      <c r="B240" s="13" t="s">
        <v>26</v>
      </c>
      <c r="C240" s="32"/>
      <c r="D240" s="32"/>
      <c r="E240" s="32">
        <f>SUM(E232:E239)</f>
        <v>15</v>
      </c>
      <c r="G240" s="22"/>
      <c r="I240" s="57"/>
    </row>
    <row r="241" spans="1:19" x14ac:dyDescent="0.25">
      <c r="B241" s="13"/>
      <c r="C241" s="32"/>
      <c r="D241" s="32"/>
      <c r="E241" s="32"/>
      <c r="G241" s="22"/>
      <c r="I241" s="57"/>
    </row>
    <row r="242" spans="1:19" ht="61.5" customHeight="1" x14ac:dyDescent="0.9">
      <c r="A242" s="578" t="s">
        <v>252</v>
      </c>
      <c r="B242" s="578"/>
      <c r="C242" s="578"/>
      <c r="D242" s="578"/>
      <c r="E242" s="578"/>
      <c r="F242" s="578"/>
      <c r="G242" s="578"/>
      <c r="H242" s="578"/>
      <c r="I242" s="578"/>
      <c r="J242" s="423"/>
      <c r="K242" s="423"/>
      <c r="L242" s="423"/>
      <c r="M242" s="423"/>
      <c r="N242" s="423"/>
      <c r="O242" s="423"/>
      <c r="P242" s="423"/>
      <c r="Q242" s="423"/>
      <c r="R242" s="423"/>
      <c r="S242" s="423"/>
    </row>
    <row r="243" spans="1:19" x14ac:dyDescent="0.25">
      <c r="I243" s="57"/>
    </row>
    <row r="244" spans="1:19" x14ac:dyDescent="0.25">
      <c r="B244" s="13" t="s">
        <v>157</v>
      </c>
      <c r="C244" s="13" t="s">
        <v>11</v>
      </c>
      <c r="D244" s="13" t="s">
        <v>12</v>
      </c>
      <c r="E244" s="13" t="s">
        <v>13</v>
      </c>
      <c r="F244" s="13" t="s">
        <v>14</v>
      </c>
      <c r="G244" s="20" t="s">
        <v>0</v>
      </c>
      <c r="I244" s="57"/>
      <c r="M244" s="20"/>
      <c r="N244" s="20"/>
      <c r="O244" s="20"/>
      <c r="P244" s="20"/>
      <c r="Q244" s="20"/>
    </row>
    <row r="245" spans="1:19" x14ac:dyDescent="0.25">
      <c r="A245" s="15">
        <v>2</v>
      </c>
      <c r="B245" s="21" t="s">
        <v>2</v>
      </c>
      <c r="C245" s="49"/>
      <c r="D245" s="49"/>
      <c r="E245" s="138"/>
      <c r="F245" s="23"/>
      <c r="G245" s="21"/>
      <c r="I245" s="57"/>
      <c r="M245" s="21"/>
      <c r="N245" s="49"/>
      <c r="O245" s="49"/>
      <c r="P245" s="138"/>
      <c r="Q245" s="23"/>
      <c r="S245" s="21"/>
    </row>
    <row r="246" spans="1:19" x14ac:dyDescent="0.25">
      <c r="A246" s="15">
        <v>3</v>
      </c>
      <c r="B246" s="21" t="s">
        <v>3</v>
      </c>
      <c r="C246" s="48"/>
      <c r="D246" s="49"/>
      <c r="E246" s="138"/>
      <c r="F246" s="23"/>
      <c r="G246" s="21"/>
      <c r="I246" s="57"/>
      <c r="M246" s="21"/>
      <c r="N246" s="48"/>
      <c r="O246" s="49"/>
      <c r="P246" s="138"/>
      <c r="Q246" s="23"/>
      <c r="S246" s="21"/>
    </row>
    <row r="247" spans="1:19" x14ac:dyDescent="0.25">
      <c r="A247" s="15">
        <v>4</v>
      </c>
      <c r="B247" s="21" t="s">
        <v>4</v>
      </c>
      <c r="C247" s="51"/>
      <c r="D247" s="51"/>
      <c r="E247" s="138"/>
      <c r="F247" s="23"/>
      <c r="G247" s="22"/>
      <c r="I247" s="57"/>
      <c r="M247" s="21"/>
      <c r="N247" s="51"/>
      <c r="O247" s="51"/>
      <c r="P247" s="138"/>
      <c r="Q247" s="23"/>
    </row>
    <row r="248" spans="1:19" x14ac:dyDescent="0.25">
      <c r="A248" s="15">
        <v>5</v>
      </c>
      <c r="B248" s="21" t="s">
        <v>5</v>
      </c>
      <c r="C248" s="51">
        <v>0.4375</v>
      </c>
      <c r="D248" s="51">
        <v>0.47916666666666669</v>
      </c>
      <c r="E248" s="22">
        <v>1</v>
      </c>
      <c r="F248" s="22"/>
      <c r="G248" s="22" t="s">
        <v>254</v>
      </c>
      <c r="I248" s="57"/>
      <c r="M248" s="21"/>
      <c r="N248" s="51"/>
      <c r="O248" s="51"/>
    </row>
    <row r="249" spans="1:19" x14ac:dyDescent="0.25">
      <c r="B249" s="21"/>
      <c r="C249" s="139">
        <v>4.1666666666666664E-2</v>
      </c>
      <c r="D249" s="139">
        <v>0.125</v>
      </c>
      <c r="E249" s="140">
        <v>2</v>
      </c>
      <c r="F249" s="135"/>
      <c r="G249" s="141" t="s">
        <v>24</v>
      </c>
      <c r="I249" s="57"/>
      <c r="M249" s="21"/>
      <c r="N249" s="139"/>
      <c r="O249" s="139"/>
      <c r="P249" s="140"/>
      <c r="Q249" s="135"/>
      <c r="S249" s="141"/>
    </row>
    <row r="250" spans="1:19" x14ac:dyDescent="0.25">
      <c r="A250" s="15">
        <v>6</v>
      </c>
      <c r="B250" s="21" t="s">
        <v>6</v>
      </c>
      <c r="C250" s="51"/>
      <c r="D250" s="51"/>
      <c r="E250" s="138"/>
      <c r="F250" s="23"/>
      <c r="G250" s="21"/>
      <c r="I250" s="57"/>
      <c r="M250" s="21"/>
      <c r="N250" s="51"/>
      <c r="O250" s="51"/>
      <c r="P250" s="138"/>
      <c r="Q250" s="23"/>
      <c r="S250" s="21"/>
    </row>
    <row r="251" spans="1:19" x14ac:dyDescent="0.25">
      <c r="A251" s="15">
        <v>7</v>
      </c>
      <c r="B251" s="21" t="s">
        <v>7</v>
      </c>
      <c r="C251" s="51">
        <v>0.4375</v>
      </c>
      <c r="D251" s="51">
        <v>0.5625</v>
      </c>
      <c r="E251" s="138">
        <v>2</v>
      </c>
      <c r="F251" s="23"/>
      <c r="G251" s="21" t="s">
        <v>255</v>
      </c>
      <c r="I251" s="57"/>
      <c r="M251" s="21"/>
      <c r="N251" s="51"/>
      <c r="O251" s="51"/>
      <c r="P251" s="138"/>
      <c r="Q251" s="23"/>
      <c r="S251" s="21"/>
    </row>
    <row r="252" spans="1:19" x14ac:dyDescent="0.25">
      <c r="A252" s="15">
        <v>8</v>
      </c>
      <c r="B252" s="21" t="s">
        <v>8</v>
      </c>
      <c r="C252" s="49"/>
      <c r="D252" s="49"/>
      <c r="E252" s="138"/>
      <c r="F252" s="23"/>
      <c r="G252" s="21"/>
      <c r="I252" s="57"/>
      <c r="M252" s="21"/>
      <c r="N252" s="49"/>
      <c r="O252" s="49"/>
      <c r="P252" s="138"/>
      <c r="Q252" s="23"/>
      <c r="S252" s="21"/>
    </row>
    <row r="253" spans="1:19" ht="30" x14ac:dyDescent="0.25">
      <c r="B253" s="13" t="s">
        <v>26</v>
      </c>
      <c r="C253" s="32"/>
      <c r="D253" s="32"/>
      <c r="E253" s="32">
        <f>SUM(E245:E252)</f>
        <v>5</v>
      </c>
      <c r="F253" s="115" t="s">
        <v>393</v>
      </c>
      <c r="G253" s="145" t="s">
        <v>397</v>
      </c>
      <c r="I253" s="57"/>
      <c r="M253" s="21"/>
      <c r="N253" s="49"/>
      <c r="O253" s="49"/>
      <c r="P253" s="138"/>
      <c r="Q253" s="23"/>
      <c r="S253" s="21"/>
    </row>
    <row r="254" spans="1:19" x14ac:dyDescent="0.25">
      <c r="A254" s="313" t="s">
        <v>407</v>
      </c>
      <c r="B254" s="35" t="s">
        <v>227</v>
      </c>
      <c r="C254" s="60"/>
      <c r="D254" s="61"/>
      <c r="E254" s="35">
        <f>SUM(E232:E239,E245:E252)</f>
        <v>20</v>
      </c>
      <c r="F254" s="312">
        <f>SUM([2]Angelica_hist!G47,[2]Angelica_hist!G48)</f>
        <v>31</v>
      </c>
      <c r="G254" s="386">
        <f>SUM(E254+G229)-F254</f>
        <v>-25</v>
      </c>
      <c r="H254" s="43" t="s">
        <v>422</v>
      </c>
      <c r="I254" s="57"/>
    </row>
    <row r="255" spans="1:19" x14ac:dyDescent="0.25">
      <c r="I255" s="57"/>
      <c r="M255" s="20"/>
      <c r="N255" s="20"/>
      <c r="O255" s="20"/>
      <c r="P255" s="20"/>
      <c r="Q255" s="20"/>
    </row>
    <row r="256" spans="1:19" x14ac:dyDescent="0.25">
      <c r="B256" s="13" t="s">
        <v>158</v>
      </c>
      <c r="C256" s="13" t="s">
        <v>11</v>
      </c>
      <c r="D256" s="13" t="s">
        <v>12</v>
      </c>
      <c r="E256" s="13" t="s">
        <v>13</v>
      </c>
      <c r="F256" s="13" t="s">
        <v>14</v>
      </c>
      <c r="G256" s="20" t="s">
        <v>0</v>
      </c>
      <c r="I256" s="57"/>
      <c r="M256" s="21"/>
      <c r="N256" s="49"/>
      <c r="O256" s="49"/>
      <c r="P256" s="138"/>
      <c r="Q256" s="23"/>
      <c r="S256" s="21"/>
    </row>
    <row r="257" spans="1:19" x14ac:dyDescent="0.25">
      <c r="A257" s="15">
        <v>9</v>
      </c>
      <c r="B257" s="21" t="s">
        <v>2</v>
      </c>
      <c r="C257" s="49"/>
      <c r="D257" s="49"/>
      <c r="E257" s="138"/>
      <c r="F257" s="23"/>
      <c r="G257" s="21"/>
      <c r="I257" s="57"/>
      <c r="M257" s="21"/>
      <c r="N257" s="48"/>
      <c r="O257" s="49"/>
      <c r="P257" s="138"/>
      <c r="Q257" s="23"/>
      <c r="S257" s="21"/>
    </row>
    <row r="258" spans="1:19" x14ac:dyDescent="0.25">
      <c r="A258" s="15">
        <v>10</v>
      </c>
      <c r="B258" s="21" t="s">
        <v>3</v>
      </c>
      <c r="C258" s="48"/>
      <c r="D258" s="49"/>
      <c r="E258" s="138"/>
      <c r="F258" s="23"/>
      <c r="G258" s="21"/>
      <c r="I258" s="57"/>
      <c r="M258" s="21"/>
      <c r="N258" s="51"/>
      <c r="O258" s="51"/>
      <c r="P258" s="138"/>
      <c r="Q258" s="23"/>
    </row>
    <row r="259" spans="1:19" x14ac:dyDescent="0.25">
      <c r="A259" s="15">
        <v>11</v>
      </c>
      <c r="B259" s="21" t="s">
        <v>4</v>
      </c>
      <c r="C259" s="51"/>
      <c r="D259" s="51"/>
      <c r="E259" s="138"/>
      <c r="F259" s="23"/>
      <c r="G259" s="22"/>
      <c r="I259" s="57"/>
      <c r="M259" s="21"/>
      <c r="N259" s="51"/>
      <c r="O259" s="51"/>
    </row>
    <row r="260" spans="1:19" x14ac:dyDescent="0.25">
      <c r="A260" s="15">
        <v>12</v>
      </c>
      <c r="B260" s="21" t="s">
        <v>5</v>
      </c>
      <c r="C260" s="51">
        <v>0.16666666666666666</v>
      </c>
      <c r="D260" s="51">
        <v>0.25</v>
      </c>
      <c r="E260" s="22">
        <v>2</v>
      </c>
      <c r="F260" s="22"/>
      <c r="G260" s="22" t="s">
        <v>256</v>
      </c>
      <c r="I260" s="57"/>
      <c r="M260" s="21"/>
      <c r="N260" s="51"/>
      <c r="O260" s="51"/>
      <c r="P260" s="138"/>
      <c r="Q260" s="23"/>
      <c r="S260" s="21"/>
    </row>
    <row r="261" spans="1:19" x14ac:dyDescent="0.25">
      <c r="A261" s="15">
        <v>13</v>
      </c>
      <c r="B261" s="21" t="s">
        <v>6</v>
      </c>
      <c r="C261" s="51"/>
      <c r="D261" s="51"/>
      <c r="E261" s="138"/>
      <c r="F261" s="23"/>
      <c r="G261" s="21"/>
      <c r="I261" s="57"/>
      <c r="M261" s="21"/>
      <c r="N261" s="51"/>
      <c r="O261" s="51"/>
      <c r="P261" s="138"/>
      <c r="Q261" s="23"/>
      <c r="S261" s="21"/>
    </row>
    <row r="262" spans="1:19" x14ac:dyDescent="0.25">
      <c r="A262" s="15">
        <v>14</v>
      </c>
      <c r="B262" s="21" t="s">
        <v>7</v>
      </c>
      <c r="C262" s="51"/>
      <c r="D262" s="51"/>
      <c r="E262" s="138"/>
      <c r="F262" s="23"/>
      <c r="G262" s="21"/>
      <c r="I262" s="57"/>
      <c r="M262" s="21"/>
      <c r="N262" s="49"/>
      <c r="O262" s="49"/>
      <c r="P262" s="138"/>
      <c r="Q262" s="23"/>
      <c r="S262" s="21"/>
    </row>
    <row r="263" spans="1:19" x14ac:dyDescent="0.25">
      <c r="A263" s="15">
        <v>15</v>
      </c>
      <c r="B263" s="21" t="s">
        <v>8</v>
      </c>
      <c r="C263" s="49"/>
      <c r="D263" s="49"/>
      <c r="E263" s="138"/>
      <c r="F263" s="23"/>
      <c r="G263" s="21"/>
      <c r="I263" s="57"/>
    </row>
    <row r="264" spans="1:19" x14ac:dyDescent="0.25">
      <c r="B264" s="13" t="s">
        <v>26</v>
      </c>
      <c r="C264" s="32"/>
      <c r="D264" s="32"/>
      <c r="E264" s="32">
        <f>SUM(E256:E263)</f>
        <v>2</v>
      </c>
      <c r="G264" s="22"/>
      <c r="I264" s="57"/>
    </row>
    <row r="265" spans="1:19" x14ac:dyDescent="0.25">
      <c r="G265" s="22"/>
      <c r="I265" s="57"/>
      <c r="M265" s="20"/>
      <c r="N265" s="20"/>
      <c r="O265" s="20"/>
      <c r="P265" s="20"/>
      <c r="Q265" s="20"/>
    </row>
    <row r="266" spans="1:19" x14ac:dyDescent="0.25">
      <c r="B266" s="13" t="s">
        <v>159</v>
      </c>
      <c r="C266" s="13" t="s">
        <v>11</v>
      </c>
      <c r="D266" s="13" t="s">
        <v>12</v>
      </c>
      <c r="E266" s="13" t="s">
        <v>13</v>
      </c>
      <c r="F266" s="13" t="s">
        <v>14</v>
      </c>
      <c r="G266" s="20" t="s">
        <v>0</v>
      </c>
      <c r="I266" s="57"/>
      <c r="M266" s="21"/>
      <c r="N266" s="49"/>
      <c r="O266" s="49"/>
      <c r="P266" s="138"/>
      <c r="Q266" s="23"/>
    </row>
    <row r="267" spans="1:19" x14ac:dyDescent="0.25">
      <c r="B267" s="14" t="s">
        <v>2</v>
      </c>
      <c r="C267" s="33"/>
      <c r="D267" s="25"/>
      <c r="E267" s="14"/>
      <c r="F267" s="24"/>
      <c r="G267" s="21"/>
      <c r="I267" s="57"/>
      <c r="M267" s="21"/>
      <c r="N267" s="48"/>
      <c r="O267" s="49"/>
      <c r="P267" s="138"/>
      <c r="Q267" s="23"/>
    </row>
    <row r="268" spans="1:19" ht="15" customHeight="1" x14ac:dyDescent="0.25">
      <c r="B268" s="14" t="s">
        <v>3</v>
      </c>
      <c r="C268" s="26"/>
      <c r="D268" s="26"/>
      <c r="G268" s="22"/>
      <c r="I268" s="57"/>
      <c r="M268" s="21"/>
      <c r="N268" s="51"/>
      <c r="O268" s="51"/>
      <c r="P268" s="138"/>
      <c r="Q268" s="23"/>
    </row>
    <row r="269" spans="1:19" x14ac:dyDescent="0.25">
      <c r="B269" s="14" t="s">
        <v>4</v>
      </c>
      <c r="C269" s="586" t="s">
        <v>476</v>
      </c>
      <c r="D269" s="586"/>
      <c r="E269" s="586"/>
      <c r="F269" s="586"/>
      <c r="G269" s="586"/>
      <c r="I269" s="57"/>
      <c r="M269" s="21"/>
      <c r="N269" s="51"/>
      <c r="O269" s="51"/>
    </row>
    <row r="270" spans="1:19" x14ac:dyDescent="0.25">
      <c r="B270" s="14" t="s">
        <v>5</v>
      </c>
      <c r="C270" s="586"/>
      <c r="D270" s="586"/>
      <c r="E270" s="586"/>
      <c r="F270" s="586"/>
      <c r="G270" s="586"/>
      <c r="I270" s="57"/>
      <c r="M270" s="21"/>
      <c r="N270" s="51"/>
      <c r="O270" s="51"/>
      <c r="P270" s="138"/>
      <c r="Q270" s="23"/>
    </row>
    <row r="271" spans="1:19" ht="15" customHeight="1" x14ac:dyDescent="0.25">
      <c r="B271" s="14" t="s">
        <v>6</v>
      </c>
      <c r="C271" s="586"/>
      <c r="D271" s="586"/>
      <c r="E271" s="586"/>
      <c r="F271" s="586"/>
      <c r="G271" s="586"/>
      <c r="I271" s="57"/>
      <c r="M271" s="21"/>
      <c r="N271" s="51"/>
      <c r="O271" s="51"/>
      <c r="P271" s="138"/>
      <c r="Q271" s="23"/>
    </row>
    <row r="272" spans="1:19" x14ac:dyDescent="0.25">
      <c r="B272" s="14" t="s">
        <v>7</v>
      </c>
      <c r="C272" s="42"/>
      <c r="D272" s="42"/>
      <c r="E272" s="14"/>
      <c r="F272" s="24"/>
      <c r="G272" s="21"/>
      <c r="I272" s="57"/>
      <c r="M272" s="21"/>
      <c r="N272" s="49"/>
      <c r="O272" s="49"/>
      <c r="P272" s="138"/>
      <c r="Q272" s="23"/>
    </row>
    <row r="273" spans="1:9" x14ac:dyDescent="0.25">
      <c r="A273" s="21"/>
      <c r="B273" s="14" t="s">
        <v>8</v>
      </c>
      <c r="C273" s="25"/>
      <c r="D273" s="25"/>
      <c r="E273" s="14"/>
      <c r="F273" s="24"/>
      <c r="G273" s="21"/>
      <c r="I273" s="57"/>
    </row>
    <row r="274" spans="1:9" ht="30" x14ac:dyDescent="0.25">
      <c r="A274" s="61" t="s">
        <v>396</v>
      </c>
      <c r="B274" s="13" t="s">
        <v>26</v>
      </c>
      <c r="C274" s="32"/>
      <c r="D274" s="32"/>
      <c r="E274" s="415">
        <v>12</v>
      </c>
      <c r="F274" s="115" t="s">
        <v>393</v>
      </c>
      <c r="G274" s="145" t="s">
        <v>397</v>
      </c>
      <c r="I274" s="57"/>
    </row>
    <row r="275" spans="1:9" x14ac:dyDescent="0.25">
      <c r="A275" s="144"/>
      <c r="B275" s="35" t="s">
        <v>227</v>
      </c>
      <c r="C275" s="60"/>
      <c r="D275" s="61" t="s">
        <v>396</v>
      </c>
      <c r="E275" s="35">
        <f>SUM(E274,E264)</f>
        <v>14</v>
      </c>
      <c r="F275" s="115">
        <v>0</v>
      </c>
      <c r="G275" s="386">
        <f>SUM(E275+G254)-F275</f>
        <v>-11</v>
      </c>
      <c r="H275" s="43" t="s">
        <v>422</v>
      </c>
      <c r="I275" s="57"/>
    </row>
    <row r="276" spans="1:9" x14ac:dyDescent="0.25">
      <c r="I276" s="57"/>
    </row>
    <row r="277" spans="1:9" x14ac:dyDescent="0.25">
      <c r="B277" s="13" t="s">
        <v>160</v>
      </c>
      <c r="C277" s="13" t="s">
        <v>11</v>
      </c>
      <c r="D277" s="13" t="s">
        <v>12</v>
      </c>
      <c r="E277" s="13" t="s">
        <v>13</v>
      </c>
      <c r="F277" s="13" t="s">
        <v>14</v>
      </c>
      <c r="G277" s="13" t="s">
        <v>0</v>
      </c>
      <c r="I277" s="57"/>
    </row>
    <row r="278" spans="1:9" x14ac:dyDescent="0.25">
      <c r="B278" s="14" t="s">
        <v>2</v>
      </c>
      <c r="C278" s="33"/>
      <c r="D278" s="25"/>
      <c r="E278" s="14"/>
      <c r="F278" s="24"/>
      <c r="G278" s="14"/>
      <c r="I278" s="57"/>
    </row>
    <row r="279" spans="1:9" x14ac:dyDescent="0.25">
      <c r="B279" s="14" t="s">
        <v>3</v>
      </c>
      <c r="C279" s="26"/>
      <c r="D279" s="26"/>
      <c r="I279" s="57"/>
    </row>
    <row r="280" spans="1:9" x14ac:dyDescent="0.25">
      <c r="B280" s="14" t="s">
        <v>4</v>
      </c>
      <c r="C280" s="586" t="s">
        <v>475</v>
      </c>
      <c r="D280" s="586"/>
      <c r="E280" s="586"/>
      <c r="F280" s="586"/>
      <c r="G280" s="586"/>
      <c r="I280" s="57"/>
    </row>
    <row r="281" spans="1:9" x14ac:dyDescent="0.25">
      <c r="B281" s="14" t="s">
        <v>5</v>
      </c>
      <c r="C281" s="586"/>
      <c r="D281" s="586"/>
      <c r="E281" s="586"/>
      <c r="F281" s="586"/>
      <c r="G281" s="586"/>
      <c r="I281" s="57"/>
    </row>
    <row r="282" spans="1:9" x14ac:dyDescent="0.25">
      <c r="B282" s="14" t="s">
        <v>6</v>
      </c>
      <c r="C282" s="586"/>
      <c r="D282" s="586"/>
      <c r="E282" s="586"/>
      <c r="F282" s="586"/>
      <c r="G282" s="586"/>
      <c r="I282" s="57"/>
    </row>
    <row r="283" spans="1:9" x14ac:dyDescent="0.25">
      <c r="B283" s="14" t="s">
        <v>7</v>
      </c>
      <c r="C283" s="42"/>
      <c r="D283" s="42"/>
      <c r="E283" s="14"/>
      <c r="F283" s="24"/>
      <c r="G283" s="14"/>
      <c r="I283" s="57"/>
    </row>
    <row r="284" spans="1:9" x14ac:dyDescent="0.25">
      <c r="B284" s="14" t="s">
        <v>8</v>
      </c>
      <c r="C284" s="25"/>
      <c r="D284" s="25"/>
      <c r="E284" s="14"/>
      <c r="F284" s="24"/>
      <c r="G284" s="14"/>
      <c r="I284" s="57"/>
    </row>
    <row r="285" spans="1:9" x14ac:dyDescent="0.25">
      <c r="B285" s="13" t="s">
        <v>26</v>
      </c>
      <c r="C285" s="32"/>
      <c r="D285" s="32"/>
      <c r="E285" s="415">
        <v>8</v>
      </c>
      <c r="I285" s="57"/>
    </row>
    <row r="286" spans="1:9" x14ac:dyDescent="0.25">
      <c r="I286" s="57"/>
    </row>
    <row r="287" spans="1:9" x14ac:dyDescent="0.25">
      <c r="B287" s="13" t="s">
        <v>162</v>
      </c>
      <c r="C287" s="13" t="s">
        <v>11</v>
      </c>
      <c r="D287" s="13" t="s">
        <v>12</v>
      </c>
      <c r="E287" s="13" t="s">
        <v>13</v>
      </c>
      <c r="F287" s="13" t="s">
        <v>14</v>
      </c>
      <c r="G287" s="13" t="s">
        <v>0</v>
      </c>
      <c r="I287" s="57"/>
    </row>
    <row r="288" spans="1:9" x14ac:dyDescent="0.25">
      <c r="B288" s="14" t="s">
        <v>2</v>
      </c>
      <c r="C288" s="33"/>
      <c r="D288" s="25"/>
      <c r="E288" s="14"/>
      <c r="F288" s="24"/>
      <c r="G288" s="14"/>
      <c r="I288" s="57"/>
    </row>
    <row r="289" spans="1:9" ht="30" x14ac:dyDescent="0.25">
      <c r="A289" s="43" t="s">
        <v>422</v>
      </c>
      <c r="B289" s="14" t="s">
        <v>3</v>
      </c>
      <c r="C289" s="26"/>
      <c r="D289" s="26"/>
      <c r="I289" s="57"/>
    </row>
    <row r="290" spans="1:9" x14ac:dyDescent="0.25">
      <c r="B290" s="14" t="s">
        <v>4</v>
      </c>
      <c r="C290" s="586" t="s">
        <v>474</v>
      </c>
      <c r="D290" s="586"/>
      <c r="E290" s="586"/>
      <c r="F290" s="586"/>
      <c r="G290" s="586"/>
      <c r="I290" s="57"/>
    </row>
    <row r="291" spans="1:9" x14ac:dyDescent="0.25">
      <c r="B291" s="14" t="s">
        <v>5</v>
      </c>
      <c r="C291" s="586"/>
      <c r="D291" s="586"/>
      <c r="E291" s="586"/>
      <c r="F291" s="586"/>
      <c r="G291" s="586"/>
      <c r="I291" s="57"/>
    </row>
    <row r="292" spans="1:9" x14ac:dyDescent="0.25">
      <c r="B292" s="14" t="s">
        <v>6</v>
      </c>
      <c r="C292" s="586"/>
      <c r="D292" s="586"/>
      <c r="E292" s="586"/>
      <c r="F292" s="586"/>
      <c r="G292" s="586"/>
      <c r="I292" s="57"/>
    </row>
    <row r="293" spans="1:9" x14ac:dyDescent="0.25">
      <c r="B293" s="14" t="s">
        <v>7</v>
      </c>
      <c r="C293" s="42"/>
      <c r="D293" s="42"/>
      <c r="E293" s="14"/>
      <c r="F293" s="24"/>
      <c r="G293" s="14"/>
      <c r="I293" s="57"/>
    </row>
    <row r="294" spans="1:9" x14ac:dyDescent="0.25">
      <c r="A294" s="21"/>
      <c r="B294" s="14" t="s">
        <v>8</v>
      </c>
      <c r="C294" s="25"/>
      <c r="D294" s="25"/>
      <c r="E294" s="14"/>
      <c r="F294" s="24"/>
      <c r="G294" s="14"/>
      <c r="I294" s="57"/>
    </row>
    <row r="295" spans="1:9" ht="30" x14ac:dyDescent="0.25">
      <c r="B295" s="13" t="s">
        <v>26</v>
      </c>
      <c r="C295" s="32"/>
      <c r="D295" s="32"/>
      <c r="E295" s="415">
        <v>6</v>
      </c>
      <c r="F295" s="115" t="s">
        <v>393</v>
      </c>
      <c r="G295" s="145" t="s">
        <v>397</v>
      </c>
      <c r="I295" s="57"/>
    </row>
    <row r="296" spans="1:9" x14ac:dyDescent="0.25">
      <c r="A296" s="313" t="s">
        <v>334</v>
      </c>
      <c r="B296" s="35" t="s">
        <v>227</v>
      </c>
      <c r="C296" s="40"/>
      <c r="D296" s="41"/>
      <c r="E296" s="35">
        <f>SUM(E295,E285)</f>
        <v>14</v>
      </c>
      <c r="F296" s="416">
        <v>0</v>
      </c>
      <c r="G296" s="308">
        <f>SUM(E296+G275)-F296</f>
        <v>3</v>
      </c>
      <c r="H296" s="43" t="s">
        <v>422</v>
      </c>
      <c r="I296" s="57"/>
    </row>
    <row r="297" spans="1:9" x14ac:dyDescent="0.25">
      <c r="I297" s="57"/>
    </row>
    <row r="298" spans="1:9" x14ac:dyDescent="0.25">
      <c r="B298" s="13" t="s">
        <v>161</v>
      </c>
      <c r="C298" s="13" t="s">
        <v>11</v>
      </c>
      <c r="D298" s="13" t="s">
        <v>12</v>
      </c>
      <c r="E298" s="13" t="s">
        <v>13</v>
      </c>
      <c r="F298" s="13" t="s">
        <v>14</v>
      </c>
      <c r="G298" s="13" t="s">
        <v>0</v>
      </c>
      <c r="I298" s="57"/>
    </row>
    <row r="299" spans="1:9" x14ac:dyDescent="0.25">
      <c r="B299" s="14" t="s">
        <v>2</v>
      </c>
      <c r="C299" s="33"/>
      <c r="D299" s="25"/>
      <c r="E299" s="14"/>
      <c r="F299" s="24"/>
      <c r="G299" s="14"/>
      <c r="I299" s="57"/>
    </row>
    <row r="300" spans="1:9" x14ac:dyDescent="0.25">
      <c r="B300" s="14" t="s">
        <v>3</v>
      </c>
      <c r="C300" s="26"/>
      <c r="D300" s="26"/>
      <c r="I300" s="57"/>
    </row>
    <row r="301" spans="1:9" x14ac:dyDescent="0.25">
      <c r="B301" s="14" t="s">
        <v>4</v>
      </c>
      <c r="C301" s="26"/>
      <c r="D301" s="26"/>
      <c r="G301" s="14"/>
      <c r="I301" s="57"/>
    </row>
    <row r="302" spans="1:9" x14ac:dyDescent="0.25">
      <c r="B302" s="14" t="s">
        <v>5</v>
      </c>
      <c r="C302" s="25"/>
      <c r="D302" s="25"/>
      <c r="E302" s="14"/>
      <c r="F302" s="24"/>
      <c r="G302" s="14"/>
      <c r="I302" s="57"/>
    </row>
    <row r="303" spans="1:9" x14ac:dyDescent="0.25">
      <c r="B303" s="14" t="s">
        <v>6</v>
      </c>
      <c r="C303" s="42"/>
      <c r="D303" s="42"/>
      <c r="E303" s="14"/>
      <c r="G303" s="24"/>
      <c r="I303" s="57"/>
    </row>
    <row r="304" spans="1:9" x14ac:dyDescent="0.25">
      <c r="B304" s="14" t="s">
        <v>7</v>
      </c>
      <c r="C304" s="42"/>
      <c r="D304" s="42"/>
      <c r="E304" s="14"/>
      <c r="F304" s="24"/>
      <c r="G304" s="14"/>
      <c r="I304" s="57"/>
    </row>
    <row r="305" spans="1:9" x14ac:dyDescent="0.25">
      <c r="B305" s="14" t="s">
        <v>8</v>
      </c>
      <c r="C305" s="25"/>
      <c r="D305" s="25"/>
      <c r="E305" s="14"/>
      <c r="F305" s="24"/>
      <c r="G305" s="14"/>
      <c r="I305" s="57"/>
    </row>
    <row r="306" spans="1:9" x14ac:dyDescent="0.25">
      <c r="B306" s="13" t="s">
        <v>26</v>
      </c>
      <c r="C306" s="32"/>
      <c r="D306" s="32"/>
      <c r="E306" s="415">
        <v>5</v>
      </c>
      <c r="I306" s="57"/>
    </row>
    <row r="307" spans="1:9" x14ac:dyDescent="0.25">
      <c r="I307" s="57"/>
    </row>
    <row r="308" spans="1:9" x14ac:dyDescent="0.25">
      <c r="B308" s="13" t="s">
        <v>163</v>
      </c>
      <c r="C308" s="13" t="s">
        <v>11</v>
      </c>
      <c r="D308" s="13" t="s">
        <v>12</v>
      </c>
      <c r="E308" s="13" t="s">
        <v>13</v>
      </c>
      <c r="F308" s="13" t="s">
        <v>14</v>
      </c>
      <c r="G308" s="13" t="s">
        <v>0</v>
      </c>
      <c r="I308" s="57"/>
    </row>
    <row r="309" spans="1:9" x14ac:dyDescent="0.25">
      <c r="B309" s="14" t="s">
        <v>2</v>
      </c>
      <c r="C309" s="33"/>
      <c r="D309" s="25"/>
      <c r="E309" s="14"/>
      <c r="F309" s="24"/>
      <c r="G309" s="14"/>
      <c r="I309" s="57"/>
    </row>
    <row r="310" spans="1:9" x14ac:dyDescent="0.25">
      <c r="B310" s="14" t="s">
        <v>3</v>
      </c>
      <c r="C310" s="26"/>
      <c r="D310" s="26"/>
      <c r="I310" s="57"/>
    </row>
    <row r="311" spans="1:9" x14ac:dyDescent="0.25">
      <c r="B311" s="14" t="s">
        <v>4</v>
      </c>
      <c r="C311" s="26"/>
      <c r="D311" s="26"/>
      <c r="G311" s="14"/>
      <c r="I311" s="57"/>
    </row>
    <row r="312" spans="1:9" x14ac:dyDescent="0.25">
      <c r="B312" s="14" t="s">
        <v>5</v>
      </c>
      <c r="C312" s="25"/>
      <c r="D312" s="25"/>
      <c r="E312" s="14"/>
      <c r="F312" s="24"/>
      <c r="G312" s="14"/>
      <c r="I312" s="57"/>
    </row>
    <row r="313" spans="1:9" x14ac:dyDescent="0.25">
      <c r="B313" s="14" t="s">
        <v>6</v>
      </c>
      <c r="C313" s="42"/>
      <c r="D313" s="42"/>
      <c r="E313" s="14"/>
      <c r="G313" s="24"/>
      <c r="I313" s="57"/>
    </row>
    <row r="314" spans="1:9" x14ac:dyDescent="0.25">
      <c r="B314" s="14" t="s">
        <v>7</v>
      </c>
      <c r="C314" s="42"/>
      <c r="D314" s="42"/>
      <c r="E314" s="14"/>
      <c r="F314" s="24"/>
      <c r="G314" s="14"/>
      <c r="I314" s="57"/>
    </row>
    <row r="315" spans="1:9" x14ac:dyDescent="0.25">
      <c r="A315" s="21"/>
      <c r="B315" s="14" t="s">
        <v>8</v>
      </c>
      <c r="C315" s="25"/>
      <c r="D315" s="25"/>
      <c r="E315" s="14"/>
      <c r="F315" s="24"/>
      <c r="G315" s="14"/>
      <c r="I315" s="57"/>
    </row>
    <row r="316" spans="1:9" ht="30" x14ac:dyDescent="0.25">
      <c r="B316" s="13" t="s">
        <v>26</v>
      </c>
      <c r="C316" s="32"/>
      <c r="D316" s="32"/>
      <c r="E316" s="415">
        <v>2</v>
      </c>
      <c r="F316" s="115" t="s">
        <v>393</v>
      </c>
      <c r="G316" s="145" t="s">
        <v>397</v>
      </c>
      <c r="I316" s="57"/>
    </row>
    <row r="317" spans="1:9" x14ac:dyDescent="0.25">
      <c r="A317" s="313" t="s">
        <v>335</v>
      </c>
      <c r="B317" s="35" t="s">
        <v>227</v>
      </c>
      <c r="C317" s="40"/>
      <c r="D317" s="41"/>
      <c r="E317" s="35">
        <f>SUM(E316,E306)</f>
        <v>7</v>
      </c>
      <c r="F317" s="416">
        <v>10</v>
      </c>
      <c r="G317" s="314">
        <f>SUM(E317+G296)-F317</f>
        <v>0</v>
      </c>
      <c r="H317" s="43" t="s">
        <v>422</v>
      </c>
      <c r="I317" s="57"/>
    </row>
    <row r="318" spans="1:9" x14ac:dyDescent="0.25">
      <c r="I318" s="57"/>
    </row>
    <row r="319" spans="1:9" x14ac:dyDescent="0.25">
      <c r="B319" s="13" t="s">
        <v>164</v>
      </c>
      <c r="C319" s="13" t="s">
        <v>11</v>
      </c>
      <c r="D319" s="13" t="s">
        <v>12</v>
      </c>
      <c r="E319" s="13" t="s">
        <v>13</v>
      </c>
      <c r="F319" s="13" t="s">
        <v>14</v>
      </c>
      <c r="G319" s="13" t="s">
        <v>0</v>
      </c>
      <c r="I319" s="57"/>
    </row>
    <row r="320" spans="1:9" x14ac:dyDescent="0.25">
      <c r="B320" s="14" t="s">
        <v>2</v>
      </c>
      <c r="C320" s="33"/>
      <c r="D320" s="25"/>
      <c r="E320" s="14"/>
      <c r="F320" s="24"/>
      <c r="G320" s="14"/>
      <c r="I320" s="57"/>
    </row>
    <row r="321" spans="1:9" x14ac:dyDescent="0.25">
      <c r="B321" s="14" t="s">
        <v>3</v>
      </c>
      <c r="C321" s="26"/>
      <c r="D321" s="26"/>
      <c r="I321" s="57"/>
    </row>
    <row r="322" spans="1:9" x14ac:dyDescent="0.25">
      <c r="B322" s="14" t="s">
        <v>4</v>
      </c>
      <c r="C322" s="26"/>
      <c r="D322" s="26"/>
      <c r="G322" s="14"/>
      <c r="I322" s="57"/>
    </row>
    <row r="323" spans="1:9" x14ac:dyDescent="0.25">
      <c r="B323" s="14" t="s">
        <v>5</v>
      </c>
      <c r="C323" s="25"/>
      <c r="D323" s="25"/>
      <c r="E323" s="14"/>
      <c r="F323" s="24"/>
      <c r="G323" s="14"/>
      <c r="I323" s="57"/>
    </row>
    <row r="324" spans="1:9" x14ac:dyDescent="0.25">
      <c r="B324" s="14" t="s">
        <v>6</v>
      </c>
      <c r="C324" s="42"/>
      <c r="D324" s="42"/>
      <c r="E324" s="14"/>
      <c r="G324" s="24"/>
      <c r="I324" s="57"/>
    </row>
    <row r="325" spans="1:9" x14ac:dyDescent="0.25">
      <c r="B325" s="14" t="s">
        <v>7</v>
      </c>
      <c r="C325" s="42"/>
      <c r="D325" s="42"/>
      <c r="E325" s="14"/>
      <c r="F325" s="24"/>
      <c r="G325" s="14"/>
      <c r="I325" s="57"/>
    </row>
    <row r="326" spans="1:9" x14ac:dyDescent="0.25">
      <c r="B326" s="14" t="s">
        <v>8</v>
      </c>
      <c r="C326" s="25"/>
      <c r="D326" s="25"/>
      <c r="E326" s="14"/>
      <c r="F326" s="24"/>
      <c r="G326" s="14"/>
      <c r="I326" s="57"/>
    </row>
    <row r="327" spans="1:9" x14ac:dyDescent="0.25">
      <c r="B327" s="13" t="s">
        <v>26</v>
      </c>
      <c r="C327" s="32"/>
      <c r="D327" s="32"/>
      <c r="E327" s="415">
        <f>SUM(E319:E326)</f>
        <v>0</v>
      </c>
      <c r="I327" s="57"/>
    </row>
    <row r="328" spans="1:9" x14ac:dyDescent="0.25">
      <c r="I328" s="57"/>
    </row>
    <row r="329" spans="1:9" x14ac:dyDescent="0.25">
      <c r="B329" s="13" t="s">
        <v>165</v>
      </c>
      <c r="C329" s="13" t="s">
        <v>11</v>
      </c>
      <c r="D329" s="13" t="s">
        <v>12</v>
      </c>
      <c r="E329" s="13" t="s">
        <v>13</v>
      </c>
      <c r="F329" s="13" t="s">
        <v>14</v>
      </c>
      <c r="G329" s="13" t="s">
        <v>0</v>
      </c>
      <c r="I329" s="57"/>
    </row>
    <row r="330" spans="1:9" x14ac:dyDescent="0.25">
      <c r="B330" s="14" t="s">
        <v>2</v>
      </c>
      <c r="C330" s="33"/>
      <c r="D330" s="25"/>
      <c r="E330" s="14"/>
      <c r="F330" s="24"/>
      <c r="G330" s="14"/>
      <c r="I330" s="57"/>
    </row>
    <row r="331" spans="1:9" x14ac:dyDescent="0.25">
      <c r="B331" s="14" t="s">
        <v>3</v>
      </c>
      <c r="C331" s="26"/>
      <c r="D331" s="26"/>
      <c r="I331" s="57"/>
    </row>
    <row r="332" spans="1:9" x14ac:dyDescent="0.25">
      <c r="B332" s="14" t="s">
        <v>4</v>
      </c>
      <c r="C332" s="26"/>
      <c r="D332" s="26"/>
      <c r="G332" s="14"/>
      <c r="I332" s="57"/>
    </row>
    <row r="333" spans="1:9" x14ac:dyDescent="0.25">
      <c r="B333" s="14" t="s">
        <v>5</v>
      </c>
      <c r="C333" s="25"/>
      <c r="D333" s="25"/>
      <c r="E333" s="14"/>
      <c r="F333" s="24"/>
      <c r="G333" s="14"/>
      <c r="I333" s="57"/>
    </row>
    <row r="334" spans="1:9" x14ac:dyDescent="0.25">
      <c r="B334" s="14" t="s">
        <v>6</v>
      </c>
      <c r="C334" s="42"/>
      <c r="D334" s="42"/>
      <c r="E334" s="14"/>
      <c r="G334" s="24"/>
      <c r="I334" s="57"/>
    </row>
    <row r="335" spans="1:9" x14ac:dyDescent="0.25">
      <c r="B335" s="14" t="s">
        <v>7</v>
      </c>
      <c r="C335" s="42"/>
      <c r="D335" s="42"/>
      <c r="E335" s="14"/>
      <c r="F335" s="24"/>
      <c r="G335" s="14"/>
      <c r="I335" s="57"/>
    </row>
    <row r="336" spans="1:9" x14ac:dyDescent="0.25">
      <c r="A336" s="21"/>
      <c r="B336" s="14" t="s">
        <v>8</v>
      </c>
      <c r="C336" s="25"/>
      <c r="D336" s="25"/>
      <c r="E336" s="14"/>
      <c r="F336" s="24"/>
      <c r="G336" s="14"/>
      <c r="I336" s="57"/>
    </row>
    <row r="337" spans="1:9" ht="30" x14ac:dyDescent="0.25">
      <c r="B337" s="13" t="s">
        <v>26</v>
      </c>
      <c r="C337" s="32"/>
      <c r="D337" s="32"/>
      <c r="E337" s="415">
        <v>5</v>
      </c>
      <c r="F337" s="115" t="s">
        <v>393</v>
      </c>
      <c r="G337" s="145" t="s">
        <v>397</v>
      </c>
      <c r="I337" s="57"/>
    </row>
    <row r="338" spans="1:9" ht="30" x14ac:dyDescent="0.25">
      <c r="A338" s="313" t="s">
        <v>336</v>
      </c>
      <c r="B338" s="35" t="s">
        <v>227</v>
      </c>
      <c r="C338" s="40"/>
      <c r="D338" s="41"/>
      <c r="E338" s="35">
        <f>SUM(E337,E327)</f>
        <v>5</v>
      </c>
      <c r="F338" s="416">
        <v>5</v>
      </c>
      <c r="G338" s="314">
        <f>SUM(E338+G317)-F338</f>
        <v>0</v>
      </c>
      <c r="H338" s="43" t="s">
        <v>422</v>
      </c>
      <c r="I338" s="57"/>
    </row>
    <row r="342" spans="1:9" ht="33.75" x14ac:dyDescent="0.5">
      <c r="A342" s="587" t="s">
        <v>423</v>
      </c>
      <c r="B342" s="587"/>
      <c r="C342" s="587"/>
      <c r="D342" s="587"/>
      <c r="E342" s="587"/>
      <c r="F342" s="587"/>
      <c r="G342" s="587"/>
      <c r="H342" s="587"/>
    </row>
    <row r="343" spans="1:9" ht="33.75" customHeight="1" x14ac:dyDescent="0.5">
      <c r="A343" s="341" t="s">
        <v>425</v>
      </c>
      <c r="B343" s="341" t="s">
        <v>426</v>
      </c>
      <c r="C343" s="341" t="s">
        <v>430</v>
      </c>
      <c r="D343" s="584" t="s">
        <v>478</v>
      </c>
      <c r="E343" s="584"/>
      <c r="F343" s="584"/>
      <c r="G343" s="584"/>
      <c r="H343" s="584"/>
      <c r="I343" s="15"/>
    </row>
    <row r="344" spans="1:9" ht="30" customHeight="1" x14ac:dyDescent="0.25">
      <c r="A344" s="338" t="s">
        <v>424</v>
      </c>
      <c r="B344" s="310">
        <f>SUM([2]Angelica_hist!G54)</f>
        <v>188.5</v>
      </c>
      <c r="C344" s="338" t="s">
        <v>431</v>
      </c>
      <c r="D344" s="584"/>
      <c r="E344" s="584"/>
      <c r="F344" s="584"/>
      <c r="G344" s="584"/>
      <c r="H344" s="584"/>
      <c r="I344" s="15"/>
    </row>
    <row r="345" spans="1:9" ht="90" customHeight="1" x14ac:dyDescent="0.25">
      <c r="A345" s="44" t="s">
        <v>429</v>
      </c>
      <c r="B345" s="44">
        <f>SUM(E337,E218,B104327,E316,E295,E285,E274,E264,E253,E228,E204,E193,E168,E179,E156,E102,E90,E76,E42,E54,E64,E119,E132,E240,E145,E306)</f>
        <v>203.5</v>
      </c>
      <c r="C345" s="44" t="s">
        <v>432</v>
      </c>
      <c r="D345" s="584"/>
      <c r="E345" s="584"/>
      <c r="F345" s="584"/>
      <c r="G345" s="584"/>
      <c r="H345" s="584"/>
      <c r="I345" s="15"/>
    </row>
    <row r="346" spans="1:9" ht="72" x14ac:dyDescent="0.55000000000000004">
      <c r="A346" s="339" t="s">
        <v>427</v>
      </c>
      <c r="B346" s="430">
        <f>SUM(B344-B345)</f>
        <v>-15</v>
      </c>
      <c r="C346" s="15" t="s">
        <v>479</v>
      </c>
      <c r="D346" s="584"/>
      <c r="E346" s="584"/>
      <c r="F346" s="584"/>
      <c r="G346" s="584"/>
      <c r="H346" s="584"/>
      <c r="I346" s="15"/>
    </row>
    <row r="347" spans="1:9" ht="30" x14ac:dyDescent="0.25">
      <c r="A347" s="15" t="s">
        <v>480</v>
      </c>
      <c r="B347" s="287">
        <f>SUM(F254,F229,F205,F180,F157,F65,F43,F133,F275,F296,F317,F338)</f>
        <v>203.5</v>
      </c>
    </row>
    <row r="348" spans="1:9" ht="31.5" x14ac:dyDescent="0.5">
      <c r="A348" s="15" t="s">
        <v>481</v>
      </c>
      <c r="B348" s="431">
        <f>SUM(B347-B345)</f>
        <v>0</v>
      </c>
    </row>
    <row r="530" spans="1:21" x14ac:dyDescent="0.25">
      <c r="A530" s="79"/>
      <c r="B530" s="202"/>
      <c r="C530" s="208"/>
      <c r="D530" s="208"/>
      <c r="E530" s="202"/>
      <c r="F530" s="207"/>
      <c r="G530" s="205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</row>
    <row r="531" spans="1:21" x14ac:dyDescent="0.25">
      <c r="A531" s="79"/>
      <c r="B531" s="202"/>
      <c r="C531" s="208"/>
      <c r="D531" s="208"/>
      <c r="E531" s="202"/>
      <c r="F531" s="205"/>
      <c r="G531" s="202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</row>
    <row r="532" spans="1:21" x14ac:dyDescent="0.25">
      <c r="A532" s="79"/>
      <c r="B532" s="202"/>
      <c r="C532" s="204"/>
      <c r="D532" s="204"/>
      <c r="E532" s="202"/>
      <c r="F532" s="205"/>
      <c r="G532" s="202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</row>
    <row r="533" spans="1:21" x14ac:dyDescent="0.25">
      <c r="A533" s="79"/>
      <c r="B533" s="201"/>
      <c r="C533" s="209"/>
      <c r="D533" s="209"/>
      <c r="E533" s="209"/>
      <c r="F533" s="207"/>
      <c r="G533" s="79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</row>
    <row r="534" spans="1:21" x14ac:dyDescent="0.25">
      <c r="A534" s="79"/>
      <c r="B534" s="210"/>
      <c r="C534" s="211"/>
      <c r="D534" s="212"/>
      <c r="E534" s="210"/>
      <c r="F534" s="210"/>
      <c r="G534" s="79"/>
      <c r="H534" s="213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</row>
    <row r="535" spans="1:21" x14ac:dyDescent="0.2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</row>
    <row r="536" spans="1:21" x14ac:dyDescent="0.25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</row>
    <row r="537" spans="1:21" x14ac:dyDescent="0.25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</row>
    <row r="538" spans="1:21" x14ac:dyDescent="0.25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</row>
    <row r="539" spans="1:21" x14ac:dyDescent="0.25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</row>
    <row r="540" spans="1:21" x14ac:dyDescent="0.25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</row>
    <row r="541" spans="1:21" x14ac:dyDescent="0.25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</row>
    <row r="542" spans="1:21" x14ac:dyDescent="0.25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</row>
    <row r="543" spans="1:21" x14ac:dyDescent="0.25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</row>
    <row r="544" spans="1:21" x14ac:dyDescent="0.25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</row>
    <row r="545" spans="1:21" x14ac:dyDescent="0.2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</row>
    <row r="546" spans="1:21" x14ac:dyDescent="0.25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</row>
    <row r="547" spans="1:21" x14ac:dyDescent="0.25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</row>
    <row r="548" spans="1:21" x14ac:dyDescent="0.25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</row>
    <row r="549" spans="1:21" x14ac:dyDescent="0.25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</row>
    <row r="550" spans="1:21" x14ac:dyDescent="0.25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</row>
    <row r="551" spans="1:21" x14ac:dyDescent="0.25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</row>
    <row r="552" spans="1:21" x14ac:dyDescent="0.25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</row>
    <row r="553" spans="1:21" x14ac:dyDescent="0.25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</row>
    <row r="554" spans="1:21" x14ac:dyDescent="0.25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</row>
    <row r="555" spans="1:21" x14ac:dyDescent="0.2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</row>
    <row r="556" spans="1:21" x14ac:dyDescent="0.25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</row>
    <row r="557" spans="1:21" x14ac:dyDescent="0.25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</row>
    <row r="558" spans="1:21" x14ac:dyDescent="0.25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</row>
    <row r="559" spans="1:21" x14ac:dyDescent="0.25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</row>
    <row r="560" spans="1:21" x14ac:dyDescent="0.25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</row>
    <row r="561" spans="1:21" x14ac:dyDescent="0.25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</row>
    <row r="562" spans="1:21" x14ac:dyDescent="0.25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</row>
    <row r="563" spans="1:21" x14ac:dyDescent="0.25">
      <c r="A563" s="188"/>
      <c r="B563" s="188"/>
      <c r="C563" s="188"/>
      <c r="D563" s="188"/>
      <c r="E563" s="188"/>
      <c r="F563" s="188"/>
      <c r="G563" s="188"/>
      <c r="H563" s="188"/>
    </row>
  </sheetData>
  <mergeCells count="13">
    <mergeCell ref="D343:H346"/>
    <mergeCell ref="H220:H228"/>
    <mergeCell ref="A242:I242"/>
    <mergeCell ref="C269:G271"/>
    <mergeCell ref="C280:G282"/>
    <mergeCell ref="C290:G292"/>
    <mergeCell ref="A342:H342"/>
    <mergeCell ref="A120:I120"/>
    <mergeCell ref="A1:G3"/>
    <mergeCell ref="A27:I27"/>
    <mergeCell ref="B29:H31"/>
    <mergeCell ref="J29:Q31"/>
    <mergeCell ref="H67:H7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E9C1-4EEB-4A3E-9EDC-0EE3A45E420D}">
  <dimension ref="A1:AU366"/>
  <sheetViews>
    <sheetView tabSelected="1" topLeftCell="A178" zoomScale="70" zoomScaleNormal="70" workbookViewId="0">
      <selection activeCell="G322" sqref="G322"/>
    </sheetView>
  </sheetViews>
  <sheetFormatPr defaultColWidth="25.140625" defaultRowHeight="15" x14ac:dyDescent="0.25"/>
  <cols>
    <col min="1" max="1" width="17" style="15" customWidth="1"/>
    <col min="2" max="2" width="17.28515625" style="15" customWidth="1"/>
    <col min="3" max="3" width="32" style="15" customWidth="1"/>
    <col min="4" max="4" width="13.85546875" style="15" bestFit="1" customWidth="1"/>
    <col min="5" max="5" width="15.42578125" style="15" bestFit="1" customWidth="1"/>
    <col min="6" max="6" width="21.140625" style="15" customWidth="1"/>
    <col min="7" max="7" width="30.5703125" style="15" customWidth="1"/>
    <col min="8" max="8" width="36.7109375" style="15" bestFit="1" customWidth="1"/>
    <col min="9" max="9" width="4" style="15" customWidth="1"/>
    <col min="10" max="10" width="5.85546875" style="15" customWidth="1"/>
    <col min="11" max="11" width="6.85546875" style="15" customWidth="1"/>
    <col min="12" max="12" width="2.28515625" style="15" hidden="1" customWidth="1"/>
    <col min="13" max="13" width="3.28515625" style="22" customWidth="1"/>
    <col min="14" max="14" width="6.5703125" style="22" bestFit="1" customWidth="1"/>
    <col min="15" max="15" width="27.140625" style="15" bestFit="1" customWidth="1"/>
    <col min="16" max="17" width="11" style="15" bestFit="1" customWidth="1"/>
    <col min="18" max="18" width="15.42578125" style="15" bestFit="1" customWidth="1"/>
    <col min="19" max="19" width="15.7109375" style="15" customWidth="1"/>
    <col min="20" max="20" width="35.85546875" style="15" customWidth="1"/>
    <col min="21" max="21" width="9.42578125" style="15" bestFit="1" customWidth="1"/>
    <col min="22" max="22" width="58.85546875" style="22" bestFit="1" customWidth="1"/>
    <col min="23" max="47" width="25.140625" style="22"/>
    <col min="48" max="16384" width="25.140625" style="15"/>
  </cols>
  <sheetData>
    <row r="1" spans="1:28" x14ac:dyDescent="0.25">
      <c r="A1" s="579" t="s">
        <v>9</v>
      </c>
      <c r="B1" s="579"/>
      <c r="C1" s="579"/>
      <c r="D1" s="579"/>
      <c r="E1" s="579"/>
      <c r="F1" s="579"/>
      <c r="G1" s="579"/>
    </row>
    <row r="2" spans="1:28" x14ac:dyDescent="0.25">
      <c r="A2" s="579"/>
      <c r="B2" s="579"/>
      <c r="C2" s="579"/>
      <c r="D2" s="579"/>
      <c r="E2" s="579"/>
      <c r="F2" s="579"/>
      <c r="G2" s="579"/>
    </row>
    <row r="3" spans="1:28" ht="15" customHeight="1" x14ac:dyDescent="0.25">
      <c r="A3" s="579"/>
      <c r="B3" s="579"/>
      <c r="C3" s="579"/>
      <c r="D3" s="579"/>
      <c r="E3" s="579"/>
      <c r="F3" s="579"/>
      <c r="G3" s="579"/>
      <c r="M3" s="186"/>
      <c r="N3" s="186"/>
      <c r="O3" s="186"/>
      <c r="P3" s="390"/>
      <c r="Q3" s="390"/>
      <c r="R3" s="390"/>
      <c r="S3" s="390"/>
      <c r="T3" s="390"/>
      <c r="U3" s="390"/>
      <c r="V3" s="186"/>
      <c r="W3" s="186"/>
      <c r="X3" s="186"/>
      <c r="Y3" s="186"/>
      <c r="Z3" s="186"/>
      <c r="AA3" s="186"/>
      <c r="AB3" s="186"/>
    </row>
    <row r="4" spans="1:28" x14ac:dyDescent="0.25">
      <c r="M4" s="186"/>
      <c r="N4" s="186"/>
      <c r="O4" s="390"/>
      <c r="P4" s="390"/>
      <c r="Q4" s="390"/>
      <c r="R4" s="390"/>
      <c r="S4" s="390"/>
      <c r="T4" s="390"/>
      <c r="U4" s="390"/>
      <c r="V4" s="186"/>
      <c r="W4" s="186"/>
      <c r="X4" s="186"/>
      <c r="Y4" s="186"/>
      <c r="Z4" s="186"/>
      <c r="AA4" s="186"/>
      <c r="AB4" s="186"/>
    </row>
    <row r="5" spans="1:28" x14ac:dyDescent="0.25">
      <c r="M5" s="186"/>
      <c r="N5" s="186"/>
      <c r="O5" s="390"/>
      <c r="P5" s="390"/>
      <c r="Q5" s="390"/>
      <c r="R5" s="390"/>
      <c r="S5" s="390"/>
      <c r="T5" s="390"/>
      <c r="U5" s="390"/>
      <c r="V5" s="186"/>
      <c r="W5" s="186"/>
      <c r="X5" s="186"/>
      <c r="Y5" s="186"/>
      <c r="Z5" s="186"/>
      <c r="AA5" s="186"/>
      <c r="AB5" s="186"/>
    </row>
    <row r="6" spans="1:28" x14ac:dyDescent="0.25"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</row>
    <row r="7" spans="1:28" x14ac:dyDescent="0.25">
      <c r="A7" s="32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</row>
    <row r="8" spans="1:28" s="22" customFormat="1" ht="26.25" x14ac:dyDescent="0.4">
      <c r="A8" s="590" t="s">
        <v>166</v>
      </c>
      <c r="B8" s="590"/>
      <c r="C8" s="590"/>
      <c r="D8" s="590"/>
      <c r="E8" s="590"/>
      <c r="F8" s="590"/>
      <c r="G8" s="590"/>
      <c r="H8" s="590"/>
      <c r="I8" s="57"/>
      <c r="J8" s="57"/>
      <c r="K8" s="57"/>
      <c r="L8" s="57"/>
      <c r="M8" s="589"/>
      <c r="N8" s="589"/>
      <c r="O8" s="589"/>
      <c r="P8" s="589"/>
      <c r="Q8" s="589"/>
      <c r="R8" s="589"/>
      <c r="S8" s="589"/>
      <c r="T8" s="589"/>
      <c r="U8" s="186"/>
      <c r="V8" s="186"/>
      <c r="W8" s="186"/>
      <c r="X8" s="186"/>
      <c r="Y8" s="186"/>
      <c r="Z8" s="186"/>
      <c r="AA8" s="186"/>
      <c r="AB8" s="186"/>
    </row>
    <row r="9" spans="1:28" s="22" customFormat="1" ht="15" customHeight="1" x14ac:dyDescent="0.5">
      <c r="A9" s="530" t="s">
        <v>266</v>
      </c>
      <c r="B9" s="530"/>
      <c r="C9" s="530"/>
      <c r="D9" s="530"/>
      <c r="E9" s="530"/>
      <c r="F9" s="530"/>
      <c r="G9" s="530"/>
      <c r="H9" s="530"/>
      <c r="I9" s="530"/>
      <c r="J9" s="530"/>
      <c r="K9" s="530"/>
      <c r="L9" s="152"/>
      <c r="M9" s="391"/>
      <c r="N9" s="391"/>
      <c r="O9" s="391"/>
      <c r="P9" s="391"/>
      <c r="Q9" s="391"/>
      <c r="R9" s="391"/>
      <c r="S9" s="391"/>
      <c r="T9" s="391"/>
      <c r="U9" s="186"/>
      <c r="V9" s="186"/>
      <c r="W9" s="186"/>
      <c r="X9" s="186"/>
      <c r="Y9" s="186"/>
      <c r="Z9" s="186"/>
      <c r="AA9" s="186"/>
      <c r="AB9" s="186"/>
    </row>
    <row r="10" spans="1:28" s="22" customFormat="1" ht="15" customHeight="1" x14ac:dyDescent="0.5">
      <c r="A10" s="530"/>
      <c r="B10" s="530"/>
      <c r="C10" s="530"/>
      <c r="D10" s="530"/>
      <c r="E10" s="530"/>
      <c r="F10" s="530"/>
      <c r="G10" s="530"/>
      <c r="H10" s="530"/>
      <c r="I10" s="530"/>
      <c r="J10" s="530"/>
      <c r="K10" s="530"/>
      <c r="L10" s="152"/>
      <c r="M10" s="391"/>
      <c r="N10" s="391"/>
      <c r="O10" s="391"/>
      <c r="P10" s="391"/>
      <c r="Q10" s="391"/>
      <c r="R10" s="391"/>
      <c r="S10" s="391"/>
      <c r="T10" s="391"/>
      <c r="U10" s="186"/>
      <c r="V10" s="186"/>
      <c r="W10" s="186"/>
      <c r="X10" s="186"/>
      <c r="Y10" s="186"/>
      <c r="Z10" s="186"/>
      <c r="AA10" s="186"/>
      <c r="AB10" s="186"/>
    </row>
    <row r="11" spans="1:28" s="22" customFormat="1" ht="75" x14ac:dyDescent="0.25">
      <c r="A11" s="137" t="s">
        <v>252</v>
      </c>
      <c r="B11" s="13" t="s">
        <v>15</v>
      </c>
      <c r="C11" s="13" t="s">
        <v>11</v>
      </c>
      <c r="D11" s="13" t="s">
        <v>12</v>
      </c>
      <c r="E11" s="13" t="s">
        <v>13</v>
      </c>
      <c r="F11" s="13" t="s">
        <v>14</v>
      </c>
      <c r="G11" s="13" t="s">
        <v>0</v>
      </c>
      <c r="I11" s="15" t="s">
        <v>187</v>
      </c>
      <c r="J11" s="15" t="s">
        <v>186</v>
      </c>
      <c r="K11" s="57"/>
      <c r="L11" s="57"/>
      <c r="M11" s="186"/>
      <c r="N11" s="186"/>
      <c r="O11" s="392"/>
      <c r="P11" s="392"/>
      <c r="Q11" s="392"/>
      <c r="R11" s="392"/>
      <c r="S11" s="392"/>
      <c r="T11" s="392"/>
      <c r="U11" s="186"/>
      <c r="V11" s="186"/>
      <c r="W11" s="186"/>
      <c r="X11" s="186"/>
      <c r="Y11" s="186"/>
      <c r="Z11" s="186"/>
      <c r="AA11" s="186"/>
      <c r="AB11" s="186"/>
    </row>
    <row r="12" spans="1:28" s="22" customFormat="1" ht="60" x14ac:dyDescent="0.25">
      <c r="A12" s="32">
        <v>4</v>
      </c>
      <c r="B12" s="14" t="s">
        <v>2</v>
      </c>
      <c r="C12" s="25">
        <v>0.625</v>
      </c>
      <c r="D12" s="25">
        <v>0.66666666666666696</v>
      </c>
      <c r="E12" s="14">
        <v>1</v>
      </c>
      <c r="F12" s="24"/>
      <c r="G12" s="14" t="s">
        <v>101</v>
      </c>
      <c r="I12" s="57" t="s">
        <v>182</v>
      </c>
      <c r="J12" s="57" t="s">
        <v>181</v>
      </c>
      <c r="K12" s="57"/>
      <c r="L12" s="57"/>
      <c r="M12" s="186"/>
      <c r="N12" s="186"/>
      <c r="O12" s="393"/>
      <c r="P12" s="394"/>
      <c r="Q12" s="394"/>
      <c r="R12" s="393"/>
      <c r="S12" s="395"/>
      <c r="T12" s="393"/>
      <c r="U12" s="186"/>
      <c r="V12" s="186"/>
      <c r="W12" s="186"/>
      <c r="X12" s="186"/>
      <c r="Y12" s="186"/>
      <c r="Z12" s="186"/>
      <c r="AA12" s="186"/>
      <c r="AB12" s="186"/>
    </row>
    <row r="13" spans="1:28" s="22" customFormat="1" ht="105" x14ac:dyDescent="0.25">
      <c r="A13" s="32">
        <v>5</v>
      </c>
      <c r="B13" s="14" t="s">
        <v>3</v>
      </c>
      <c r="C13" s="25"/>
      <c r="D13" s="25"/>
      <c r="E13" s="14"/>
      <c r="F13" s="24"/>
      <c r="G13" s="14"/>
      <c r="I13" s="57" t="s">
        <v>180</v>
      </c>
      <c r="J13" s="57" t="s">
        <v>179</v>
      </c>
      <c r="K13" s="57"/>
      <c r="L13" s="57"/>
      <c r="M13" s="186"/>
      <c r="N13" s="186"/>
      <c r="O13" s="393"/>
      <c r="P13" s="394"/>
      <c r="Q13" s="394"/>
      <c r="R13" s="393"/>
      <c r="S13" s="395"/>
      <c r="T13" s="393"/>
      <c r="U13" s="186"/>
      <c r="V13" s="186"/>
      <c r="W13" s="186"/>
      <c r="X13" s="186"/>
      <c r="Y13" s="186"/>
      <c r="Z13" s="186"/>
      <c r="AA13" s="186"/>
      <c r="AB13" s="186"/>
    </row>
    <row r="14" spans="1:28" s="22" customFormat="1" x14ac:dyDescent="0.25">
      <c r="A14" s="32">
        <v>6</v>
      </c>
      <c r="B14" s="14" t="s">
        <v>4</v>
      </c>
      <c r="C14" s="25">
        <v>0.625</v>
      </c>
      <c r="D14" s="25">
        <v>0.66666666666666696</v>
      </c>
      <c r="E14" s="14">
        <v>1</v>
      </c>
      <c r="F14" s="24"/>
      <c r="G14" s="14" t="s">
        <v>102</v>
      </c>
      <c r="I14" s="57"/>
      <c r="J14" s="57"/>
      <c r="K14" s="57"/>
      <c r="L14" s="57"/>
      <c r="M14" s="186"/>
      <c r="N14" s="186"/>
      <c r="O14" s="393"/>
      <c r="P14" s="394"/>
      <c r="Q14" s="394"/>
      <c r="R14" s="393"/>
      <c r="S14" s="395"/>
      <c r="T14" s="393"/>
      <c r="U14" s="186"/>
      <c r="V14" s="186"/>
      <c r="W14" s="186"/>
      <c r="X14" s="186"/>
      <c r="Y14" s="186"/>
      <c r="Z14" s="186"/>
      <c r="AA14" s="186"/>
      <c r="AB14" s="186"/>
    </row>
    <row r="15" spans="1:28" s="22" customFormat="1" x14ac:dyDescent="0.25">
      <c r="A15" s="32">
        <v>7</v>
      </c>
      <c r="B15" s="14" t="s">
        <v>5</v>
      </c>
      <c r="C15" s="26"/>
      <c r="D15" s="26"/>
      <c r="E15" s="15"/>
      <c r="F15" s="24"/>
      <c r="G15" s="14"/>
      <c r="I15" s="57"/>
      <c r="J15" s="57"/>
      <c r="K15" s="57"/>
      <c r="L15" s="57"/>
      <c r="M15" s="186"/>
      <c r="N15" s="186"/>
      <c r="O15" s="393"/>
      <c r="P15" s="394"/>
      <c r="Q15" s="394"/>
      <c r="R15" s="393"/>
      <c r="S15" s="395"/>
      <c r="T15" s="393"/>
      <c r="U15" s="186"/>
      <c r="V15" s="186"/>
      <c r="W15" s="186"/>
      <c r="X15" s="186"/>
      <c r="Y15" s="186"/>
      <c r="Z15" s="186"/>
      <c r="AA15" s="186"/>
      <c r="AB15" s="186"/>
    </row>
    <row r="16" spans="1:28" s="22" customFormat="1" x14ac:dyDescent="0.25">
      <c r="A16" s="32">
        <v>8</v>
      </c>
      <c r="B16" s="14"/>
      <c r="C16" s="25"/>
      <c r="D16" s="25"/>
      <c r="E16" s="14"/>
      <c r="F16" s="24"/>
      <c r="G16" s="14"/>
      <c r="I16" s="57"/>
      <c r="J16" s="57"/>
      <c r="K16" s="57"/>
      <c r="L16" s="57"/>
      <c r="M16" s="186"/>
      <c r="N16" s="186"/>
      <c r="O16" s="393"/>
      <c r="P16" s="393"/>
      <c r="Q16" s="393"/>
      <c r="R16" s="393"/>
      <c r="S16" s="395"/>
      <c r="T16" s="393"/>
      <c r="U16" s="186"/>
      <c r="V16" s="186"/>
      <c r="W16" s="186"/>
      <c r="X16" s="186"/>
      <c r="Y16" s="186"/>
      <c r="Z16" s="186"/>
      <c r="AA16" s="186"/>
      <c r="AB16" s="186"/>
    </row>
    <row r="17" spans="1:28" s="22" customFormat="1" x14ac:dyDescent="0.25">
      <c r="A17" s="32">
        <v>9</v>
      </c>
      <c r="B17" s="14" t="s">
        <v>6</v>
      </c>
      <c r="C17" s="14"/>
      <c r="D17" s="14"/>
      <c r="E17" s="14"/>
      <c r="F17" s="23"/>
      <c r="G17" s="21"/>
      <c r="I17" s="57"/>
      <c r="J17" s="57"/>
      <c r="K17" s="57"/>
      <c r="L17" s="57"/>
      <c r="M17" s="186"/>
      <c r="N17" s="186"/>
      <c r="O17" s="393"/>
      <c r="P17" s="393"/>
      <c r="Q17" s="393"/>
      <c r="R17" s="393"/>
      <c r="S17" s="395"/>
      <c r="T17" s="393"/>
      <c r="U17" s="186"/>
      <c r="V17" s="186"/>
      <c r="W17" s="186"/>
      <c r="X17" s="186"/>
      <c r="Y17" s="186"/>
      <c r="Z17" s="186"/>
      <c r="AA17" s="186"/>
      <c r="AB17" s="186"/>
    </row>
    <row r="18" spans="1:28" s="22" customFormat="1" x14ac:dyDescent="0.25">
      <c r="A18" s="32">
        <v>10</v>
      </c>
      <c r="B18" s="14" t="s">
        <v>7</v>
      </c>
      <c r="C18" s="14"/>
      <c r="D18" s="14"/>
      <c r="E18" s="14"/>
      <c r="F18" s="23"/>
      <c r="G18" s="21"/>
      <c r="I18" s="57"/>
      <c r="J18" s="57"/>
      <c r="K18" s="57"/>
      <c r="L18" s="57"/>
      <c r="M18" s="186"/>
      <c r="N18" s="186"/>
      <c r="O18" s="393"/>
      <c r="P18" s="394"/>
      <c r="Q18" s="394"/>
      <c r="R18" s="393"/>
      <c r="S18" s="395"/>
      <c r="T18" s="393"/>
      <c r="U18" s="186"/>
      <c r="V18" s="186"/>
      <c r="W18" s="186"/>
      <c r="X18" s="186"/>
      <c r="Y18" s="186"/>
      <c r="Z18" s="186"/>
      <c r="AA18" s="186"/>
      <c r="AB18" s="186"/>
    </row>
    <row r="19" spans="1:28" s="22" customFormat="1" x14ac:dyDescent="0.25">
      <c r="A19" s="32">
        <v>11</v>
      </c>
      <c r="B19" s="14" t="s">
        <v>8</v>
      </c>
      <c r="C19" s="25"/>
      <c r="D19" s="25"/>
      <c r="E19" s="14"/>
      <c r="F19" s="23"/>
      <c r="G19" s="53"/>
      <c r="I19" s="57"/>
      <c r="J19" s="57"/>
      <c r="K19" s="57"/>
      <c r="L19" s="57"/>
      <c r="M19" s="186"/>
      <c r="N19" s="186"/>
      <c r="O19" s="392"/>
      <c r="P19" s="396"/>
      <c r="Q19" s="396"/>
      <c r="R19" s="39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</row>
    <row r="20" spans="1:28" s="22" customFormat="1" x14ac:dyDescent="0.25">
      <c r="A20" s="15"/>
      <c r="B20" s="13" t="s">
        <v>26</v>
      </c>
      <c r="C20" s="15"/>
      <c r="D20" s="15"/>
      <c r="E20" s="32">
        <f>SUM(E12:E19)</f>
        <v>2</v>
      </c>
      <c r="G20" s="53"/>
      <c r="I20" s="57"/>
      <c r="J20" s="57"/>
      <c r="K20" s="57"/>
      <c r="L20" s="57"/>
      <c r="M20" s="186"/>
      <c r="N20" s="186"/>
      <c r="O20" s="392"/>
      <c r="P20" s="396"/>
      <c r="Q20" s="396"/>
      <c r="R20" s="39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</row>
    <row r="21" spans="1:28" s="22" customFormat="1" x14ac:dyDescent="0.25">
      <c r="I21" s="57"/>
      <c r="J21" s="57"/>
      <c r="K21" s="57"/>
      <c r="L21" s="57"/>
      <c r="M21" s="186"/>
      <c r="N21" s="186"/>
      <c r="O21" s="392"/>
      <c r="P21" s="396"/>
      <c r="Q21" s="396"/>
      <c r="R21" s="39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</row>
    <row r="22" spans="1:28" s="22" customFormat="1" ht="30" x14ac:dyDescent="0.25">
      <c r="A22" s="15"/>
      <c r="B22" s="13" t="s">
        <v>42</v>
      </c>
      <c r="C22" s="13" t="s">
        <v>11</v>
      </c>
      <c r="D22" s="13" t="s">
        <v>12</v>
      </c>
      <c r="E22" s="13" t="s">
        <v>13</v>
      </c>
      <c r="F22" s="32" t="s">
        <v>150</v>
      </c>
      <c r="G22" s="13" t="s">
        <v>0</v>
      </c>
      <c r="H22" s="13" t="s">
        <v>43</v>
      </c>
      <c r="I22" s="57"/>
      <c r="J22" s="57"/>
      <c r="K22" s="57"/>
      <c r="L22" s="57"/>
      <c r="M22" s="186"/>
      <c r="N22" s="186"/>
      <c r="O22" s="392"/>
      <c r="P22" s="392"/>
      <c r="Q22" s="392"/>
      <c r="R22" s="392"/>
      <c r="S22" s="392"/>
      <c r="T22" s="392"/>
      <c r="U22" s="186"/>
      <c r="V22" s="186"/>
      <c r="W22" s="186"/>
      <c r="X22" s="186"/>
      <c r="Y22" s="186"/>
      <c r="Z22" s="186"/>
      <c r="AA22" s="186"/>
      <c r="AB22" s="186"/>
    </row>
    <row r="23" spans="1:28" s="22" customFormat="1" x14ac:dyDescent="0.25">
      <c r="A23" s="32">
        <v>12</v>
      </c>
      <c r="B23" s="14" t="s">
        <v>2</v>
      </c>
      <c r="C23" s="15"/>
      <c r="D23" s="15"/>
      <c r="E23" s="15"/>
      <c r="F23" s="15"/>
      <c r="G23" s="15"/>
      <c r="I23" s="57"/>
      <c r="J23" s="57"/>
      <c r="K23" s="57"/>
      <c r="L23" s="57"/>
      <c r="M23" s="186"/>
      <c r="N23" s="186"/>
      <c r="O23" s="393"/>
      <c r="P23" s="394"/>
      <c r="Q23" s="394"/>
      <c r="R23" s="393"/>
      <c r="S23" s="395"/>
      <c r="T23" s="393"/>
      <c r="U23" s="186"/>
      <c r="V23" s="186"/>
      <c r="W23" s="186"/>
      <c r="X23" s="186"/>
      <c r="Y23" s="186"/>
      <c r="Z23" s="186"/>
      <c r="AA23" s="186"/>
      <c r="AB23" s="186"/>
    </row>
    <row r="24" spans="1:28" x14ac:dyDescent="0.25">
      <c r="A24" s="32">
        <v>13</v>
      </c>
      <c r="B24" s="14" t="s">
        <v>3</v>
      </c>
      <c r="C24" s="26"/>
      <c r="D24" s="26"/>
      <c r="H24" s="22"/>
      <c r="I24" s="57"/>
      <c r="J24" s="57"/>
      <c r="K24" s="57"/>
      <c r="L24" s="57"/>
      <c r="M24" s="186"/>
      <c r="N24" s="186"/>
      <c r="O24" s="393"/>
      <c r="P24" s="397"/>
      <c r="Q24" s="394"/>
      <c r="R24" s="393"/>
      <c r="S24" s="395"/>
      <c r="T24" s="393"/>
      <c r="U24" s="186"/>
      <c r="V24" s="186"/>
      <c r="W24" s="186"/>
      <c r="X24" s="186"/>
      <c r="Y24" s="186"/>
      <c r="Z24" s="186"/>
      <c r="AA24" s="186"/>
      <c r="AB24" s="186"/>
    </row>
    <row r="25" spans="1:28" x14ac:dyDescent="0.25">
      <c r="A25" s="32">
        <v>14</v>
      </c>
      <c r="B25" s="14" t="s">
        <v>4</v>
      </c>
      <c r="H25" s="22"/>
      <c r="I25" s="57"/>
      <c r="J25" s="57"/>
      <c r="K25" s="57"/>
      <c r="L25" s="57"/>
      <c r="M25" s="186"/>
      <c r="N25" s="186"/>
      <c r="O25" s="393"/>
      <c r="P25" s="398"/>
      <c r="Q25" s="398"/>
      <c r="R25" s="393"/>
      <c r="S25" s="395"/>
      <c r="T25" s="393"/>
      <c r="U25" s="186"/>
      <c r="V25" s="186"/>
      <c r="W25" s="186"/>
      <c r="X25" s="186"/>
      <c r="Y25" s="186"/>
      <c r="Z25" s="186"/>
      <c r="AA25" s="186"/>
      <c r="AB25" s="186"/>
    </row>
    <row r="26" spans="1:28" x14ac:dyDescent="0.25">
      <c r="A26" s="32">
        <v>15</v>
      </c>
      <c r="B26" s="14" t="s">
        <v>5</v>
      </c>
      <c r="C26" s="25"/>
      <c r="D26" s="25"/>
      <c r="H26" s="22"/>
      <c r="I26" s="57"/>
      <c r="J26" s="57"/>
      <c r="K26" s="57"/>
      <c r="L26" s="57"/>
      <c r="M26" s="186"/>
      <c r="N26" s="186"/>
      <c r="O26" s="393"/>
      <c r="P26" s="394"/>
      <c r="Q26" s="394"/>
      <c r="R26" s="393"/>
      <c r="S26" s="395"/>
      <c r="T26" s="393"/>
      <c r="U26" s="186"/>
      <c r="V26" s="186"/>
      <c r="W26" s="186"/>
      <c r="X26" s="186"/>
      <c r="Y26" s="186"/>
      <c r="Z26" s="186"/>
      <c r="AA26" s="186"/>
      <c r="AB26" s="186"/>
    </row>
    <row r="27" spans="1:28" x14ac:dyDescent="0.25">
      <c r="A27" s="32">
        <v>16</v>
      </c>
      <c r="B27" s="14" t="s">
        <v>6</v>
      </c>
      <c r="C27" s="26"/>
      <c r="D27" s="26"/>
      <c r="H27" s="22"/>
      <c r="I27" s="57"/>
      <c r="J27" s="57"/>
      <c r="K27" s="57"/>
      <c r="L27" s="57"/>
      <c r="M27" s="186"/>
      <c r="N27" s="186"/>
      <c r="O27" s="393"/>
      <c r="P27" s="393"/>
      <c r="Q27" s="393"/>
      <c r="R27" s="393"/>
      <c r="S27" s="395"/>
      <c r="T27" s="393"/>
      <c r="U27" s="186"/>
      <c r="V27" s="186"/>
      <c r="W27" s="186"/>
      <c r="X27" s="186"/>
      <c r="Y27" s="186"/>
      <c r="Z27" s="186"/>
      <c r="AA27" s="186"/>
      <c r="AB27" s="186"/>
    </row>
    <row r="28" spans="1:28" x14ac:dyDescent="0.25">
      <c r="A28" s="32">
        <v>17</v>
      </c>
      <c r="B28" s="14" t="s">
        <v>7</v>
      </c>
      <c r="H28" s="22"/>
      <c r="I28" s="57"/>
      <c r="J28" s="57"/>
      <c r="K28" s="57"/>
      <c r="L28" s="57"/>
      <c r="M28" s="186"/>
      <c r="N28" s="186"/>
      <c r="O28" s="393"/>
      <c r="P28" s="393"/>
      <c r="Q28" s="393"/>
      <c r="R28" s="393"/>
      <c r="S28" s="395"/>
      <c r="T28" s="393"/>
      <c r="U28" s="186"/>
      <c r="V28" s="186"/>
      <c r="W28" s="186"/>
      <c r="X28" s="186"/>
      <c r="Y28" s="186"/>
      <c r="Z28" s="186"/>
      <c r="AA28" s="186"/>
      <c r="AB28" s="186"/>
    </row>
    <row r="29" spans="1:28" x14ac:dyDescent="0.25">
      <c r="A29" s="32">
        <v>18</v>
      </c>
      <c r="B29" s="14" t="s">
        <v>8</v>
      </c>
      <c r="H29" s="22"/>
      <c r="I29" s="57"/>
      <c r="J29" s="57"/>
      <c r="K29" s="57"/>
      <c r="L29" s="57"/>
      <c r="M29" s="186"/>
      <c r="N29" s="186"/>
      <c r="O29" s="393"/>
      <c r="P29" s="394"/>
      <c r="Q29" s="394"/>
      <c r="R29" s="393"/>
      <c r="S29" s="395"/>
      <c r="T29" s="393"/>
      <c r="U29" s="186"/>
      <c r="V29" s="186"/>
      <c r="W29" s="186"/>
      <c r="X29" s="186"/>
      <c r="Y29" s="186"/>
      <c r="Z29" s="186"/>
      <c r="AA29" s="186"/>
      <c r="AB29" s="186"/>
    </row>
    <row r="30" spans="1:28" x14ac:dyDescent="0.25">
      <c r="B30" s="13" t="s">
        <v>26</v>
      </c>
      <c r="C30" s="32"/>
      <c r="D30" s="32"/>
      <c r="E30" s="32">
        <f>SUM(E23:E29)</f>
        <v>0</v>
      </c>
      <c r="F30" s="115" t="s">
        <v>393</v>
      </c>
      <c r="G30" s="145" t="s">
        <v>397</v>
      </c>
      <c r="H30" s="22"/>
      <c r="I30" s="57"/>
      <c r="J30" s="57"/>
      <c r="K30" s="57"/>
      <c r="L30" s="57"/>
      <c r="M30" s="186"/>
      <c r="N30" s="186"/>
      <c r="O30" s="392"/>
      <c r="P30" s="396"/>
      <c r="Q30" s="396"/>
      <c r="R30" s="39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 spans="1:28" x14ac:dyDescent="0.25">
      <c r="A31" s="144" t="s">
        <v>230</v>
      </c>
      <c r="B31" s="35" t="s">
        <v>227</v>
      </c>
      <c r="C31" s="17"/>
      <c r="D31" s="17"/>
      <c r="E31" s="17">
        <f>SUM(E30+E20)</f>
        <v>2</v>
      </c>
      <c r="F31" s="115">
        <f>SUM(1*[3]Marg_hist!G3)</f>
        <v>5</v>
      </c>
      <c r="G31" s="329">
        <f>SUM(E31+G20)-F31</f>
        <v>-3</v>
      </c>
      <c r="H31" s="43"/>
      <c r="I31" s="57"/>
      <c r="J31" s="57"/>
      <c r="K31" s="57"/>
      <c r="L31" s="57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 spans="1:28" x14ac:dyDescent="0.25">
      <c r="A32" s="278">
        <v>43180</v>
      </c>
      <c r="H32" s="22"/>
      <c r="I32" s="57"/>
      <c r="J32" s="57"/>
      <c r="K32" s="57"/>
      <c r="L32" s="57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</row>
    <row r="33" spans="1:47" x14ac:dyDescent="0.25">
      <c r="A33" s="32"/>
      <c r="H33" s="22"/>
      <c r="I33" s="57"/>
      <c r="J33" s="57"/>
      <c r="K33" s="57"/>
      <c r="L33" s="57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</row>
    <row r="34" spans="1:47" ht="30" x14ac:dyDescent="0.25">
      <c r="A34" s="32"/>
      <c r="B34" s="13" t="s">
        <v>46</v>
      </c>
      <c r="C34" s="13" t="s">
        <v>11</v>
      </c>
      <c r="D34" s="13" t="s">
        <v>12</v>
      </c>
      <c r="E34" s="13" t="s">
        <v>13</v>
      </c>
      <c r="F34" s="32" t="s">
        <v>150</v>
      </c>
      <c r="G34" s="13" t="s">
        <v>0</v>
      </c>
      <c r="H34" s="13" t="s">
        <v>43</v>
      </c>
      <c r="I34" s="57"/>
      <c r="J34" s="57"/>
      <c r="K34" s="57"/>
      <c r="L34" s="57"/>
      <c r="M34" s="186"/>
      <c r="N34" s="186"/>
      <c r="O34" s="392"/>
      <c r="P34" s="392"/>
      <c r="Q34" s="392"/>
      <c r="R34" s="392"/>
      <c r="S34" s="392"/>
      <c r="T34" s="392"/>
      <c r="U34" s="186"/>
      <c r="V34" s="186"/>
      <c r="W34" s="186"/>
      <c r="X34" s="186"/>
      <c r="Y34" s="186"/>
      <c r="Z34" s="186"/>
      <c r="AA34" s="186"/>
      <c r="AB34" s="186"/>
    </row>
    <row r="35" spans="1:47" x14ac:dyDescent="0.25">
      <c r="A35" s="32">
        <v>19</v>
      </c>
      <c r="B35" s="14" t="s">
        <v>2</v>
      </c>
      <c r="H35" s="22"/>
      <c r="I35" s="57"/>
      <c r="J35" s="57"/>
      <c r="K35" s="57"/>
      <c r="L35" s="57"/>
      <c r="M35" s="186"/>
      <c r="N35" s="186"/>
      <c r="O35" s="393"/>
      <c r="P35" s="394"/>
      <c r="Q35" s="394"/>
      <c r="R35" s="393"/>
      <c r="S35" s="395"/>
      <c r="T35" s="393"/>
      <c r="U35" s="186"/>
      <c r="V35" s="186"/>
      <c r="W35" s="186"/>
      <c r="X35" s="186"/>
      <c r="Y35" s="186"/>
      <c r="Z35" s="186"/>
      <c r="AA35" s="186"/>
      <c r="AB35" s="186"/>
    </row>
    <row r="36" spans="1:47" x14ac:dyDescent="0.25">
      <c r="A36" s="32">
        <v>20</v>
      </c>
      <c r="B36" s="14" t="s">
        <v>3</v>
      </c>
      <c r="H36" s="22"/>
      <c r="I36" s="57"/>
      <c r="J36" s="57"/>
      <c r="K36" s="57"/>
      <c r="L36" s="57"/>
      <c r="M36" s="186"/>
      <c r="N36" s="186"/>
      <c r="O36" s="393"/>
      <c r="P36" s="397"/>
      <c r="Q36" s="394"/>
      <c r="R36" s="393"/>
      <c r="S36" s="395"/>
      <c r="T36" s="393"/>
      <c r="U36" s="186"/>
      <c r="V36" s="186"/>
      <c r="W36" s="186"/>
      <c r="X36" s="186"/>
      <c r="Y36" s="186"/>
      <c r="Z36" s="186"/>
      <c r="AA36" s="186"/>
      <c r="AB36" s="186"/>
    </row>
    <row r="37" spans="1:47" x14ac:dyDescent="0.25">
      <c r="A37" s="32">
        <v>21</v>
      </c>
      <c r="B37" s="14" t="s">
        <v>4</v>
      </c>
      <c r="H37" s="22"/>
      <c r="I37" s="57"/>
      <c r="J37" s="57"/>
      <c r="K37" s="57"/>
      <c r="L37" s="57"/>
      <c r="M37" s="186"/>
      <c r="N37" s="186"/>
      <c r="O37" s="393"/>
      <c r="P37" s="398"/>
      <c r="Q37" s="398"/>
      <c r="R37" s="393"/>
      <c r="S37" s="395"/>
      <c r="T37" s="393"/>
      <c r="U37" s="186"/>
      <c r="V37" s="186"/>
      <c r="W37" s="186"/>
      <c r="X37" s="186"/>
      <c r="Y37" s="186"/>
      <c r="Z37" s="186"/>
      <c r="AA37" s="186"/>
      <c r="AB37" s="186"/>
    </row>
    <row r="38" spans="1:47" x14ac:dyDescent="0.25">
      <c r="A38" s="32">
        <v>22</v>
      </c>
      <c r="B38" s="14" t="s">
        <v>5</v>
      </c>
      <c r="C38" s="25"/>
      <c r="D38" s="25"/>
      <c r="H38" s="22"/>
      <c r="I38" s="57"/>
      <c r="J38" s="57"/>
      <c r="K38" s="57"/>
      <c r="L38" s="57"/>
      <c r="M38" s="186"/>
      <c r="N38" s="186"/>
      <c r="O38" s="393"/>
      <c r="P38" s="397"/>
      <c r="Q38" s="397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 spans="1:47" s="43" customFormat="1" x14ac:dyDescent="0.25">
      <c r="A39" s="32">
        <v>23</v>
      </c>
      <c r="B39" s="14" t="s">
        <v>6</v>
      </c>
      <c r="C39" s="26"/>
      <c r="D39" s="26"/>
      <c r="E39" s="15"/>
      <c r="F39" s="22"/>
      <c r="G39" s="22"/>
      <c r="H39" s="22"/>
      <c r="I39" s="57"/>
      <c r="J39" s="57"/>
      <c r="K39" s="57"/>
      <c r="L39" s="57"/>
      <c r="M39" s="186"/>
      <c r="N39" s="186"/>
      <c r="O39" s="393"/>
      <c r="P39" s="399"/>
      <c r="Q39" s="399"/>
      <c r="R39" s="393"/>
      <c r="S39" s="395"/>
      <c r="T39" s="393"/>
      <c r="U39" s="186"/>
      <c r="V39" s="186"/>
      <c r="W39" s="186"/>
      <c r="X39" s="186"/>
      <c r="Y39" s="186"/>
      <c r="Z39" s="186"/>
      <c r="AA39" s="186"/>
      <c r="AB39" s="186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spans="1:47" s="22" customFormat="1" x14ac:dyDescent="0.25">
      <c r="A40" s="32">
        <v>24</v>
      </c>
      <c r="B40" s="14" t="s">
        <v>7</v>
      </c>
      <c r="C40" s="15"/>
      <c r="D40" s="15"/>
      <c r="E40" s="15"/>
      <c r="I40" s="57"/>
      <c r="J40" s="57"/>
      <c r="K40" s="57"/>
      <c r="L40" s="57"/>
      <c r="M40" s="186"/>
      <c r="N40" s="186"/>
      <c r="O40" s="393"/>
      <c r="P40" s="393"/>
      <c r="Q40" s="393"/>
      <c r="R40" s="393"/>
      <c r="S40" s="395"/>
      <c r="T40" s="393"/>
      <c r="U40" s="186"/>
      <c r="V40" s="186"/>
      <c r="W40" s="186"/>
      <c r="X40" s="186"/>
      <c r="Y40" s="186"/>
      <c r="Z40" s="186"/>
      <c r="AA40" s="186"/>
      <c r="AB40" s="186"/>
    </row>
    <row r="41" spans="1:47" s="22" customFormat="1" x14ac:dyDescent="0.25">
      <c r="A41" s="32">
        <v>25</v>
      </c>
      <c r="B41" s="14" t="s">
        <v>8</v>
      </c>
      <c r="C41" s="15"/>
      <c r="D41" s="15"/>
      <c r="E41" s="15"/>
      <c r="G41" s="53"/>
      <c r="I41" s="57"/>
      <c r="J41" s="57"/>
      <c r="K41" s="57"/>
      <c r="L41" s="57"/>
      <c r="M41" s="186"/>
      <c r="N41" s="186"/>
      <c r="O41" s="393"/>
      <c r="P41" s="394"/>
      <c r="Q41" s="394"/>
      <c r="R41" s="393"/>
      <c r="S41" s="395"/>
      <c r="T41" s="393"/>
      <c r="U41" s="186"/>
      <c r="V41" s="186"/>
      <c r="W41" s="186"/>
      <c r="X41" s="186"/>
      <c r="Y41" s="186"/>
      <c r="Z41" s="186"/>
      <c r="AA41" s="186"/>
      <c r="AB41" s="186"/>
    </row>
    <row r="42" spans="1:47" s="22" customFormat="1" x14ac:dyDescent="0.25">
      <c r="A42" s="32"/>
      <c r="B42" s="13" t="s">
        <v>26</v>
      </c>
      <c r="C42" s="32"/>
      <c r="D42" s="32"/>
      <c r="E42" s="32">
        <f>SUM(E34:E41)</f>
        <v>0</v>
      </c>
      <c r="G42" s="53"/>
      <c r="I42" s="57"/>
      <c r="J42" s="57"/>
      <c r="K42" s="57"/>
      <c r="L42" s="57"/>
      <c r="M42" s="186"/>
      <c r="N42" s="186"/>
      <c r="O42" s="392"/>
      <c r="P42" s="396"/>
      <c r="Q42" s="396"/>
      <c r="R42" s="39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 spans="1:47" s="22" customFormat="1" x14ac:dyDescent="0.25">
      <c r="A43" s="32"/>
      <c r="B43" s="14"/>
      <c r="C43" s="15"/>
      <c r="D43" s="15"/>
      <c r="E43" s="15"/>
      <c r="F43" s="15"/>
      <c r="G43" s="15"/>
      <c r="I43" s="57"/>
      <c r="J43" s="57"/>
      <c r="K43" s="57"/>
      <c r="L43" s="57"/>
      <c r="M43" s="186"/>
      <c r="N43" s="186"/>
      <c r="O43" s="393"/>
      <c r="P43" s="393"/>
      <c r="Q43" s="393"/>
      <c r="R43" s="400"/>
      <c r="S43" s="393"/>
      <c r="T43" s="393"/>
      <c r="U43" s="186"/>
      <c r="V43" s="186"/>
      <c r="W43" s="186"/>
      <c r="X43" s="186"/>
      <c r="Y43" s="186"/>
      <c r="Z43" s="186"/>
      <c r="AA43" s="186"/>
      <c r="AB43" s="186"/>
    </row>
    <row r="44" spans="1:47" s="22" customFormat="1" ht="30" x14ac:dyDescent="0.25">
      <c r="A44" s="32"/>
      <c r="B44" s="13" t="s">
        <v>10</v>
      </c>
      <c r="C44" s="13" t="s">
        <v>11</v>
      </c>
      <c r="D44" s="13" t="s">
        <v>12</v>
      </c>
      <c r="E44" s="13" t="s">
        <v>13</v>
      </c>
      <c r="F44" s="13" t="s">
        <v>14</v>
      </c>
      <c r="G44" s="13" t="s">
        <v>0</v>
      </c>
      <c r="I44" s="57"/>
      <c r="J44" s="57"/>
      <c r="K44" s="57"/>
      <c r="L44" s="57"/>
      <c r="M44" s="186"/>
      <c r="N44" s="186"/>
      <c r="O44" s="396"/>
      <c r="P44" s="396"/>
      <c r="Q44" s="396"/>
      <c r="R44" s="396"/>
      <c r="S44" s="396"/>
      <c r="T44" s="396"/>
      <c r="U44" s="186"/>
      <c r="V44" s="186"/>
      <c r="W44" s="186"/>
      <c r="X44" s="186"/>
      <c r="Y44" s="186"/>
      <c r="Z44" s="186"/>
      <c r="AA44" s="186"/>
      <c r="AB44" s="186"/>
    </row>
    <row r="45" spans="1:47" s="22" customFormat="1" x14ac:dyDescent="0.25">
      <c r="A45" s="32">
        <v>26</v>
      </c>
      <c r="B45" s="14" t="s">
        <v>2</v>
      </c>
      <c r="C45" s="26"/>
      <c r="D45" s="26"/>
      <c r="E45" s="15"/>
      <c r="F45" s="15"/>
      <c r="G45" s="15"/>
      <c r="I45" s="57"/>
      <c r="J45" s="57"/>
      <c r="K45" s="57"/>
      <c r="L45" s="57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</row>
    <row r="46" spans="1:47" s="22" customFormat="1" x14ac:dyDescent="0.25">
      <c r="A46" s="32">
        <v>27</v>
      </c>
      <c r="B46" s="14" t="s">
        <v>3</v>
      </c>
      <c r="C46" s="15"/>
      <c r="D46" s="15"/>
      <c r="E46" s="15"/>
      <c r="F46" s="15"/>
      <c r="G46" s="15"/>
      <c r="I46" s="57"/>
      <c r="J46" s="57"/>
      <c r="K46" s="57"/>
      <c r="L46" s="57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</row>
    <row r="47" spans="1:47" s="22" customFormat="1" ht="30" x14ac:dyDescent="0.25">
      <c r="A47" s="32">
        <v>28</v>
      </c>
      <c r="B47" s="14" t="s">
        <v>21</v>
      </c>
      <c r="C47" s="15"/>
      <c r="D47" s="15"/>
      <c r="E47" s="15"/>
      <c r="F47" s="15"/>
      <c r="G47" s="15"/>
      <c r="I47" s="57"/>
      <c r="J47" s="57"/>
      <c r="K47" s="57"/>
      <c r="L47" s="57"/>
      <c r="M47" s="186"/>
      <c r="N47" s="186"/>
      <c r="O47" s="186"/>
      <c r="P47" s="397"/>
      <c r="Q47" s="397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</row>
    <row r="48" spans="1:47" s="22" customFormat="1" x14ac:dyDescent="0.25">
      <c r="A48" s="32">
        <v>29</v>
      </c>
      <c r="B48" s="14" t="s">
        <v>5</v>
      </c>
      <c r="C48" s="33">
        <v>0.5</v>
      </c>
      <c r="D48" s="33">
        <v>0.66666666666666663</v>
      </c>
      <c r="E48" s="15">
        <v>4</v>
      </c>
      <c r="F48" s="15"/>
      <c r="G48" s="15" t="s">
        <v>105</v>
      </c>
      <c r="I48" s="57"/>
      <c r="J48" s="57"/>
      <c r="K48" s="57"/>
      <c r="L48" s="57"/>
      <c r="M48" s="186"/>
      <c r="N48" s="186"/>
      <c r="O48" s="186"/>
      <c r="P48" s="397"/>
      <c r="Q48" s="397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</row>
    <row r="49" spans="1:28" s="22" customFormat="1" x14ac:dyDescent="0.25">
      <c r="A49" s="32">
        <v>30</v>
      </c>
      <c r="B49" s="14" t="s">
        <v>6</v>
      </c>
      <c r="C49" s="26"/>
      <c r="D49" s="26"/>
      <c r="E49" s="15"/>
      <c r="F49" s="15"/>
      <c r="G49" s="15"/>
      <c r="I49" s="57"/>
      <c r="J49" s="57"/>
      <c r="K49" s="57"/>
      <c r="L49" s="57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</row>
    <row r="50" spans="1:28" s="22" customFormat="1" x14ac:dyDescent="0.25">
      <c r="A50" s="32">
        <v>31</v>
      </c>
      <c r="B50" s="14" t="s">
        <v>7</v>
      </c>
      <c r="C50" s="15"/>
      <c r="D50" s="15"/>
      <c r="E50" s="15"/>
      <c r="F50" s="15"/>
      <c r="G50" s="15"/>
      <c r="I50" s="58"/>
      <c r="J50" s="58"/>
      <c r="K50" s="58"/>
      <c r="L50" s="58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</row>
    <row r="51" spans="1:28" s="22" customFormat="1" x14ac:dyDescent="0.25">
      <c r="A51" s="32">
        <v>1</v>
      </c>
      <c r="B51" s="14" t="s">
        <v>8</v>
      </c>
      <c r="C51" s="15"/>
      <c r="D51" s="15"/>
      <c r="E51" s="15"/>
      <c r="F51" s="15"/>
      <c r="G51" s="15"/>
      <c r="I51" s="57"/>
      <c r="J51" s="57"/>
      <c r="K51" s="57"/>
      <c r="L51" s="57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</row>
    <row r="52" spans="1:28" s="22" customFormat="1" x14ac:dyDescent="0.25">
      <c r="A52" s="15"/>
      <c r="B52" s="13" t="s">
        <v>26</v>
      </c>
      <c r="C52" s="32"/>
      <c r="D52" s="32"/>
      <c r="E52" s="32">
        <f>SUM(E44:E51)</f>
        <v>4</v>
      </c>
      <c r="F52" s="115" t="s">
        <v>393</v>
      </c>
      <c r="G52" s="145" t="s">
        <v>397</v>
      </c>
      <c r="I52" s="59" t="s">
        <v>23</v>
      </c>
      <c r="J52" s="59"/>
      <c r="K52" s="59"/>
      <c r="L52" s="59"/>
      <c r="M52" s="186"/>
      <c r="N52" s="186"/>
      <c r="O52" s="392"/>
      <c r="P52" s="396"/>
      <c r="Q52" s="396"/>
      <c r="R52" s="396"/>
      <c r="S52" s="401"/>
      <c r="T52" s="186"/>
      <c r="U52" s="186"/>
      <c r="V52" s="186"/>
      <c r="W52" s="186"/>
      <c r="X52" s="186"/>
      <c r="Y52" s="186"/>
      <c r="Z52" s="186"/>
      <c r="AA52" s="186"/>
      <c r="AB52" s="186"/>
    </row>
    <row r="53" spans="1:28" s="22" customFormat="1" x14ac:dyDescent="0.25">
      <c r="A53" s="144" t="s">
        <v>229</v>
      </c>
      <c r="B53" s="35" t="s">
        <v>227</v>
      </c>
      <c r="C53" s="60"/>
      <c r="D53" s="61"/>
      <c r="E53" s="35">
        <f>SUM(E45:E51,E35:E41)</f>
        <v>4</v>
      </c>
      <c r="F53" s="312">
        <f>SUM([3]Marg_hist!G9)</f>
        <v>5</v>
      </c>
      <c r="G53" s="330">
        <f>SUM(E53+G31)-F53</f>
        <v>-4</v>
      </c>
      <c r="H53" s="151"/>
      <c r="I53" s="59"/>
      <c r="J53" s="59"/>
      <c r="K53" s="59"/>
      <c r="L53" s="59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</row>
    <row r="54" spans="1:28" s="22" customFormat="1" x14ac:dyDescent="0.25">
      <c r="A54" s="402">
        <v>43194</v>
      </c>
      <c r="B54" s="15"/>
      <c r="C54" s="15"/>
      <c r="D54" s="15"/>
      <c r="E54" s="15"/>
      <c r="F54" s="15"/>
      <c r="G54" s="15"/>
      <c r="I54" s="59"/>
      <c r="J54" s="59"/>
      <c r="K54" s="59"/>
      <c r="L54" s="59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</row>
    <row r="55" spans="1:28" s="22" customFormat="1" ht="30" x14ac:dyDescent="0.25">
      <c r="B55" s="13" t="s">
        <v>29</v>
      </c>
      <c r="C55" s="13" t="s">
        <v>11</v>
      </c>
      <c r="D55" s="13" t="s">
        <v>12</v>
      </c>
      <c r="E55" s="13" t="s">
        <v>13</v>
      </c>
      <c r="F55" s="13" t="s">
        <v>14</v>
      </c>
      <c r="G55" s="13" t="s">
        <v>0</v>
      </c>
      <c r="I55" s="57"/>
      <c r="J55" s="57"/>
      <c r="K55" s="57"/>
      <c r="L55" s="57"/>
      <c r="M55" s="186"/>
      <c r="N55" s="186"/>
      <c r="O55" s="392"/>
      <c r="P55" s="392"/>
      <c r="Q55" s="392"/>
      <c r="R55" s="392"/>
      <c r="S55" s="392"/>
      <c r="T55" s="392"/>
      <c r="U55" s="186"/>
      <c r="V55" s="186"/>
      <c r="W55" s="186"/>
      <c r="X55" s="186"/>
      <c r="Y55" s="186"/>
      <c r="Z55" s="186"/>
      <c r="AA55" s="186"/>
      <c r="AB55" s="186"/>
    </row>
    <row r="56" spans="1:28" s="22" customFormat="1" x14ac:dyDescent="0.25">
      <c r="A56" s="53">
        <v>2</v>
      </c>
      <c r="B56" s="14" t="s">
        <v>2</v>
      </c>
      <c r="C56" s="25"/>
      <c r="D56" s="25"/>
      <c r="E56" s="14"/>
      <c r="F56" s="24"/>
      <c r="G56" s="14" t="s">
        <v>30</v>
      </c>
      <c r="I56" s="57"/>
      <c r="J56" s="57"/>
      <c r="K56" s="57"/>
      <c r="L56" s="57"/>
      <c r="M56" s="186"/>
      <c r="N56" s="186"/>
      <c r="O56" s="393"/>
      <c r="P56" s="394"/>
      <c r="Q56" s="394"/>
      <c r="R56" s="393"/>
      <c r="S56" s="395"/>
      <c r="T56" s="393"/>
      <c r="U56" s="186"/>
      <c r="V56" s="186"/>
      <c r="W56" s="186"/>
      <c r="X56" s="186"/>
      <c r="Y56" s="186"/>
      <c r="Z56" s="186"/>
      <c r="AA56" s="186"/>
      <c r="AB56" s="186"/>
    </row>
    <row r="57" spans="1:28" s="22" customFormat="1" x14ac:dyDescent="0.25">
      <c r="A57" s="53">
        <v>3</v>
      </c>
      <c r="B57" s="14" t="s">
        <v>3</v>
      </c>
      <c r="C57" s="33"/>
      <c r="D57" s="25"/>
      <c r="E57" s="14"/>
      <c r="F57" s="24"/>
      <c r="G57" s="14"/>
      <c r="I57" s="57"/>
      <c r="J57" s="57"/>
      <c r="K57" s="57"/>
      <c r="L57" s="57"/>
      <c r="M57" s="186"/>
      <c r="N57" s="186"/>
      <c r="O57" s="393"/>
      <c r="P57" s="397"/>
      <c r="Q57" s="394"/>
      <c r="R57" s="393"/>
      <c r="S57" s="395"/>
      <c r="T57" s="393"/>
      <c r="U57" s="186"/>
      <c r="V57" s="186"/>
      <c r="W57" s="186"/>
      <c r="X57" s="186"/>
      <c r="Y57" s="186"/>
      <c r="Z57" s="186"/>
      <c r="AA57" s="186"/>
      <c r="AB57" s="186"/>
    </row>
    <row r="58" spans="1:28" s="22" customFormat="1" x14ac:dyDescent="0.25">
      <c r="A58" s="53">
        <v>4</v>
      </c>
      <c r="B58" s="14" t="s">
        <v>4</v>
      </c>
      <c r="C58" s="26"/>
      <c r="D58" s="26"/>
      <c r="E58" s="14"/>
      <c r="F58" s="24"/>
      <c r="G58" s="14"/>
      <c r="I58" s="57"/>
      <c r="J58" s="57"/>
      <c r="K58" s="57"/>
      <c r="L58" s="57"/>
      <c r="M58" s="186"/>
      <c r="N58" s="186"/>
      <c r="O58" s="393"/>
      <c r="P58" s="398"/>
      <c r="Q58" s="398"/>
      <c r="R58" s="393"/>
      <c r="S58" s="395"/>
      <c r="T58" s="393"/>
      <c r="U58" s="186"/>
      <c r="V58" s="186"/>
      <c r="W58" s="186"/>
      <c r="X58" s="186"/>
      <c r="Y58" s="186"/>
      <c r="Z58" s="186"/>
      <c r="AA58" s="186"/>
      <c r="AB58" s="186"/>
    </row>
    <row r="59" spans="1:28" s="22" customFormat="1" x14ac:dyDescent="0.25">
      <c r="A59" s="53">
        <v>5</v>
      </c>
      <c r="B59" s="14" t="s">
        <v>5</v>
      </c>
      <c r="C59" s="25"/>
      <c r="D59" s="25"/>
      <c r="E59" s="14"/>
      <c r="F59" s="24"/>
      <c r="G59" s="14"/>
      <c r="I59" s="57"/>
      <c r="J59" s="57"/>
      <c r="K59" s="57"/>
      <c r="L59" s="57"/>
      <c r="M59" s="186"/>
      <c r="N59" s="186"/>
      <c r="O59" s="393"/>
      <c r="P59" s="394"/>
      <c r="Q59" s="394"/>
      <c r="R59" s="393"/>
      <c r="S59" s="395"/>
      <c r="T59" s="393"/>
      <c r="U59" s="186"/>
      <c r="V59" s="186"/>
      <c r="W59" s="186"/>
      <c r="X59" s="186"/>
      <c r="Y59" s="186"/>
      <c r="Z59" s="186"/>
      <c r="AA59" s="186"/>
      <c r="AB59" s="186"/>
    </row>
    <row r="60" spans="1:28" s="22" customFormat="1" x14ac:dyDescent="0.25">
      <c r="A60" s="53">
        <v>6</v>
      </c>
      <c r="B60" s="14" t="s">
        <v>6</v>
      </c>
      <c r="C60" s="33">
        <v>0.39583333333333331</v>
      </c>
      <c r="D60" s="33">
        <v>0.47916666666666669</v>
      </c>
      <c r="E60" s="15">
        <v>2</v>
      </c>
      <c r="F60" s="15"/>
      <c r="G60" s="15" t="s">
        <v>105</v>
      </c>
      <c r="I60" s="57"/>
      <c r="J60" s="57"/>
      <c r="K60" s="57"/>
      <c r="L60" s="57"/>
      <c r="M60" s="186"/>
      <c r="N60" s="186"/>
      <c r="O60" s="393"/>
      <c r="P60" s="397"/>
      <c r="Q60" s="397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</row>
    <row r="61" spans="1:28" s="22" customFormat="1" x14ac:dyDescent="0.25">
      <c r="A61" s="53">
        <v>7</v>
      </c>
      <c r="B61" s="14" t="s">
        <v>7</v>
      </c>
      <c r="C61" s="33">
        <v>0.5</v>
      </c>
      <c r="D61" s="33">
        <v>0.54166666666666663</v>
      </c>
      <c r="E61" s="15">
        <v>1</v>
      </c>
      <c r="F61" s="15"/>
      <c r="G61" s="15" t="s">
        <v>106</v>
      </c>
      <c r="I61" s="57"/>
      <c r="J61" s="57"/>
      <c r="K61" s="57"/>
      <c r="L61" s="57"/>
      <c r="M61" s="186"/>
      <c r="N61" s="186"/>
      <c r="O61" s="393"/>
      <c r="P61" s="397"/>
      <c r="Q61" s="397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</row>
    <row r="62" spans="1:28" s="22" customFormat="1" x14ac:dyDescent="0.25">
      <c r="A62" s="53">
        <v>8</v>
      </c>
      <c r="B62" s="14" t="s">
        <v>8</v>
      </c>
      <c r="C62" s="33">
        <v>0.5</v>
      </c>
      <c r="D62" s="26">
        <v>0.58333333333333337</v>
      </c>
      <c r="E62" s="15">
        <v>2</v>
      </c>
      <c r="F62" s="15"/>
      <c r="G62" s="15" t="s">
        <v>107</v>
      </c>
      <c r="I62" s="57"/>
      <c r="J62" s="57"/>
      <c r="K62" s="57"/>
      <c r="L62" s="57"/>
      <c r="M62" s="186"/>
      <c r="N62" s="186"/>
      <c r="O62" s="393"/>
      <c r="P62" s="397"/>
      <c r="Q62" s="398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</row>
    <row r="63" spans="1:28" s="22" customFormat="1" x14ac:dyDescent="0.25">
      <c r="A63" s="53"/>
      <c r="B63" s="13" t="s">
        <v>26</v>
      </c>
      <c r="C63" s="15"/>
      <c r="D63" s="15"/>
      <c r="E63" s="32">
        <f>SUM(E56:E62)</f>
        <v>5</v>
      </c>
      <c r="F63" s="15"/>
      <c r="G63" s="53"/>
      <c r="H63" s="15"/>
      <c r="I63" s="57"/>
      <c r="J63" s="57"/>
      <c r="K63" s="57"/>
      <c r="L63" s="57"/>
      <c r="M63" s="186"/>
      <c r="N63" s="186"/>
      <c r="O63" s="392"/>
      <c r="P63" s="186"/>
      <c r="Q63" s="186"/>
      <c r="R63" s="39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</row>
    <row r="64" spans="1:28" s="22" customFormat="1" x14ac:dyDescent="0.25">
      <c r="B64" s="14"/>
      <c r="C64" s="25"/>
      <c r="D64" s="25"/>
      <c r="E64" s="14"/>
      <c r="F64" s="24"/>
      <c r="G64" s="14"/>
      <c r="I64" s="57"/>
      <c r="J64" s="57"/>
      <c r="K64" s="57"/>
      <c r="L64" s="57"/>
      <c r="M64" s="186"/>
      <c r="N64" s="186"/>
      <c r="O64" s="186"/>
      <c r="P64" s="396"/>
      <c r="Q64" s="39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</row>
    <row r="65" spans="1:47" s="22" customFormat="1" x14ac:dyDescent="0.25">
      <c r="B65" s="13"/>
      <c r="C65" s="32"/>
      <c r="D65" s="32"/>
      <c r="E65" s="32"/>
      <c r="F65" s="15"/>
      <c r="G65" s="15"/>
      <c r="I65" s="57"/>
      <c r="J65" s="57"/>
      <c r="K65" s="57"/>
      <c r="L65" s="57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</row>
    <row r="66" spans="1:47" s="22" customFormat="1" x14ac:dyDescent="0.25">
      <c r="A66" s="15"/>
      <c r="B66" s="15"/>
      <c r="C66" s="15"/>
      <c r="D66" s="15"/>
      <c r="E66" s="15"/>
      <c r="F66" s="15"/>
      <c r="G66" s="15"/>
      <c r="I66" s="57"/>
      <c r="J66" s="57"/>
      <c r="K66" s="57"/>
      <c r="L66" s="57"/>
      <c r="M66" s="186"/>
      <c r="N66" s="186"/>
      <c r="O66" s="392"/>
      <c r="P66" s="392"/>
      <c r="Q66" s="392"/>
      <c r="R66" s="392"/>
      <c r="S66" s="392"/>
      <c r="T66" s="392"/>
      <c r="U66" s="186"/>
      <c r="V66" s="186"/>
      <c r="W66" s="186"/>
      <c r="X66" s="186"/>
      <c r="Y66" s="186"/>
      <c r="Z66" s="186"/>
      <c r="AA66" s="186"/>
      <c r="AB66" s="186"/>
    </row>
    <row r="67" spans="1:47" s="22" customFormat="1" x14ac:dyDescent="0.25">
      <c r="A67" s="15"/>
      <c r="B67" s="15"/>
      <c r="C67" s="15"/>
      <c r="D67" s="15"/>
      <c r="E67" s="15"/>
      <c r="F67" s="15"/>
      <c r="G67" s="15"/>
      <c r="I67" s="57"/>
      <c r="J67" s="57"/>
      <c r="K67" s="57"/>
      <c r="L67" s="57"/>
      <c r="M67" s="186"/>
      <c r="N67" s="186"/>
      <c r="O67" s="393"/>
      <c r="P67" s="397"/>
      <c r="Q67" s="394"/>
      <c r="R67" s="393"/>
      <c r="S67" s="395"/>
      <c r="T67" s="393"/>
      <c r="U67" s="186"/>
      <c r="V67" s="186"/>
      <c r="W67" s="186"/>
      <c r="X67" s="186"/>
      <c r="Y67" s="186"/>
      <c r="Z67" s="186"/>
      <c r="AA67" s="186"/>
      <c r="AB67" s="186"/>
    </row>
    <row r="68" spans="1:47" s="22" customFormat="1" ht="30" x14ac:dyDescent="0.25">
      <c r="A68" s="15"/>
      <c r="B68" s="13" t="s">
        <v>36</v>
      </c>
      <c r="C68" s="13" t="s">
        <v>11</v>
      </c>
      <c r="D68" s="13" t="s">
        <v>12</v>
      </c>
      <c r="E68" s="13" t="s">
        <v>13</v>
      </c>
      <c r="F68" s="13" t="s">
        <v>14</v>
      </c>
      <c r="G68" s="13" t="s">
        <v>0</v>
      </c>
      <c r="I68" s="57"/>
      <c r="J68" s="57"/>
      <c r="K68" s="57"/>
      <c r="L68" s="57"/>
      <c r="M68" s="186"/>
      <c r="N68" s="186"/>
      <c r="O68" s="393"/>
      <c r="P68" s="398"/>
      <c r="Q68" s="398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 spans="1:47" s="22" customFormat="1" x14ac:dyDescent="0.25">
      <c r="A69" s="32">
        <v>9</v>
      </c>
      <c r="B69" s="14" t="s">
        <v>2</v>
      </c>
      <c r="C69" s="33"/>
      <c r="D69" s="25"/>
      <c r="E69" s="14"/>
      <c r="F69" s="24"/>
      <c r="G69" s="14"/>
      <c r="I69" s="57"/>
      <c r="J69" s="57"/>
      <c r="K69" s="57"/>
      <c r="L69" s="57"/>
      <c r="M69" s="186"/>
      <c r="N69" s="186"/>
      <c r="O69" s="393"/>
      <c r="P69" s="398"/>
      <c r="Q69" s="398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</row>
    <row r="70" spans="1:47" s="22" customFormat="1" x14ac:dyDescent="0.25">
      <c r="A70" s="32">
        <v>10</v>
      </c>
      <c r="B70" s="14" t="s">
        <v>257</v>
      </c>
      <c r="C70" s="26">
        <v>0.60416666666666663</v>
      </c>
      <c r="D70" s="26">
        <v>0.625</v>
      </c>
      <c r="E70" s="15">
        <v>0.5</v>
      </c>
      <c r="F70" s="15"/>
      <c r="G70" s="15" t="s">
        <v>109</v>
      </c>
      <c r="I70" s="57"/>
      <c r="J70" s="57"/>
      <c r="K70" s="57"/>
      <c r="L70" s="57"/>
      <c r="M70" s="186"/>
      <c r="N70" s="186"/>
      <c r="O70" s="393"/>
      <c r="P70" s="398"/>
      <c r="Q70" s="398"/>
      <c r="R70" s="393"/>
      <c r="S70" s="395"/>
      <c r="T70" s="393"/>
      <c r="U70" s="186"/>
      <c r="V70" s="186"/>
      <c r="W70" s="186"/>
      <c r="X70" s="186"/>
      <c r="Y70" s="186"/>
      <c r="Z70" s="186"/>
      <c r="AA70" s="186"/>
      <c r="AB70" s="186"/>
    </row>
    <row r="71" spans="1:47" s="22" customFormat="1" x14ac:dyDescent="0.25">
      <c r="A71" s="32"/>
      <c r="B71" s="21"/>
      <c r="C71" s="26">
        <v>0.625</v>
      </c>
      <c r="D71" s="26">
        <v>0.64583333333333337</v>
      </c>
      <c r="E71" s="15">
        <v>0.5</v>
      </c>
      <c r="F71" s="15"/>
      <c r="G71" s="15" t="s">
        <v>110</v>
      </c>
      <c r="I71" s="57"/>
      <c r="J71" s="57"/>
      <c r="K71" s="57"/>
      <c r="L71" s="57"/>
      <c r="M71" s="186"/>
      <c r="N71" s="186"/>
      <c r="O71" s="393"/>
      <c r="P71" s="398"/>
      <c r="Q71" s="398"/>
      <c r="R71" s="393"/>
      <c r="S71" s="395"/>
      <c r="T71" s="393"/>
      <c r="U71" s="186"/>
      <c r="V71" s="186"/>
      <c r="W71" s="186"/>
      <c r="X71" s="186"/>
      <c r="Y71" s="186"/>
      <c r="Z71" s="186"/>
      <c r="AA71" s="186"/>
      <c r="AB71" s="186"/>
    </row>
    <row r="72" spans="1:47" x14ac:dyDescent="0.25">
      <c r="A72" s="32">
        <v>11</v>
      </c>
      <c r="B72" s="14" t="s">
        <v>4</v>
      </c>
      <c r="C72" s="26"/>
      <c r="D72" s="26"/>
      <c r="E72" s="14"/>
      <c r="G72" s="24"/>
      <c r="H72" s="22"/>
      <c r="I72" s="57"/>
      <c r="J72" s="57"/>
      <c r="K72" s="57"/>
      <c r="L72" s="57"/>
      <c r="M72" s="186"/>
      <c r="N72" s="186"/>
      <c r="O72" s="186"/>
      <c r="P72" s="394"/>
      <c r="Q72" s="394"/>
      <c r="R72" s="393"/>
      <c r="S72" s="395"/>
      <c r="T72" s="393"/>
      <c r="U72" s="400"/>
      <c r="V72" s="186"/>
      <c r="W72" s="186"/>
      <c r="X72" s="186"/>
      <c r="Y72" s="186"/>
      <c r="Z72" s="186"/>
      <c r="AA72" s="186"/>
      <c r="AB72" s="186"/>
    </row>
    <row r="73" spans="1:47" s="43" customFormat="1" x14ac:dyDescent="0.25">
      <c r="A73" s="32">
        <v>12</v>
      </c>
      <c r="B73" s="14" t="s">
        <v>5</v>
      </c>
      <c r="C73" s="26">
        <v>0.41666666666666669</v>
      </c>
      <c r="D73" s="26">
        <v>0.4375</v>
      </c>
      <c r="E73" s="14">
        <v>0.5</v>
      </c>
      <c r="F73" s="15"/>
      <c r="G73" s="24" t="s">
        <v>111</v>
      </c>
      <c r="H73" s="22"/>
      <c r="I73" s="57"/>
      <c r="J73" s="57"/>
      <c r="K73" s="57"/>
      <c r="L73" s="57"/>
      <c r="M73" s="186"/>
      <c r="N73" s="186"/>
      <c r="O73" s="393"/>
      <c r="P73" s="393"/>
      <c r="Q73" s="393"/>
      <c r="R73" s="393"/>
      <c r="S73" s="395"/>
      <c r="T73" s="393"/>
      <c r="U73" s="400"/>
      <c r="V73" s="186"/>
      <c r="W73" s="186"/>
      <c r="X73" s="186"/>
      <c r="Y73" s="186"/>
      <c r="Z73" s="186"/>
      <c r="AA73" s="186"/>
      <c r="AB73" s="186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</row>
    <row r="74" spans="1:47" x14ac:dyDescent="0.25">
      <c r="A74" s="32">
        <v>13</v>
      </c>
      <c r="B74" s="14" t="s">
        <v>6</v>
      </c>
      <c r="C74" s="25">
        <v>0.58333333333333337</v>
      </c>
      <c r="D74" s="25">
        <v>0.64583333333333337</v>
      </c>
      <c r="E74" s="14">
        <v>1.5</v>
      </c>
      <c r="G74" s="24" t="s">
        <v>112</v>
      </c>
      <c r="H74" s="22"/>
      <c r="I74" s="57"/>
      <c r="J74" s="57"/>
      <c r="K74" s="57"/>
      <c r="L74" s="57"/>
      <c r="M74" s="186"/>
      <c r="N74" s="186"/>
      <c r="O74" s="393"/>
      <c r="P74" s="393"/>
      <c r="Q74" s="393"/>
      <c r="R74" s="393"/>
      <c r="S74" s="401"/>
      <c r="T74" s="393"/>
      <c r="U74" s="186"/>
      <c r="V74" s="186"/>
      <c r="W74" s="186"/>
      <c r="X74" s="186"/>
      <c r="Y74" s="186"/>
      <c r="Z74" s="186"/>
      <c r="AA74" s="186"/>
      <c r="AB74" s="186"/>
    </row>
    <row r="75" spans="1:47" x14ac:dyDescent="0.25">
      <c r="A75" s="32">
        <v>14</v>
      </c>
      <c r="B75" s="14" t="s">
        <v>7</v>
      </c>
      <c r="C75" s="14"/>
      <c r="D75" s="14"/>
      <c r="E75" s="14"/>
      <c r="F75" s="24"/>
      <c r="G75" s="14"/>
      <c r="H75" s="22"/>
      <c r="I75" s="57"/>
      <c r="J75" s="57"/>
      <c r="K75" s="57"/>
      <c r="L75" s="57"/>
      <c r="M75" s="186"/>
      <c r="N75" s="186"/>
      <c r="O75" s="393"/>
      <c r="P75" s="393"/>
      <c r="Q75" s="393"/>
      <c r="R75" s="186"/>
      <c r="S75" s="393"/>
      <c r="T75" s="393"/>
      <c r="U75" s="186"/>
      <c r="V75" s="186"/>
      <c r="W75" s="186"/>
      <c r="X75" s="186"/>
      <c r="Y75" s="186"/>
      <c r="Z75" s="186"/>
      <c r="AA75" s="186"/>
      <c r="AB75" s="186"/>
    </row>
    <row r="76" spans="1:47" x14ac:dyDescent="0.25">
      <c r="A76" s="32">
        <v>15</v>
      </c>
      <c r="B76" s="14" t="s">
        <v>8</v>
      </c>
      <c r="C76" s="14"/>
      <c r="D76" s="14"/>
      <c r="E76" s="14"/>
      <c r="F76" s="24"/>
      <c r="G76" s="14"/>
      <c r="H76" s="22"/>
      <c r="I76" s="57"/>
      <c r="J76" s="57"/>
      <c r="K76" s="57"/>
      <c r="L76" s="57"/>
      <c r="M76" s="186"/>
      <c r="N76" s="186"/>
      <c r="O76" s="393"/>
      <c r="P76" s="393"/>
      <c r="Q76" s="393"/>
      <c r="R76" s="400"/>
      <c r="S76" s="393"/>
      <c r="T76" s="393"/>
      <c r="U76" s="186"/>
      <c r="V76" s="186"/>
      <c r="W76" s="186"/>
      <c r="X76" s="186"/>
      <c r="Y76" s="186"/>
      <c r="Z76" s="186"/>
      <c r="AA76" s="186"/>
      <c r="AB76" s="186"/>
    </row>
    <row r="77" spans="1:47" x14ac:dyDescent="0.25">
      <c r="A77" s="35" t="s">
        <v>396</v>
      </c>
      <c r="B77" s="13" t="s">
        <v>26</v>
      </c>
      <c r="C77" s="25"/>
      <c r="D77" s="25"/>
      <c r="E77" s="32">
        <f>SUM(E69:E76)</f>
        <v>3</v>
      </c>
      <c r="F77" s="115" t="s">
        <v>393</v>
      </c>
      <c r="G77" s="145" t="s">
        <v>397</v>
      </c>
      <c r="H77" s="22"/>
      <c r="I77" s="57"/>
      <c r="J77" s="57"/>
      <c r="K77" s="57"/>
      <c r="L77" s="57"/>
      <c r="M77" s="186"/>
      <c r="N77" s="186"/>
      <c r="O77" s="393"/>
      <c r="P77" s="399"/>
      <c r="Q77" s="399"/>
      <c r="R77" s="393"/>
      <c r="S77" s="395"/>
      <c r="T77" s="393"/>
      <c r="U77" s="186"/>
      <c r="V77" s="186"/>
      <c r="W77" s="186"/>
      <c r="X77" s="186"/>
      <c r="Y77" s="186"/>
      <c r="Z77" s="186"/>
      <c r="AA77" s="186"/>
      <c r="AB77" s="186"/>
    </row>
    <row r="78" spans="1:47" x14ac:dyDescent="0.25">
      <c r="A78" s="144"/>
      <c r="B78" s="35" t="s">
        <v>227</v>
      </c>
      <c r="C78" s="60"/>
      <c r="D78" s="35" t="s">
        <v>396</v>
      </c>
      <c r="E78" s="35">
        <f>SUM(E63,E77)</f>
        <v>8</v>
      </c>
      <c r="F78" s="331" t="s">
        <v>398</v>
      </c>
      <c r="G78" s="386">
        <f>SUM(E77+G53+E63)</f>
        <v>4</v>
      </c>
      <c r="H78" s="221" t="s">
        <v>413</v>
      </c>
      <c r="I78" s="57"/>
      <c r="J78" s="57"/>
      <c r="K78" s="57"/>
      <c r="L78" s="57"/>
      <c r="M78" s="186"/>
      <c r="N78" s="186"/>
      <c r="O78" s="393"/>
      <c r="P78" s="394"/>
      <c r="Q78" s="394"/>
      <c r="R78" s="393"/>
      <c r="S78" s="395"/>
      <c r="T78" s="393"/>
      <c r="U78" s="186"/>
      <c r="V78" s="186"/>
      <c r="W78" s="186"/>
      <c r="X78" s="186"/>
      <c r="Y78" s="186"/>
      <c r="Z78" s="186"/>
      <c r="AA78" s="186"/>
      <c r="AB78" s="186"/>
    </row>
    <row r="79" spans="1:47" x14ac:dyDescent="0.25">
      <c r="I79" s="57"/>
      <c r="J79" s="57"/>
      <c r="K79" s="57"/>
      <c r="L79" s="57"/>
      <c r="M79" s="186"/>
      <c r="N79" s="186"/>
      <c r="O79" s="392"/>
      <c r="P79" s="396"/>
      <c r="Q79" s="396"/>
      <c r="R79" s="39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 spans="1:47" x14ac:dyDescent="0.25">
      <c r="B80" s="20"/>
      <c r="C80" s="146"/>
      <c r="D80" s="147"/>
      <c r="E80" s="20"/>
      <c r="F80" s="20"/>
      <c r="G80" s="53"/>
      <c r="H80" s="22"/>
      <c r="I80" s="57"/>
      <c r="J80" s="57"/>
      <c r="K80" s="57"/>
      <c r="L80" s="57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</row>
    <row r="81" spans="1:28" ht="30" x14ac:dyDescent="0.25">
      <c r="B81" s="13" t="s">
        <v>54</v>
      </c>
      <c r="C81" s="13" t="s">
        <v>11</v>
      </c>
      <c r="D81" s="13" t="s">
        <v>12</v>
      </c>
      <c r="E81" s="13" t="s">
        <v>13</v>
      </c>
      <c r="F81" s="13" t="s">
        <v>14</v>
      </c>
      <c r="G81" s="20" t="s">
        <v>0</v>
      </c>
      <c r="H81" s="22"/>
      <c r="I81" s="57"/>
      <c r="J81" s="57"/>
      <c r="K81" s="57"/>
      <c r="L81" s="57"/>
      <c r="M81" s="186"/>
      <c r="N81" s="186"/>
      <c r="O81" s="392"/>
      <c r="P81" s="392"/>
      <c r="Q81" s="392"/>
      <c r="R81" s="392"/>
      <c r="S81" s="392"/>
      <c r="T81" s="392"/>
      <c r="U81" s="186"/>
      <c r="V81" s="186"/>
      <c r="W81" s="186"/>
      <c r="X81" s="186"/>
      <c r="Y81" s="186"/>
      <c r="Z81" s="186"/>
      <c r="AA81" s="186"/>
      <c r="AB81" s="186"/>
    </row>
    <row r="82" spans="1:28" x14ac:dyDescent="0.25">
      <c r="A82" s="32">
        <v>16</v>
      </c>
      <c r="B82" s="14" t="s">
        <v>2</v>
      </c>
      <c r="C82" s="33">
        <v>0.29166666666666669</v>
      </c>
      <c r="D82" s="25" t="s">
        <v>117</v>
      </c>
      <c r="E82" s="14">
        <v>2</v>
      </c>
      <c r="G82" s="24" t="s">
        <v>118</v>
      </c>
      <c r="H82" s="22"/>
      <c r="I82" s="57"/>
      <c r="J82" s="57"/>
      <c r="K82" s="57"/>
      <c r="L82" s="57"/>
      <c r="M82" s="186"/>
      <c r="N82" s="186"/>
      <c r="O82" s="393"/>
      <c r="P82" s="397"/>
      <c r="Q82" s="394"/>
      <c r="R82" s="393"/>
      <c r="S82" s="395"/>
      <c r="T82" s="393"/>
      <c r="U82" s="186"/>
      <c r="V82" s="186"/>
      <c r="W82" s="186"/>
      <c r="X82" s="186"/>
      <c r="Y82" s="186"/>
      <c r="Z82" s="186"/>
      <c r="AA82" s="186"/>
      <c r="AB82" s="186"/>
    </row>
    <row r="83" spans="1:28" x14ac:dyDescent="0.25">
      <c r="A83" s="32">
        <v>17</v>
      </c>
      <c r="B83" s="14" t="s">
        <v>3</v>
      </c>
      <c r="H83" s="22"/>
      <c r="I83" s="57"/>
      <c r="J83" s="57"/>
      <c r="K83" s="57"/>
      <c r="L83" s="57"/>
      <c r="M83" s="186"/>
      <c r="N83" s="186"/>
      <c r="O83" s="393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</row>
    <row r="84" spans="1:28" x14ac:dyDescent="0.25">
      <c r="A84" s="32">
        <v>18</v>
      </c>
      <c r="B84" s="14" t="s">
        <v>4</v>
      </c>
      <c r="C84" s="26"/>
      <c r="D84" s="26"/>
      <c r="E84" s="14"/>
      <c r="G84" s="24"/>
      <c r="H84" s="22"/>
      <c r="I84" s="57"/>
      <c r="J84" s="57"/>
      <c r="K84" s="57"/>
      <c r="L84" s="57"/>
      <c r="M84" s="186"/>
      <c r="N84" s="186"/>
      <c r="O84" s="393"/>
      <c r="P84" s="398"/>
      <c r="Q84" s="398"/>
      <c r="R84" s="393"/>
      <c r="S84" s="395"/>
      <c r="T84" s="393"/>
      <c r="U84" s="186"/>
      <c r="V84" s="186"/>
      <c r="W84" s="186"/>
      <c r="X84" s="186"/>
      <c r="Y84" s="186"/>
      <c r="Z84" s="186"/>
      <c r="AA84" s="186"/>
      <c r="AB84" s="186"/>
    </row>
    <row r="85" spans="1:28" x14ac:dyDescent="0.25">
      <c r="A85" s="32">
        <v>19</v>
      </c>
      <c r="B85" s="14" t="s">
        <v>5</v>
      </c>
      <c r="C85" s="25">
        <v>0.40277777777777773</v>
      </c>
      <c r="D85" s="25">
        <v>0.4861111111111111</v>
      </c>
      <c r="E85" s="14">
        <v>2</v>
      </c>
      <c r="G85" s="24" t="s">
        <v>119</v>
      </c>
      <c r="H85" s="22"/>
      <c r="I85" s="57"/>
      <c r="J85" s="57"/>
      <c r="K85" s="57"/>
      <c r="L85" s="57"/>
      <c r="M85" s="186"/>
      <c r="N85" s="186"/>
      <c r="O85" s="393"/>
      <c r="P85" s="394"/>
      <c r="Q85" s="394"/>
      <c r="R85" s="393"/>
      <c r="S85" s="395"/>
      <c r="T85" s="393"/>
      <c r="U85" s="186"/>
      <c r="V85" s="186"/>
      <c r="W85" s="186"/>
      <c r="X85" s="186"/>
      <c r="Y85" s="186"/>
      <c r="Z85" s="186"/>
      <c r="AA85" s="186"/>
      <c r="AB85" s="186"/>
    </row>
    <row r="86" spans="1:28" x14ac:dyDescent="0.25">
      <c r="A86" s="32">
        <v>20</v>
      </c>
      <c r="B86" s="14" t="s">
        <v>6</v>
      </c>
      <c r="C86" s="14"/>
      <c r="D86" s="14"/>
      <c r="E86" s="14"/>
      <c r="G86" s="24"/>
      <c r="H86" s="22"/>
      <c r="I86" s="57"/>
      <c r="J86" s="57"/>
      <c r="K86" s="57"/>
      <c r="L86" s="57"/>
      <c r="M86" s="186"/>
      <c r="N86" s="186"/>
      <c r="O86" s="393"/>
      <c r="P86" s="393"/>
      <c r="Q86" s="393"/>
      <c r="R86" s="393"/>
      <c r="S86" s="395"/>
      <c r="T86" s="393"/>
      <c r="U86" s="186"/>
      <c r="V86" s="186"/>
      <c r="W86" s="186"/>
      <c r="X86" s="186"/>
      <c r="Y86" s="186"/>
      <c r="Z86" s="186"/>
      <c r="AA86" s="186"/>
      <c r="AB86" s="186"/>
    </row>
    <row r="87" spans="1:28" x14ac:dyDescent="0.25">
      <c r="A87" s="32">
        <v>21</v>
      </c>
      <c r="B87" s="14" t="s">
        <v>7</v>
      </c>
      <c r="C87" s="42">
        <v>0.41666666666666669</v>
      </c>
      <c r="D87" s="42">
        <v>0.45833333333333331</v>
      </c>
      <c r="E87" s="14">
        <v>1</v>
      </c>
      <c r="G87" s="24" t="s">
        <v>120</v>
      </c>
      <c r="H87" s="22"/>
      <c r="I87" s="57"/>
      <c r="J87" s="57"/>
      <c r="K87" s="57"/>
      <c r="L87" s="57"/>
      <c r="M87" s="186"/>
      <c r="N87" s="186"/>
      <c r="O87" s="393"/>
      <c r="P87" s="399"/>
      <c r="Q87" s="399"/>
      <c r="R87" s="393"/>
      <c r="S87" s="395"/>
      <c r="T87" s="393"/>
      <c r="U87" s="186"/>
      <c r="V87" s="186"/>
      <c r="W87" s="186"/>
      <c r="X87" s="186"/>
      <c r="Y87" s="186"/>
      <c r="Z87" s="186"/>
      <c r="AA87" s="186"/>
      <c r="AB87" s="186"/>
    </row>
    <row r="88" spans="1:28" s="22" customFormat="1" x14ac:dyDescent="0.25">
      <c r="A88" s="32">
        <v>22</v>
      </c>
      <c r="B88" s="14" t="s">
        <v>8</v>
      </c>
      <c r="C88" s="25"/>
      <c r="D88" s="25"/>
      <c r="E88" s="14"/>
      <c r="F88" s="24"/>
      <c r="G88" s="14"/>
      <c r="I88" s="57"/>
      <c r="J88" s="57"/>
      <c r="K88" s="57"/>
      <c r="L88" s="57"/>
      <c r="M88" s="186"/>
      <c r="N88" s="186"/>
      <c r="O88" s="393"/>
      <c r="P88" s="394"/>
      <c r="Q88" s="394"/>
      <c r="R88" s="393"/>
      <c r="S88" s="395"/>
      <c r="T88" s="393"/>
      <c r="U88" s="186"/>
      <c r="V88" s="186"/>
      <c r="W88" s="186"/>
      <c r="X88" s="186"/>
      <c r="Y88" s="186"/>
      <c r="Z88" s="186"/>
      <c r="AA88" s="186"/>
      <c r="AB88" s="186"/>
    </row>
    <row r="89" spans="1:28" s="22" customFormat="1" x14ac:dyDescent="0.25">
      <c r="A89" s="15"/>
      <c r="B89" s="13" t="s">
        <v>26</v>
      </c>
      <c r="C89" s="32"/>
      <c r="D89" s="32"/>
      <c r="E89" s="32">
        <f>SUM(E82:E88)</f>
        <v>5</v>
      </c>
      <c r="F89" s="15"/>
      <c r="G89" s="53"/>
      <c r="I89" s="57"/>
      <c r="J89" s="57"/>
      <c r="K89" s="57"/>
      <c r="L89" s="57"/>
      <c r="M89" s="186"/>
      <c r="N89" s="186"/>
      <c r="O89" s="392"/>
      <c r="P89" s="396"/>
      <c r="Q89" s="396"/>
      <c r="R89" s="39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</row>
    <row r="90" spans="1:28" s="22" customFormat="1" x14ac:dyDescent="0.25">
      <c r="A90" s="15"/>
      <c r="B90" s="13"/>
      <c r="C90" s="32"/>
      <c r="D90" s="32"/>
      <c r="E90" s="32"/>
      <c r="F90" s="15"/>
      <c r="G90" s="15"/>
      <c r="I90" s="57"/>
      <c r="J90" s="57"/>
      <c r="K90" s="57"/>
      <c r="L90" s="57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</row>
    <row r="91" spans="1:28" s="22" customFormat="1" x14ac:dyDescent="0.25">
      <c r="A91" s="15"/>
      <c r="B91" s="15"/>
      <c r="C91" s="15"/>
      <c r="D91" s="15"/>
      <c r="E91" s="15"/>
      <c r="F91" s="15"/>
      <c r="G91" s="15"/>
      <c r="I91" s="57"/>
      <c r="J91" s="57"/>
      <c r="K91" s="57"/>
      <c r="L91" s="57"/>
      <c r="M91" s="39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</row>
    <row r="92" spans="1:28" s="22" customFormat="1" ht="30" x14ac:dyDescent="0.25">
      <c r="A92" s="15"/>
      <c r="B92" s="13" t="s">
        <v>60</v>
      </c>
      <c r="C92" s="13" t="s">
        <v>11</v>
      </c>
      <c r="D92" s="13" t="s">
        <v>12</v>
      </c>
      <c r="E92" s="13" t="s">
        <v>13</v>
      </c>
      <c r="F92" s="13" t="s">
        <v>14</v>
      </c>
      <c r="G92" s="20" t="s">
        <v>0</v>
      </c>
      <c r="I92" s="57"/>
      <c r="J92" s="57"/>
      <c r="K92" s="57"/>
      <c r="L92" s="57"/>
      <c r="M92" s="186"/>
      <c r="N92" s="186"/>
      <c r="O92" s="392"/>
      <c r="P92" s="392"/>
      <c r="Q92" s="392"/>
      <c r="R92" s="392"/>
      <c r="S92" s="392"/>
      <c r="T92" s="392"/>
      <c r="U92" s="186"/>
      <c r="V92" s="186"/>
      <c r="W92" s="186"/>
      <c r="X92" s="186"/>
      <c r="Y92" s="186"/>
      <c r="Z92" s="186"/>
      <c r="AA92" s="186"/>
      <c r="AB92" s="186"/>
    </row>
    <row r="93" spans="1:28" s="22" customFormat="1" x14ac:dyDescent="0.25">
      <c r="A93" s="32">
        <v>23</v>
      </c>
      <c r="B93" s="14" t="s">
        <v>2</v>
      </c>
      <c r="C93" s="33">
        <v>0.375</v>
      </c>
      <c r="D93" s="25">
        <v>0.45833333333333331</v>
      </c>
      <c r="E93" s="14">
        <v>2</v>
      </c>
      <c r="F93" s="15"/>
      <c r="G93" s="24" t="s">
        <v>121</v>
      </c>
      <c r="I93" s="57"/>
      <c r="J93" s="57"/>
      <c r="K93" s="57"/>
      <c r="L93" s="57"/>
      <c r="M93" s="392"/>
      <c r="N93" s="186"/>
      <c r="O93" s="393"/>
      <c r="P93" s="397"/>
      <c r="Q93" s="394"/>
      <c r="R93" s="393"/>
      <c r="S93" s="395"/>
      <c r="T93" s="393"/>
      <c r="U93" s="186"/>
      <c r="V93" s="186"/>
      <c r="W93" s="186"/>
      <c r="X93" s="186"/>
      <c r="Y93" s="186"/>
      <c r="Z93" s="186"/>
      <c r="AA93" s="186"/>
      <c r="AB93" s="186"/>
    </row>
    <row r="94" spans="1:28" s="22" customFormat="1" x14ac:dyDescent="0.25">
      <c r="A94" s="32">
        <v>24</v>
      </c>
      <c r="B94" s="14" t="s">
        <v>3</v>
      </c>
      <c r="C94" s="15"/>
      <c r="D94" s="15"/>
      <c r="E94" s="15"/>
      <c r="F94" s="15"/>
      <c r="G94" s="15"/>
      <c r="I94" s="57"/>
      <c r="J94" s="57"/>
      <c r="K94" s="57"/>
      <c r="L94" s="57"/>
      <c r="M94" s="392"/>
      <c r="N94" s="186"/>
      <c r="O94" s="393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 spans="1:28" s="22" customFormat="1" x14ac:dyDescent="0.25">
      <c r="A95" s="32">
        <v>25</v>
      </c>
      <c r="B95" s="14" t="s">
        <v>4</v>
      </c>
      <c r="C95" s="26"/>
      <c r="D95" s="26"/>
      <c r="E95" s="14"/>
      <c r="F95" s="15"/>
      <c r="G95" s="24"/>
      <c r="I95" s="57"/>
      <c r="J95" s="57"/>
      <c r="K95" s="57"/>
      <c r="L95" s="57"/>
      <c r="M95" s="392"/>
      <c r="N95" s="186"/>
      <c r="O95" s="393"/>
      <c r="P95" s="398"/>
      <c r="Q95" s="398"/>
      <c r="R95" s="393"/>
      <c r="S95" s="395"/>
      <c r="T95" s="393"/>
      <c r="U95" s="186"/>
      <c r="V95" s="186"/>
      <c r="W95" s="186"/>
      <c r="X95" s="186"/>
      <c r="Y95" s="186"/>
      <c r="Z95" s="186"/>
      <c r="AA95" s="186"/>
      <c r="AB95" s="186"/>
    </row>
    <row r="96" spans="1:28" s="22" customFormat="1" x14ac:dyDescent="0.25">
      <c r="A96" s="32">
        <v>26</v>
      </c>
      <c r="B96" s="14" t="s">
        <v>5</v>
      </c>
      <c r="C96" s="25">
        <v>0.375</v>
      </c>
      <c r="D96" s="25">
        <v>0.41666666666666669</v>
      </c>
      <c r="E96" s="14">
        <v>1</v>
      </c>
      <c r="F96" s="15"/>
      <c r="G96" s="24" t="s">
        <v>122</v>
      </c>
      <c r="I96" s="57"/>
      <c r="J96" s="57"/>
      <c r="K96" s="57"/>
      <c r="L96" s="57"/>
      <c r="M96" s="186"/>
      <c r="N96" s="186"/>
      <c r="O96" s="393"/>
      <c r="P96" s="394"/>
      <c r="Q96" s="394"/>
      <c r="R96" s="393"/>
      <c r="S96" s="395"/>
      <c r="T96" s="393"/>
      <c r="U96" s="186"/>
      <c r="V96" s="186"/>
      <c r="W96" s="186"/>
      <c r="X96" s="186"/>
      <c r="Y96" s="186"/>
      <c r="Z96" s="186"/>
      <c r="AA96" s="186"/>
      <c r="AB96" s="186"/>
    </row>
    <row r="97" spans="1:28" s="22" customFormat="1" x14ac:dyDescent="0.25">
      <c r="A97" s="32">
        <v>27</v>
      </c>
      <c r="B97" s="14" t="s">
        <v>6</v>
      </c>
      <c r="C97" s="14"/>
      <c r="D97" s="14"/>
      <c r="E97" s="14"/>
      <c r="F97" s="15"/>
      <c r="G97" s="24"/>
      <c r="I97" s="57"/>
      <c r="J97" s="57"/>
      <c r="K97" s="57"/>
      <c r="L97" s="57"/>
      <c r="M97" s="186"/>
      <c r="N97" s="186"/>
      <c r="O97" s="393"/>
      <c r="P97" s="393"/>
      <c r="Q97" s="393"/>
      <c r="R97" s="393"/>
      <c r="S97" s="395"/>
      <c r="T97" s="393"/>
      <c r="U97" s="186"/>
      <c r="V97" s="186"/>
      <c r="W97" s="186"/>
      <c r="X97" s="186"/>
      <c r="Y97" s="186"/>
      <c r="Z97" s="186"/>
      <c r="AA97" s="186"/>
      <c r="AB97" s="186"/>
    </row>
    <row r="98" spans="1:28" s="22" customFormat="1" x14ac:dyDescent="0.25">
      <c r="A98" s="32">
        <v>28</v>
      </c>
      <c r="B98" s="14" t="s">
        <v>7</v>
      </c>
      <c r="C98" s="42">
        <v>0.41666666666666669</v>
      </c>
      <c r="D98" s="42">
        <v>0.45833333333333331</v>
      </c>
      <c r="E98" s="14">
        <v>1</v>
      </c>
      <c r="F98" s="15"/>
      <c r="G98" s="24" t="s">
        <v>112</v>
      </c>
      <c r="I98" s="57"/>
      <c r="J98" s="57"/>
      <c r="K98" s="57"/>
      <c r="L98" s="57"/>
      <c r="M98" s="186"/>
      <c r="N98" s="186"/>
      <c r="O98" s="393"/>
      <c r="P98" s="399"/>
      <c r="Q98" s="399"/>
      <c r="R98" s="393"/>
      <c r="S98" s="395"/>
      <c r="T98" s="393"/>
      <c r="U98" s="186"/>
      <c r="V98" s="186"/>
      <c r="W98" s="186"/>
      <c r="X98" s="186"/>
      <c r="Y98" s="186"/>
      <c r="Z98" s="186"/>
      <c r="AA98" s="186"/>
      <c r="AB98" s="186"/>
    </row>
    <row r="99" spans="1:28" s="22" customFormat="1" x14ac:dyDescent="0.25">
      <c r="A99" s="32">
        <v>29</v>
      </c>
      <c r="B99" s="14" t="s">
        <v>8</v>
      </c>
      <c r="C99" s="25"/>
      <c r="D99" s="25"/>
      <c r="E99" s="14"/>
      <c r="F99" s="24"/>
      <c r="G99" s="14"/>
      <c r="I99" s="57"/>
      <c r="J99" s="57"/>
      <c r="K99" s="57"/>
      <c r="L99" s="57"/>
      <c r="M99" s="186"/>
      <c r="N99" s="186"/>
      <c r="O99" s="393"/>
      <c r="P99" s="394"/>
      <c r="Q99" s="394"/>
      <c r="R99" s="393"/>
      <c r="S99" s="395"/>
      <c r="T99" s="393"/>
      <c r="U99" s="186"/>
      <c r="V99" s="186"/>
      <c r="W99" s="186"/>
      <c r="X99" s="186"/>
      <c r="Y99" s="186"/>
      <c r="Z99" s="186"/>
      <c r="AA99" s="186"/>
      <c r="AB99" s="186"/>
    </row>
    <row r="100" spans="1:28" s="22" customFormat="1" x14ac:dyDescent="0.25">
      <c r="A100" s="15"/>
      <c r="B100" s="13" t="s">
        <v>26</v>
      </c>
      <c r="C100" s="32"/>
      <c r="D100" s="32"/>
      <c r="E100" s="32">
        <f>SUM(E91:E99)</f>
        <v>4</v>
      </c>
      <c r="F100" s="115" t="s">
        <v>393</v>
      </c>
      <c r="G100" s="145" t="s">
        <v>397</v>
      </c>
      <c r="H100" s="221" t="s">
        <v>414</v>
      </c>
      <c r="I100" s="57"/>
      <c r="J100" s="57"/>
      <c r="K100" s="57"/>
      <c r="L100" s="57"/>
      <c r="M100" s="186"/>
      <c r="N100" s="186"/>
      <c r="O100" s="392"/>
      <c r="P100" s="396"/>
      <c r="Q100" s="396"/>
      <c r="R100" s="39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</row>
    <row r="101" spans="1:28" s="22" customFormat="1" ht="30" x14ac:dyDescent="0.25">
      <c r="A101" s="144" t="s">
        <v>401</v>
      </c>
      <c r="B101" s="35" t="s">
        <v>227</v>
      </c>
      <c r="C101" s="60"/>
      <c r="D101" s="61"/>
      <c r="E101" s="304">
        <f>SUM(E89,E100)</f>
        <v>9</v>
      </c>
      <c r="F101" s="115">
        <f>SUM(1*[3]Marg_hist!G15)</f>
        <v>18</v>
      </c>
      <c r="G101" s="330">
        <f>SUM(E101 + G78)-F101</f>
        <v>-5</v>
      </c>
      <c r="H101" s="221" t="s">
        <v>400</v>
      </c>
      <c r="I101" s="57"/>
      <c r="J101" s="57"/>
      <c r="K101" s="57"/>
      <c r="L101" s="57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</row>
    <row r="102" spans="1:28" s="22" customFormat="1" x14ac:dyDescent="0.25">
      <c r="A102" s="402">
        <v>43222</v>
      </c>
      <c r="B102" s="20"/>
      <c r="C102" s="146"/>
      <c r="D102" s="147"/>
      <c r="E102" s="20"/>
      <c r="F102" s="20"/>
      <c r="G102" s="53"/>
      <c r="I102" s="57"/>
      <c r="J102" s="57"/>
      <c r="K102" s="57"/>
      <c r="L102" s="57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</row>
    <row r="103" spans="1:28" s="22" customFormat="1" ht="75" x14ac:dyDescent="0.25">
      <c r="A103" s="299"/>
      <c r="B103" s="13" t="s">
        <v>70</v>
      </c>
      <c r="C103" s="13" t="s">
        <v>11</v>
      </c>
      <c r="D103" s="13" t="s">
        <v>12</v>
      </c>
      <c r="E103" s="13" t="s">
        <v>13</v>
      </c>
      <c r="F103" s="13" t="s">
        <v>14</v>
      </c>
      <c r="G103" s="20" t="s">
        <v>0</v>
      </c>
      <c r="I103" s="57" t="s">
        <v>187</v>
      </c>
      <c r="J103" s="57" t="s">
        <v>186</v>
      </c>
      <c r="K103" s="57"/>
      <c r="L103" s="57"/>
      <c r="M103" s="186"/>
      <c r="N103" s="186"/>
      <c r="O103" s="392"/>
      <c r="P103" s="392"/>
      <c r="Q103" s="392"/>
      <c r="R103" s="392"/>
      <c r="S103" s="392"/>
      <c r="T103" s="392"/>
      <c r="U103" s="186"/>
      <c r="V103" s="186"/>
      <c r="W103" s="186"/>
      <c r="X103" s="186"/>
      <c r="Y103" s="186"/>
      <c r="Z103" s="186"/>
      <c r="AA103" s="186"/>
      <c r="AB103" s="186"/>
    </row>
    <row r="104" spans="1:28" s="22" customFormat="1" ht="60" x14ac:dyDescent="0.25">
      <c r="A104" s="32">
        <v>30</v>
      </c>
      <c r="B104" s="14" t="s">
        <v>2</v>
      </c>
      <c r="C104" s="33"/>
      <c r="D104" s="25"/>
      <c r="E104" s="14"/>
      <c r="F104" s="24"/>
      <c r="G104" s="14"/>
      <c r="I104" s="57" t="s">
        <v>182</v>
      </c>
      <c r="J104" s="57" t="s">
        <v>181</v>
      </c>
      <c r="K104" s="57"/>
      <c r="L104" s="57"/>
      <c r="M104" s="186"/>
      <c r="N104" s="186"/>
      <c r="O104" s="393"/>
      <c r="P104" s="397"/>
      <c r="Q104" s="394"/>
      <c r="R104" s="393"/>
      <c r="S104" s="395"/>
      <c r="T104" s="393"/>
      <c r="U104" s="186"/>
      <c r="V104" s="186"/>
      <c r="W104" s="186"/>
      <c r="X104" s="186"/>
      <c r="Y104" s="186"/>
      <c r="Z104" s="186"/>
      <c r="AA104" s="186"/>
      <c r="AB104" s="186"/>
    </row>
    <row r="105" spans="1:28" s="22" customFormat="1" ht="105" x14ac:dyDescent="0.25">
      <c r="A105" s="32">
        <v>1</v>
      </c>
      <c r="B105" s="14" t="s">
        <v>3</v>
      </c>
      <c r="C105" s="26">
        <v>0.58333333333333337</v>
      </c>
      <c r="D105" s="26">
        <v>0.625</v>
      </c>
      <c r="E105" s="15">
        <v>1</v>
      </c>
      <c r="F105" s="15"/>
      <c r="G105" s="15" t="s">
        <v>124</v>
      </c>
      <c r="H105" s="299"/>
      <c r="I105" s="57" t="s">
        <v>180</v>
      </c>
      <c r="J105" s="57" t="s">
        <v>179</v>
      </c>
      <c r="K105" s="57"/>
      <c r="L105" s="57"/>
      <c r="M105" s="186"/>
      <c r="N105" s="186"/>
      <c r="O105" s="393"/>
      <c r="P105" s="398"/>
      <c r="Q105" s="398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</row>
    <row r="106" spans="1:28" s="22" customFormat="1" x14ac:dyDescent="0.25">
      <c r="A106" s="32">
        <v>2</v>
      </c>
      <c r="B106" s="14" t="s">
        <v>4</v>
      </c>
      <c r="C106" s="26"/>
      <c r="D106" s="26"/>
      <c r="E106" s="14"/>
      <c r="F106" s="15"/>
      <c r="G106" s="24"/>
      <c r="I106" s="57"/>
      <c r="J106" s="57"/>
      <c r="K106" s="57"/>
      <c r="L106" s="57"/>
      <c r="M106" s="186"/>
      <c r="N106" s="186"/>
      <c r="O106" s="393"/>
      <c r="P106" s="398"/>
      <c r="Q106" s="398"/>
      <c r="R106" s="393"/>
      <c r="S106" s="395"/>
      <c r="T106" s="393"/>
      <c r="U106" s="186"/>
      <c r="V106" s="186"/>
      <c r="W106" s="186"/>
      <c r="X106" s="186"/>
      <c r="Y106" s="186"/>
      <c r="Z106" s="186"/>
      <c r="AA106" s="186"/>
      <c r="AB106" s="186"/>
    </row>
    <row r="107" spans="1:28" s="22" customFormat="1" x14ac:dyDescent="0.25">
      <c r="A107" s="32">
        <v>3</v>
      </c>
      <c r="B107" s="14" t="s">
        <v>5</v>
      </c>
      <c r="C107" s="25"/>
      <c r="D107" s="25"/>
      <c r="E107" s="14"/>
      <c r="F107" s="15"/>
      <c r="G107" s="24"/>
      <c r="I107" s="57"/>
      <c r="J107" s="57"/>
      <c r="K107" s="57"/>
      <c r="L107" s="57"/>
      <c r="M107" s="186"/>
      <c r="N107" s="186"/>
      <c r="O107" s="393"/>
      <c r="P107" s="394"/>
      <c r="Q107" s="394"/>
      <c r="R107" s="393"/>
      <c r="S107" s="395"/>
      <c r="T107" s="393"/>
      <c r="U107" s="186"/>
      <c r="V107" s="186"/>
      <c r="W107" s="186"/>
      <c r="X107" s="186"/>
      <c r="Y107" s="186"/>
      <c r="Z107" s="186"/>
      <c r="AA107" s="186"/>
      <c r="AB107" s="186"/>
    </row>
    <row r="108" spans="1:28" s="22" customFormat="1" x14ac:dyDescent="0.25">
      <c r="A108" s="32">
        <v>4</v>
      </c>
      <c r="B108" s="14" t="s">
        <v>6</v>
      </c>
      <c r="C108" s="42">
        <v>0.41666666666666669</v>
      </c>
      <c r="D108" s="42">
        <v>0.45833333333333331</v>
      </c>
      <c r="E108" s="14">
        <v>1</v>
      </c>
      <c r="F108" s="15"/>
      <c r="G108" s="24" t="s">
        <v>125</v>
      </c>
      <c r="I108" s="57"/>
      <c r="J108" s="57"/>
      <c r="K108" s="57"/>
      <c r="L108" s="57"/>
      <c r="M108" s="186"/>
      <c r="N108" s="186"/>
      <c r="O108" s="393"/>
      <c r="P108" s="399"/>
      <c r="Q108" s="399"/>
      <c r="R108" s="393"/>
      <c r="S108" s="395"/>
      <c r="T108" s="393"/>
      <c r="U108" s="186"/>
      <c r="V108" s="186"/>
      <c r="W108" s="186"/>
      <c r="X108" s="186"/>
      <c r="Y108" s="186"/>
      <c r="Z108" s="186"/>
      <c r="AA108" s="186"/>
      <c r="AB108" s="186"/>
    </row>
    <row r="109" spans="1:28" s="22" customFormat="1" x14ac:dyDescent="0.25">
      <c r="A109" s="32">
        <v>5</v>
      </c>
      <c r="B109" s="14" t="s">
        <v>7</v>
      </c>
      <c r="C109" s="42"/>
      <c r="D109" s="42"/>
      <c r="E109" s="14"/>
      <c r="F109" s="24"/>
      <c r="G109" s="14"/>
      <c r="I109" s="57"/>
      <c r="J109" s="57"/>
      <c r="K109" s="57"/>
      <c r="L109" s="57"/>
      <c r="M109" s="186"/>
      <c r="N109" s="186"/>
      <c r="O109" s="393"/>
      <c r="P109" s="399"/>
      <c r="Q109" s="399"/>
      <c r="R109" s="393"/>
      <c r="S109" s="395"/>
      <c r="T109" s="393"/>
      <c r="U109" s="186"/>
      <c r="V109" s="186"/>
      <c r="W109" s="186"/>
      <c r="X109" s="186"/>
      <c r="Y109" s="186"/>
      <c r="Z109" s="186"/>
      <c r="AA109" s="186"/>
      <c r="AB109" s="186"/>
    </row>
    <row r="110" spans="1:28" s="22" customFormat="1" x14ac:dyDescent="0.25">
      <c r="A110" s="32">
        <v>6</v>
      </c>
      <c r="B110" s="14" t="s">
        <v>8</v>
      </c>
      <c r="C110" s="25"/>
      <c r="D110" s="25"/>
      <c r="E110" s="14"/>
      <c r="F110" s="23"/>
      <c r="G110" s="21"/>
      <c r="I110" s="57"/>
      <c r="J110" s="57"/>
      <c r="K110" s="57"/>
      <c r="L110" s="57"/>
      <c r="M110" s="186"/>
      <c r="N110" s="186"/>
      <c r="O110" s="393"/>
      <c r="P110" s="394"/>
      <c r="Q110" s="394"/>
      <c r="R110" s="393"/>
      <c r="S110" s="395"/>
      <c r="T110" s="393"/>
      <c r="U110" s="186"/>
      <c r="V110" s="186"/>
      <c r="W110" s="186"/>
      <c r="X110" s="186"/>
      <c r="Y110" s="186"/>
      <c r="Z110" s="186"/>
      <c r="AA110" s="186"/>
      <c r="AB110" s="186"/>
    </row>
    <row r="111" spans="1:28" s="22" customFormat="1" x14ac:dyDescent="0.25">
      <c r="A111" s="15"/>
      <c r="B111" s="13" t="s">
        <v>26</v>
      </c>
      <c r="C111" s="32"/>
      <c r="D111" s="32"/>
      <c r="E111" s="32">
        <v>2</v>
      </c>
      <c r="G111" s="53"/>
      <c r="I111" s="57"/>
      <c r="J111" s="57"/>
      <c r="K111" s="57"/>
      <c r="L111" s="57"/>
      <c r="M111" s="186"/>
      <c r="N111" s="186"/>
      <c r="O111" s="392"/>
      <c r="P111" s="396"/>
      <c r="Q111" s="396"/>
      <c r="R111" s="39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</row>
    <row r="112" spans="1:28" s="22" customFormat="1" x14ac:dyDescent="0.25">
      <c r="A112" s="15"/>
      <c r="B112" s="13"/>
      <c r="C112" s="32"/>
      <c r="D112" s="32"/>
      <c r="E112" s="32"/>
      <c r="I112" s="57"/>
      <c r="J112" s="57"/>
      <c r="K112" s="57"/>
      <c r="L112" s="57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</row>
    <row r="113" spans="1:28" s="22" customFormat="1" x14ac:dyDescent="0.25">
      <c r="A113" s="15"/>
      <c r="B113" s="15"/>
      <c r="C113" s="15"/>
      <c r="D113" s="15"/>
      <c r="E113" s="15"/>
      <c r="F113" s="15"/>
      <c r="I113" s="57"/>
      <c r="J113" s="57"/>
      <c r="K113" s="57"/>
      <c r="L113" s="57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</row>
    <row r="114" spans="1:28" s="22" customFormat="1" ht="30" x14ac:dyDescent="0.25">
      <c r="A114" s="15"/>
      <c r="B114" s="13" t="s">
        <v>74</v>
      </c>
      <c r="C114" s="13" t="s">
        <v>11</v>
      </c>
      <c r="D114" s="13" t="s">
        <v>12</v>
      </c>
      <c r="E114" s="13" t="s">
        <v>13</v>
      </c>
      <c r="F114" s="13" t="s">
        <v>14</v>
      </c>
      <c r="G114" s="20" t="s">
        <v>0</v>
      </c>
      <c r="H114" s="15"/>
      <c r="I114" s="57"/>
      <c r="J114" s="57"/>
      <c r="K114" s="57"/>
      <c r="L114" s="57"/>
      <c r="M114" s="186"/>
      <c r="N114" s="186"/>
      <c r="O114" s="392"/>
      <c r="P114" s="392"/>
      <c r="Q114" s="392"/>
      <c r="R114" s="392"/>
      <c r="S114" s="392"/>
      <c r="T114" s="392"/>
      <c r="U114" s="186"/>
      <c r="V114" s="186"/>
      <c r="W114" s="186"/>
      <c r="X114" s="186"/>
      <c r="Y114" s="186"/>
      <c r="Z114" s="186"/>
      <c r="AA114" s="186"/>
      <c r="AB114" s="186"/>
    </row>
    <row r="115" spans="1:28" s="22" customFormat="1" x14ac:dyDescent="0.25">
      <c r="A115" s="53">
        <v>7</v>
      </c>
      <c r="B115" s="14" t="s">
        <v>2</v>
      </c>
      <c r="C115" s="25"/>
      <c r="D115" s="25"/>
      <c r="E115" s="14"/>
      <c r="F115" s="24"/>
      <c r="G115" s="14"/>
      <c r="H115" s="15"/>
      <c r="I115" s="57"/>
      <c r="J115" s="57"/>
      <c r="K115" s="57"/>
      <c r="L115" s="57"/>
      <c r="M115" s="186"/>
      <c r="N115" s="186"/>
      <c r="O115" s="393"/>
      <c r="P115" s="397"/>
      <c r="Q115" s="394"/>
      <c r="R115" s="393"/>
      <c r="S115" s="395"/>
      <c r="T115" s="393"/>
      <c r="U115" s="186"/>
      <c r="V115" s="186"/>
      <c r="W115" s="186"/>
      <c r="X115" s="186"/>
      <c r="Y115" s="186"/>
      <c r="Z115" s="186"/>
      <c r="AA115" s="186"/>
      <c r="AB115" s="186"/>
    </row>
    <row r="116" spans="1:28" s="22" customFormat="1" x14ac:dyDescent="0.25">
      <c r="A116" s="32">
        <v>8</v>
      </c>
      <c r="B116" s="14" t="s">
        <v>3</v>
      </c>
      <c r="C116" s="33"/>
      <c r="D116" s="25"/>
      <c r="E116" s="14"/>
      <c r="F116" s="24"/>
      <c r="G116" s="14"/>
      <c r="I116" s="57"/>
      <c r="J116" s="57"/>
      <c r="K116" s="57"/>
      <c r="L116" s="57"/>
      <c r="M116" s="186"/>
      <c r="N116" s="186"/>
      <c r="O116" s="393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</row>
    <row r="117" spans="1:28" s="22" customFormat="1" x14ac:dyDescent="0.25">
      <c r="A117" s="32">
        <v>9</v>
      </c>
      <c r="B117" s="14" t="s">
        <v>4</v>
      </c>
      <c r="C117" s="26">
        <v>0.5625</v>
      </c>
      <c r="D117" s="26">
        <v>0.60416666666666663</v>
      </c>
      <c r="E117" s="15">
        <v>1</v>
      </c>
      <c r="F117" s="15"/>
      <c r="G117" s="15" t="s">
        <v>127</v>
      </c>
      <c r="I117" s="57"/>
      <c r="J117" s="57"/>
      <c r="K117" s="57"/>
      <c r="L117" s="57"/>
      <c r="M117" s="186"/>
      <c r="N117" s="186"/>
      <c r="O117" s="393"/>
      <c r="P117" s="398"/>
      <c r="Q117" s="398"/>
      <c r="R117" s="186"/>
      <c r="S117" s="186"/>
      <c r="T117" s="393"/>
      <c r="U117" s="186"/>
      <c r="V117" s="186"/>
      <c r="W117" s="186"/>
      <c r="X117" s="186"/>
      <c r="Y117" s="186"/>
      <c r="Z117" s="186"/>
      <c r="AA117" s="186"/>
      <c r="AB117" s="186"/>
    </row>
    <row r="118" spans="1:28" s="22" customFormat="1" x14ac:dyDescent="0.25">
      <c r="A118" s="32">
        <v>10</v>
      </c>
      <c r="B118" s="14" t="s">
        <v>5</v>
      </c>
      <c r="C118" s="25"/>
      <c r="D118" s="25"/>
      <c r="E118" s="14"/>
      <c r="F118" s="15"/>
      <c r="G118" s="24"/>
      <c r="I118" s="57"/>
      <c r="J118" s="57"/>
      <c r="K118" s="57"/>
      <c r="L118" s="57"/>
      <c r="M118" s="186"/>
      <c r="N118" s="186"/>
      <c r="O118" s="393"/>
      <c r="P118" s="394"/>
      <c r="Q118" s="394"/>
      <c r="R118" s="393"/>
      <c r="S118" s="395"/>
      <c r="T118" s="393"/>
      <c r="U118" s="186"/>
      <c r="V118" s="186"/>
      <c r="W118" s="186"/>
      <c r="X118" s="186"/>
      <c r="Y118" s="186"/>
      <c r="Z118" s="186"/>
      <c r="AA118" s="186"/>
      <c r="AB118" s="186"/>
    </row>
    <row r="119" spans="1:28" s="22" customFormat="1" x14ac:dyDescent="0.25">
      <c r="A119" s="32">
        <v>11</v>
      </c>
      <c r="B119" s="14" t="s">
        <v>6</v>
      </c>
      <c r="C119" s="42">
        <v>0.41666666666666669</v>
      </c>
      <c r="D119" s="42">
        <v>0.45833333333333331</v>
      </c>
      <c r="E119" s="14">
        <v>1</v>
      </c>
      <c r="F119" s="15"/>
      <c r="G119" s="24" t="s">
        <v>125</v>
      </c>
      <c r="H119" s="15"/>
      <c r="I119" s="57"/>
      <c r="J119" s="57"/>
      <c r="K119" s="57"/>
      <c r="L119" s="57"/>
      <c r="M119" s="186"/>
      <c r="N119" s="186"/>
      <c r="O119" s="393"/>
      <c r="P119" s="399"/>
      <c r="Q119" s="399"/>
      <c r="R119" s="393"/>
      <c r="S119" s="395"/>
      <c r="T119" s="393"/>
      <c r="U119" s="186"/>
      <c r="V119" s="186"/>
      <c r="W119" s="186"/>
      <c r="X119" s="186"/>
      <c r="Y119" s="186"/>
      <c r="Z119" s="186"/>
      <c r="AA119" s="186"/>
      <c r="AB119" s="186"/>
    </row>
    <row r="120" spans="1:28" s="22" customFormat="1" x14ac:dyDescent="0.25">
      <c r="A120" s="32">
        <v>12</v>
      </c>
      <c r="B120" s="14" t="s">
        <v>7</v>
      </c>
      <c r="C120" s="42"/>
      <c r="D120" s="42"/>
      <c r="E120" s="14"/>
      <c r="F120" s="24"/>
      <c r="G120" s="14"/>
      <c r="H120" s="15"/>
      <c r="I120" s="57"/>
      <c r="J120" s="57"/>
      <c r="K120" s="57"/>
      <c r="L120" s="57"/>
      <c r="M120" s="186"/>
      <c r="N120" s="186"/>
      <c r="O120" s="393"/>
      <c r="P120" s="399"/>
      <c r="Q120" s="399"/>
      <c r="R120" s="393"/>
      <c r="S120" s="395"/>
      <c r="T120" s="393"/>
      <c r="U120" s="186"/>
      <c r="V120" s="186"/>
      <c r="W120" s="186"/>
      <c r="X120" s="186"/>
      <c r="Y120" s="186"/>
      <c r="Z120" s="186"/>
      <c r="AA120" s="186"/>
      <c r="AB120" s="186"/>
    </row>
    <row r="121" spans="1:28" s="22" customFormat="1" x14ac:dyDescent="0.25">
      <c r="A121" s="32">
        <v>13</v>
      </c>
      <c r="B121" s="14" t="s">
        <v>8</v>
      </c>
      <c r="C121" s="14"/>
      <c r="D121" s="14"/>
      <c r="E121" s="14"/>
      <c r="F121" s="24"/>
      <c r="G121" s="14"/>
      <c r="H121" s="15"/>
      <c r="I121" s="57"/>
      <c r="J121" s="57"/>
      <c r="K121" s="57"/>
      <c r="L121" s="57"/>
      <c r="M121" s="186"/>
      <c r="N121" s="186"/>
      <c r="O121" s="393"/>
      <c r="P121" s="394"/>
      <c r="Q121" s="394"/>
      <c r="R121" s="393"/>
      <c r="S121" s="395"/>
      <c r="T121" s="393"/>
      <c r="U121" s="186"/>
      <c r="V121" s="186"/>
      <c r="W121" s="186"/>
      <c r="X121" s="186"/>
      <c r="Y121" s="186"/>
      <c r="Z121" s="186"/>
      <c r="AA121" s="186"/>
      <c r="AB121" s="186"/>
    </row>
    <row r="122" spans="1:28" s="22" customFormat="1" x14ac:dyDescent="0.25">
      <c r="A122" s="15"/>
      <c r="B122" s="13" t="s">
        <v>26</v>
      </c>
      <c r="C122" s="32"/>
      <c r="D122" s="32"/>
      <c r="E122" s="32">
        <f>SUM(E115:E121)</f>
        <v>2</v>
      </c>
      <c r="F122" s="115" t="s">
        <v>393</v>
      </c>
      <c r="G122" s="145" t="s">
        <v>397</v>
      </c>
      <c r="H122" s="15"/>
      <c r="I122" s="57"/>
      <c r="J122" s="57"/>
      <c r="K122" s="57"/>
      <c r="L122" s="57"/>
      <c r="M122" s="186"/>
      <c r="N122" s="186"/>
      <c r="O122" s="392"/>
      <c r="P122" s="396"/>
      <c r="Q122" s="396"/>
      <c r="R122" s="39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 spans="1:28" s="22" customFormat="1" x14ac:dyDescent="0.25">
      <c r="A123" s="144" t="s">
        <v>415</v>
      </c>
      <c r="B123" s="35" t="s">
        <v>227</v>
      </c>
      <c r="C123" s="60"/>
      <c r="D123" s="61"/>
      <c r="E123" s="35">
        <f>SUM(E104:E110,E115:E121)</f>
        <v>4</v>
      </c>
      <c r="F123" s="115">
        <f>SUM(1*[3]Marg_hist!G21)</f>
        <v>10</v>
      </c>
      <c r="G123" s="330">
        <f>SUM(E123 + G101)-F123</f>
        <v>-11</v>
      </c>
      <c r="H123" s="221" t="s">
        <v>416</v>
      </c>
      <c r="I123" s="57"/>
      <c r="J123" s="57"/>
      <c r="K123" s="57"/>
      <c r="L123" s="57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</row>
    <row r="124" spans="1:28" s="22" customFormat="1" x14ac:dyDescent="0.25">
      <c r="A124" s="278">
        <v>43236</v>
      </c>
      <c r="B124" s="20"/>
      <c r="C124" s="146"/>
      <c r="D124" s="147"/>
      <c r="E124" s="20"/>
      <c r="F124" s="20"/>
      <c r="G124" s="53"/>
      <c r="H124" s="158"/>
      <c r="I124" s="57"/>
      <c r="J124" s="57"/>
      <c r="K124" s="57"/>
      <c r="L124" s="57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</row>
    <row r="125" spans="1:28" s="22" customFormat="1" ht="15" customHeight="1" x14ac:dyDescent="0.5">
      <c r="A125" s="530" t="s">
        <v>311</v>
      </c>
      <c r="B125" s="530"/>
      <c r="C125" s="530"/>
      <c r="D125" s="530"/>
      <c r="E125" s="530"/>
      <c r="F125" s="530"/>
      <c r="G125" s="530"/>
      <c r="H125" s="530"/>
      <c r="I125" s="152"/>
      <c r="J125" s="152"/>
      <c r="K125" s="152"/>
      <c r="L125" s="152"/>
      <c r="M125" s="391"/>
      <c r="N125" s="391"/>
      <c r="O125" s="391"/>
      <c r="P125" s="391"/>
      <c r="Q125" s="391"/>
      <c r="R125" s="391"/>
      <c r="S125" s="391"/>
      <c r="T125" s="391"/>
      <c r="U125" s="186"/>
      <c r="V125" s="186"/>
      <c r="W125" s="186"/>
      <c r="X125" s="186"/>
      <c r="Y125" s="186"/>
      <c r="Z125" s="186"/>
      <c r="AA125" s="186"/>
      <c r="AB125" s="186"/>
    </row>
    <row r="126" spans="1:28" s="22" customFormat="1" ht="15" customHeight="1" x14ac:dyDescent="0.5">
      <c r="A126" s="530"/>
      <c r="B126" s="530"/>
      <c r="C126" s="530"/>
      <c r="D126" s="530"/>
      <c r="E126" s="530"/>
      <c r="F126" s="530"/>
      <c r="G126" s="530"/>
      <c r="H126" s="530"/>
      <c r="I126" s="152"/>
      <c r="J126" s="152"/>
      <c r="K126" s="152"/>
      <c r="L126" s="152"/>
      <c r="M126" s="391"/>
      <c r="N126" s="391"/>
      <c r="O126" s="391"/>
      <c r="P126" s="391"/>
      <c r="Q126" s="391"/>
      <c r="R126" s="391"/>
      <c r="S126" s="391"/>
      <c r="T126" s="391"/>
      <c r="U126" s="186"/>
      <c r="V126" s="186"/>
      <c r="W126" s="186"/>
      <c r="X126" s="186"/>
      <c r="Y126" s="186"/>
      <c r="Z126" s="186"/>
      <c r="AA126" s="186"/>
      <c r="AB126" s="186"/>
    </row>
    <row r="127" spans="1:28" s="22" customFormat="1" ht="48.75" x14ac:dyDescent="0.5">
      <c r="A127" s="137" t="s">
        <v>252</v>
      </c>
      <c r="B127" s="13" t="s">
        <v>128</v>
      </c>
      <c r="C127" s="13" t="s">
        <v>11</v>
      </c>
      <c r="D127" s="13" t="s">
        <v>12</v>
      </c>
      <c r="E127" s="13" t="s">
        <v>13</v>
      </c>
      <c r="F127" s="13" t="s">
        <v>14</v>
      </c>
      <c r="G127" s="20" t="s">
        <v>0</v>
      </c>
      <c r="I127" s="187"/>
      <c r="J127" s="187"/>
      <c r="K127" s="57"/>
      <c r="L127" s="57"/>
      <c r="M127" s="186"/>
      <c r="N127" s="186"/>
      <c r="O127" s="392"/>
      <c r="P127" s="392"/>
      <c r="Q127" s="392"/>
      <c r="R127" s="392"/>
      <c r="S127" s="392"/>
      <c r="T127" s="392"/>
      <c r="U127" s="186"/>
      <c r="V127" s="186"/>
      <c r="W127" s="186"/>
      <c r="X127" s="186"/>
      <c r="Y127" s="186"/>
      <c r="Z127" s="186"/>
      <c r="AA127" s="186"/>
      <c r="AB127" s="186"/>
    </row>
    <row r="128" spans="1:28" s="22" customFormat="1" x14ac:dyDescent="0.25">
      <c r="A128" s="32">
        <v>14</v>
      </c>
      <c r="B128" s="21" t="s">
        <v>2</v>
      </c>
      <c r="C128" s="49"/>
      <c r="D128" s="49"/>
      <c r="E128" s="138"/>
      <c r="F128" s="23"/>
      <c r="G128" s="21"/>
      <c r="H128" s="15"/>
      <c r="I128" s="57"/>
      <c r="J128" s="57"/>
      <c r="K128" s="57"/>
      <c r="L128" s="57"/>
      <c r="M128" s="186"/>
      <c r="N128" s="186"/>
      <c r="O128" s="393"/>
      <c r="P128" s="397"/>
      <c r="Q128" s="394"/>
      <c r="R128" s="393"/>
      <c r="S128" s="395"/>
      <c r="T128" s="393"/>
      <c r="U128" s="186"/>
      <c r="V128" s="186"/>
      <c r="W128" s="186"/>
      <c r="X128" s="186"/>
      <c r="Y128" s="186"/>
      <c r="Z128" s="186"/>
      <c r="AA128" s="186"/>
      <c r="AB128" s="186"/>
    </row>
    <row r="129" spans="1:28" s="22" customFormat="1" x14ac:dyDescent="0.25">
      <c r="A129" s="32">
        <v>15</v>
      </c>
      <c r="B129" s="21" t="s">
        <v>3</v>
      </c>
      <c r="C129" s="48"/>
      <c r="D129" s="49"/>
      <c r="E129" s="138"/>
      <c r="F129" s="23"/>
      <c r="G129" s="21"/>
      <c r="I129" s="57"/>
      <c r="J129" s="57"/>
      <c r="K129" s="57"/>
      <c r="L129" s="57"/>
      <c r="M129" s="186"/>
      <c r="N129" s="186"/>
      <c r="O129" s="393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</row>
    <row r="130" spans="1:28" s="22" customFormat="1" x14ac:dyDescent="0.25">
      <c r="A130" s="32">
        <v>16</v>
      </c>
      <c r="B130" s="21" t="s">
        <v>4</v>
      </c>
      <c r="C130" s="51"/>
      <c r="D130" s="51"/>
      <c r="E130" s="138"/>
      <c r="F130" s="23"/>
      <c r="I130" s="57"/>
      <c r="J130" s="57"/>
      <c r="K130" s="57"/>
      <c r="L130" s="57"/>
      <c r="M130" s="186"/>
      <c r="N130" s="186"/>
      <c r="O130" s="393"/>
      <c r="P130" s="398"/>
      <c r="Q130" s="398"/>
      <c r="R130" s="186"/>
      <c r="S130" s="186"/>
      <c r="T130" s="393"/>
      <c r="U130" s="186"/>
      <c r="V130" s="186"/>
      <c r="W130" s="186"/>
      <c r="X130" s="186"/>
      <c r="Y130" s="186"/>
      <c r="Z130" s="186"/>
      <c r="AA130" s="186"/>
      <c r="AB130" s="186"/>
    </row>
    <row r="131" spans="1:28" s="22" customFormat="1" x14ac:dyDescent="0.25">
      <c r="A131" s="32">
        <v>17</v>
      </c>
      <c r="B131" s="14" t="s">
        <v>5</v>
      </c>
      <c r="C131" s="25">
        <v>0.4375</v>
      </c>
      <c r="D131" s="25">
        <v>0.52083333333333337</v>
      </c>
      <c r="E131" s="14">
        <v>2</v>
      </c>
      <c r="F131" s="15"/>
      <c r="G131" s="24" t="s">
        <v>129</v>
      </c>
      <c r="I131" s="57"/>
      <c r="J131" s="57"/>
      <c r="K131" s="57"/>
      <c r="L131" s="57"/>
      <c r="M131" s="186"/>
      <c r="N131" s="186"/>
      <c r="O131" s="393"/>
      <c r="P131" s="394"/>
      <c r="Q131" s="394"/>
      <c r="R131" s="393"/>
      <c r="S131" s="395"/>
      <c r="T131" s="393"/>
      <c r="U131" s="186"/>
      <c r="V131" s="186"/>
      <c r="W131" s="186"/>
      <c r="X131" s="186"/>
      <c r="Y131" s="186"/>
      <c r="Z131" s="186"/>
      <c r="AA131" s="186"/>
      <c r="AB131" s="186"/>
    </row>
    <row r="132" spans="1:28" s="22" customFormat="1" x14ac:dyDescent="0.25">
      <c r="A132" s="32"/>
      <c r="B132" s="15"/>
      <c r="C132" s="26">
        <v>0.52083333333333337</v>
      </c>
      <c r="D132" s="26">
        <v>6.25E-2</v>
      </c>
      <c r="E132" s="15">
        <v>1</v>
      </c>
      <c r="F132" s="15"/>
      <c r="G132" s="15" t="s">
        <v>127</v>
      </c>
      <c r="I132" s="57"/>
      <c r="J132" s="57"/>
      <c r="K132" s="57"/>
      <c r="L132" s="57"/>
      <c r="M132" s="186"/>
      <c r="N132" s="186"/>
      <c r="O132" s="186"/>
      <c r="P132" s="398"/>
      <c r="Q132" s="398"/>
      <c r="R132" s="186"/>
      <c r="S132" s="186"/>
      <c r="T132" s="393"/>
      <c r="U132" s="186"/>
      <c r="V132" s="186"/>
      <c r="W132" s="186"/>
      <c r="X132" s="186"/>
      <c r="Y132" s="186"/>
      <c r="Z132" s="186"/>
      <c r="AA132" s="186"/>
      <c r="AB132" s="186"/>
    </row>
    <row r="133" spans="1:28" s="22" customFormat="1" x14ac:dyDescent="0.25">
      <c r="A133" s="32">
        <v>18</v>
      </c>
      <c r="B133" s="14" t="s">
        <v>6</v>
      </c>
      <c r="C133" s="42">
        <v>0.41666666666666669</v>
      </c>
      <c r="D133" s="42">
        <v>0.45833333333333331</v>
      </c>
      <c r="E133" s="14">
        <v>1</v>
      </c>
      <c r="F133" s="15"/>
      <c r="G133" s="24" t="s">
        <v>125</v>
      </c>
      <c r="I133" s="57"/>
      <c r="J133" s="57"/>
      <c r="K133" s="57"/>
      <c r="L133" s="57"/>
      <c r="M133" s="186"/>
      <c r="N133" s="186"/>
      <c r="O133" s="393"/>
      <c r="P133" s="399"/>
      <c r="Q133" s="399"/>
      <c r="R133" s="393"/>
      <c r="S133" s="395"/>
      <c r="T133" s="393"/>
      <c r="U133" s="186"/>
      <c r="V133" s="186"/>
      <c r="W133" s="186"/>
      <c r="X133" s="186"/>
      <c r="Y133" s="186"/>
      <c r="Z133" s="186"/>
      <c r="AA133" s="186"/>
      <c r="AB133" s="186"/>
    </row>
    <row r="134" spans="1:28" s="22" customFormat="1" x14ac:dyDescent="0.25">
      <c r="A134" s="32">
        <v>19</v>
      </c>
      <c r="B134" s="21" t="s">
        <v>7</v>
      </c>
      <c r="C134" s="51"/>
      <c r="D134" s="51"/>
      <c r="E134" s="138"/>
      <c r="F134" s="23"/>
      <c r="G134" s="21"/>
      <c r="I134" s="57"/>
      <c r="J134" s="57"/>
      <c r="K134" s="57"/>
      <c r="L134" s="57"/>
      <c r="M134" s="186"/>
      <c r="N134" s="186"/>
      <c r="O134" s="393"/>
      <c r="P134" s="399"/>
      <c r="Q134" s="399"/>
      <c r="R134" s="393"/>
      <c r="S134" s="395"/>
      <c r="T134" s="393"/>
      <c r="U134" s="186"/>
      <c r="V134" s="186"/>
      <c r="W134" s="186"/>
      <c r="X134" s="186"/>
      <c r="Y134" s="186"/>
      <c r="Z134" s="186"/>
      <c r="AA134" s="186"/>
      <c r="AB134" s="186"/>
    </row>
    <row r="135" spans="1:28" s="22" customFormat="1" x14ac:dyDescent="0.25">
      <c r="A135" s="32">
        <v>20</v>
      </c>
      <c r="B135" s="21" t="s">
        <v>8</v>
      </c>
      <c r="C135" s="49"/>
      <c r="D135" s="49"/>
      <c r="E135" s="138"/>
      <c r="F135" s="23"/>
      <c r="G135" s="21"/>
      <c r="I135" s="57"/>
      <c r="J135" s="57"/>
      <c r="K135" s="57"/>
      <c r="L135" s="57"/>
      <c r="M135" s="186"/>
      <c r="N135" s="186"/>
      <c r="O135" s="393"/>
      <c r="P135" s="394"/>
      <c r="Q135" s="394"/>
      <c r="R135" s="393"/>
      <c r="S135" s="395"/>
      <c r="T135" s="393"/>
      <c r="U135" s="186"/>
      <c r="V135" s="186"/>
      <c r="W135" s="186"/>
      <c r="X135" s="186"/>
      <c r="Y135" s="186"/>
      <c r="Z135" s="186"/>
      <c r="AA135" s="186"/>
      <c r="AB135" s="186"/>
    </row>
    <row r="136" spans="1:28" s="22" customFormat="1" x14ac:dyDescent="0.25">
      <c r="A136" s="15"/>
      <c r="B136" s="13" t="s">
        <v>26</v>
      </c>
      <c r="C136" s="32"/>
      <c r="D136" s="32"/>
      <c r="E136" s="32">
        <f>SUM(E128:E135)</f>
        <v>4</v>
      </c>
      <c r="F136" s="15"/>
      <c r="G136" s="53"/>
      <c r="I136" s="57"/>
      <c r="J136" s="57"/>
      <c r="K136" s="57"/>
      <c r="L136" s="57"/>
      <c r="M136" s="186"/>
      <c r="N136" s="186"/>
      <c r="O136" s="392"/>
      <c r="P136" s="396"/>
      <c r="Q136" s="396"/>
      <c r="R136" s="39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</row>
    <row r="137" spans="1:28" s="22" customFormat="1" x14ac:dyDescent="0.25">
      <c r="A137" s="15"/>
      <c r="B137" s="15"/>
      <c r="C137" s="15"/>
      <c r="D137" s="15"/>
      <c r="E137" s="15"/>
      <c r="F137" s="15"/>
      <c r="I137" s="57"/>
      <c r="J137" s="57"/>
      <c r="K137" s="57"/>
      <c r="L137" s="57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</row>
    <row r="138" spans="1:28" s="22" customFormat="1" ht="30" x14ac:dyDescent="0.25">
      <c r="A138" s="15"/>
      <c r="B138" s="13" t="s">
        <v>130</v>
      </c>
      <c r="C138" s="13" t="s">
        <v>11</v>
      </c>
      <c r="D138" s="13" t="s">
        <v>12</v>
      </c>
      <c r="E138" s="13" t="s">
        <v>13</v>
      </c>
      <c r="F138" s="13" t="s">
        <v>14</v>
      </c>
      <c r="G138" s="20" t="s">
        <v>0</v>
      </c>
      <c r="I138" s="57"/>
      <c r="J138" s="57"/>
      <c r="K138" s="57"/>
      <c r="L138" s="57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</row>
    <row r="139" spans="1:28" s="22" customFormat="1" x14ac:dyDescent="0.25">
      <c r="A139" s="32">
        <v>21</v>
      </c>
      <c r="B139" s="21" t="s">
        <v>2</v>
      </c>
      <c r="C139" s="49"/>
      <c r="D139" s="49"/>
      <c r="E139" s="138"/>
      <c r="F139" s="23"/>
      <c r="G139" s="21"/>
      <c r="I139" s="57"/>
      <c r="J139" s="57"/>
      <c r="K139" s="57"/>
      <c r="L139" s="57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</row>
    <row r="140" spans="1:28" s="22" customFormat="1" x14ac:dyDescent="0.25">
      <c r="A140" s="32">
        <v>22</v>
      </c>
      <c r="B140" s="14" t="s">
        <v>3</v>
      </c>
      <c r="C140" s="26">
        <v>0.47916666666666669</v>
      </c>
      <c r="D140" s="26">
        <v>0.52083333333333337</v>
      </c>
      <c r="E140" s="15">
        <v>1</v>
      </c>
      <c r="F140" s="15"/>
      <c r="G140" s="15" t="s">
        <v>131</v>
      </c>
      <c r="I140" s="57"/>
      <c r="J140" s="57"/>
      <c r="K140" s="57"/>
      <c r="L140" s="57"/>
      <c r="M140" s="186"/>
      <c r="N140" s="186"/>
      <c r="O140" s="392"/>
      <c r="P140" s="392"/>
      <c r="Q140" s="392"/>
      <c r="R140" s="392"/>
      <c r="S140" s="392"/>
      <c r="T140" s="392"/>
      <c r="U140" s="186"/>
      <c r="V140" s="186"/>
      <c r="W140" s="186"/>
      <c r="X140" s="186"/>
      <c r="Y140" s="186"/>
      <c r="Z140" s="186"/>
      <c r="AA140" s="186"/>
      <c r="AB140" s="186"/>
    </row>
    <row r="141" spans="1:28" s="22" customFormat="1" x14ac:dyDescent="0.25">
      <c r="A141" s="32">
        <v>23</v>
      </c>
      <c r="B141" s="14" t="s">
        <v>4</v>
      </c>
      <c r="C141" s="26"/>
      <c r="D141" s="26"/>
      <c r="E141" s="15"/>
      <c r="F141" s="15"/>
      <c r="G141" s="15"/>
      <c r="I141" s="57"/>
      <c r="J141" s="57"/>
      <c r="K141" s="57"/>
      <c r="L141" s="57"/>
      <c r="M141" s="186"/>
      <c r="N141" s="186"/>
      <c r="O141" s="393"/>
      <c r="P141" s="397"/>
      <c r="Q141" s="394"/>
      <c r="R141" s="393"/>
      <c r="S141" s="395"/>
      <c r="T141" s="393"/>
      <c r="U141" s="186"/>
      <c r="V141" s="186"/>
      <c r="W141" s="186"/>
      <c r="X141" s="186"/>
      <c r="Y141" s="186"/>
      <c r="Z141" s="186"/>
      <c r="AA141" s="186"/>
      <c r="AB141" s="186"/>
    </row>
    <row r="142" spans="1:28" s="22" customFormat="1" x14ac:dyDescent="0.25">
      <c r="A142" s="32">
        <v>24</v>
      </c>
      <c r="B142" s="14" t="s">
        <v>5</v>
      </c>
      <c r="C142" s="25">
        <v>0.4375</v>
      </c>
      <c r="D142" s="25">
        <v>0.97916666666666663</v>
      </c>
      <c r="E142" s="14">
        <v>1</v>
      </c>
      <c r="F142" s="15"/>
      <c r="G142" s="24" t="s">
        <v>129</v>
      </c>
      <c r="I142" s="57"/>
      <c r="J142" s="57"/>
      <c r="K142" s="57"/>
      <c r="L142" s="57"/>
      <c r="M142" s="186"/>
      <c r="N142" s="186"/>
      <c r="O142" s="393"/>
      <c r="P142" s="398"/>
      <c r="Q142" s="398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</row>
    <row r="143" spans="1:28" s="22" customFormat="1" x14ac:dyDescent="0.25">
      <c r="A143" s="32">
        <v>25</v>
      </c>
      <c r="B143" s="14" t="s">
        <v>6</v>
      </c>
      <c r="C143" s="42">
        <v>0.41666666666666669</v>
      </c>
      <c r="D143" s="42">
        <v>0.45833333333333331</v>
      </c>
      <c r="E143" s="14">
        <v>1</v>
      </c>
      <c r="F143" s="15"/>
      <c r="G143" s="24" t="s">
        <v>125</v>
      </c>
      <c r="I143" s="57"/>
      <c r="J143" s="57"/>
      <c r="K143" s="57"/>
      <c r="L143" s="57"/>
      <c r="M143" s="186"/>
      <c r="N143" s="186"/>
      <c r="O143" s="393"/>
      <c r="P143" s="398"/>
      <c r="Q143" s="398"/>
      <c r="R143" s="186"/>
      <c r="S143" s="186"/>
      <c r="T143" s="393"/>
      <c r="U143" s="186"/>
      <c r="V143" s="186"/>
      <c r="W143" s="186"/>
      <c r="X143" s="186"/>
      <c r="Y143" s="186"/>
      <c r="Z143" s="186"/>
      <c r="AA143" s="186"/>
      <c r="AB143" s="186"/>
    </row>
    <row r="144" spans="1:28" s="22" customFormat="1" x14ac:dyDescent="0.25">
      <c r="A144" s="32">
        <v>26</v>
      </c>
      <c r="B144" s="14" t="s">
        <v>7</v>
      </c>
      <c r="C144" s="42">
        <v>0.79166666666666663</v>
      </c>
      <c r="D144" s="42">
        <v>0.875</v>
      </c>
      <c r="E144" s="14">
        <v>2</v>
      </c>
      <c r="F144" s="15"/>
      <c r="G144" s="24" t="s">
        <v>129</v>
      </c>
      <c r="I144" s="57"/>
      <c r="J144" s="57"/>
      <c r="K144" s="57"/>
      <c r="L144" s="57"/>
      <c r="M144" s="186"/>
      <c r="N144" s="186"/>
      <c r="O144" s="393"/>
      <c r="P144" s="394"/>
      <c r="Q144" s="394"/>
      <c r="R144" s="393"/>
      <c r="S144" s="395"/>
      <c r="T144" s="393"/>
      <c r="U144" s="186"/>
      <c r="V144" s="186"/>
      <c r="W144" s="186"/>
      <c r="X144" s="186"/>
      <c r="Y144" s="186"/>
      <c r="Z144" s="186"/>
      <c r="AA144" s="186"/>
      <c r="AB144" s="186"/>
    </row>
    <row r="145" spans="1:28" s="22" customFormat="1" x14ac:dyDescent="0.25">
      <c r="A145" s="32">
        <v>27</v>
      </c>
      <c r="B145" s="21" t="s">
        <v>8</v>
      </c>
      <c r="C145" s="49"/>
      <c r="D145" s="49"/>
      <c r="E145" s="138"/>
      <c r="F145" s="23"/>
      <c r="G145" s="21"/>
      <c r="I145" s="57"/>
      <c r="J145" s="57"/>
      <c r="K145" s="57"/>
      <c r="L145" s="57"/>
      <c r="M145" s="186"/>
      <c r="N145" s="186"/>
      <c r="O145" s="393"/>
      <c r="P145" s="399"/>
      <c r="Q145" s="399"/>
      <c r="R145" s="393"/>
      <c r="S145" s="395"/>
      <c r="T145" s="393"/>
      <c r="U145" s="186"/>
      <c r="V145" s="186"/>
      <c r="W145" s="186"/>
      <c r="X145" s="186"/>
      <c r="Y145" s="186"/>
      <c r="Z145" s="186"/>
      <c r="AA145" s="186"/>
      <c r="AB145" s="186"/>
    </row>
    <row r="146" spans="1:28" s="22" customFormat="1" x14ac:dyDescent="0.25">
      <c r="A146" s="32"/>
      <c r="B146" s="15"/>
      <c r="C146" s="15"/>
      <c r="D146" s="15"/>
      <c r="E146" s="15"/>
      <c r="F146" s="15"/>
      <c r="G146" s="15"/>
      <c r="I146" s="57"/>
      <c r="J146" s="57"/>
      <c r="K146" s="57"/>
      <c r="L146" s="57"/>
      <c r="M146" s="186"/>
      <c r="N146" s="186"/>
      <c r="O146" s="393"/>
      <c r="P146" s="399"/>
      <c r="Q146" s="399"/>
      <c r="R146" s="393"/>
      <c r="S146" s="395"/>
      <c r="T146" s="393"/>
      <c r="U146" s="186"/>
      <c r="V146" s="186"/>
      <c r="W146" s="186"/>
      <c r="X146" s="186"/>
      <c r="Y146" s="186"/>
      <c r="Z146" s="186"/>
      <c r="AA146" s="186"/>
      <c r="AB146" s="186"/>
    </row>
    <row r="147" spans="1:28" s="22" customFormat="1" x14ac:dyDescent="0.25">
      <c r="A147" s="15"/>
      <c r="B147" s="13" t="s">
        <v>26</v>
      </c>
      <c r="C147" s="32"/>
      <c r="D147" s="32"/>
      <c r="E147" s="32">
        <f>SUM(E140:E146)</f>
        <v>5</v>
      </c>
      <c r="F147" s="115" t="s">
        <v>393</v>
      </c>
      <c r="G147" s="145" t="s">
        <v>397</v>
      </c>
      <c r="H147" s="15"/>
      <c r="I147" s="57"/>
      <c r="J147" s="57"/>
      <c r="K147" s="57"/>
      <c r="L147" s="57"/>
      <c r="M147" s="186"/>
      <c r="N147" s="186"/>
      <c r="O147" s="393"/>
      <c r="P147" s="394"/>
      <c r="Q147" s="394"/>
      <c r="R147" s="393"/>
      <c r="S147" s="395"/>
      <c r="T147" s="393"/>
      <c r="U147" s="186"/>
      <c r="V147" s="186"/>
      <c r="W147" s="186"/>
      <c r="X147" s="186"/>
      <c r="Y147" s="186"/>
      <c r="Z147" s="186"/>
      <c r="AA147" s="186"/>
      <c r="AB147" s="186"/>
    </row>
    <row r="148" spans="1:28" s="22" customFormat="1" x14ac:dyDescent="0.25">
      <c r="A148" s="144" t="s">
        <v>417</v>
      </c>
      <c r="B148" s="35" t="s">
        <v>227</v>
      </c>
      <c r="C148" s="60"/>
      <c r="D148" s="61"/>
      <c r="E148" s="35">
        <f>SUM(E128:E135,E139:E146)</f>
        <v>9</v>
      </c>
      <c r="F148" s="115">
        <f>SUM(1*[3]Marg_hist!G27)</f>
        <v>14</v>
      </c>
      <c r="G148" s="330">
        <f>SUM(E148 + G123)-F148</f>
        <v>-16</v>
      </c>
      <c r="H148" s="221"/>
      <c r="I148" s="57"/>
      <c r="J148" s="57"/>
      <c r="K148" s="57"/>
      <c r="L148" s="57"/>
      <c r="M148" s="186"/>
      <c r="N148" s="186"/>
      <c r="O148" s="392"/>
      <c r="P148" s="396"/>
      <c r="Q148" s="396"/>
      <c r="R148" s="39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</row>
    <row r="149" spans="1:28" s="22" customFormat="1" x14ac:dyDescent="0.25">
      <c r="A149" s="278">
        <v>43250</v>
      </c>
      <c r="B149" s="15"/>
      <c r="C149" s="15"/>
      <c r="D149" s="15"/>
      <c r="E149" s="15"/>
      <c r="F149" s="15"/>
      <c r="G149" s="15"/>
      <c r="H149" s="15"/>
      <c r="I149" s="57"/>
      <c r="J149" s="57"/>
      <c r="K149" s="57"/>
      <c r="L149" s="57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</row>
    <row r="150" spans="1:28" s="22" customFormat="1" ht="30" x14ac:dyDescent="0.25">
      <c r="A150" s="299"/>
      <c r="B150" s="13" t="s">
        <v>132</v>
      </c>
      <c r="C150" s="13" t="s">
        <v>11</v>
      </c>
      <c r="D150" s="13" t="s">
        <v>12</v>
      </c>
      <c r="E150" s="13" t="s">
        <v>13</v>
      </c>
      <c r="F150" s="13" t="s">
        <v>14</v>
      </c>
      <c r="G150" s="20" t="s">
        <v>0</v>
      </c>
      <c r="I150" s="57"/>
      <c r="J150" s="57"/>
      <c r="K150" s="57"/>
      <c r="L150" s="57"/>
      <c r="M150" s="186"/>
      <c r="N150" s="186"/>
      <c r="O150" s="392"/>
      <c r="P150" s="392"/>
      <c r="Q150" s="392"/>
      <c r="R150" s="392"/>
      <c r="S150" s="392"/>
      <c r="T150" s="392"/>
      <c r="U150" s="186"/>
      <c r="V150" s="186"/>
      <c r="W150" s="186"/>
      <c r="X150" s="186"/>
      <c r="Y150" s="186"/>
      <c r="Z150" s="186"/>
      <c r="AA150" s="186"/>
      <c r="AB150" s="186"/>
    </row>
    <row r="151" spans="1:28" s="22" customFormat="1" x14ac:dyDescent="0.25">
      <c r="A151" s="32">
        <v>28</v>
      </c>
      <c r="B151" s="21" t="s">
        <v>2</v>
      </c>
      <c r="C151" s="49"/>
      <c r="D151" s="49"/>
      <c r="E151" s="138"/>
      <c r="F151" s="23"/>
      <c r="G151" s="21"/>
      <c r="I151" s="57"/>
      <c r="J151" s="57"/>
      <c r="K151" s="57"/>
      <c r="L151" s="57"/>
      <c r="M151" s="186"/>
      <c r="N151" s="186"/>
      <c r="O151" s="393"/>
      <c r="P151" s="397"/>
      <c r="Q151" s="394"/>
      <c r="R151" s="393"/>
      <c r="S151" s="395"/>
      <c r="T151" s="393"/>
      <c r="U151" s="186"/>
      <c r="V151" s="186"/>
      <c r="W151" s="186"/>
      <c r="X151" s="186"/>
      <c r="Y151" s="186"/>
      <c r="Z151" s="186"/>
      <c r="AA151" s="186"/>
      <c r="AB151" s="186"/>
    </row>
    <row r="152" spans="1:28" s="22" customFormat="1" x14ac:dyDescent="0.25">
      <c r="A152" s="32">
        <v>29</v>
      </c>
      <c r="B152" s="21" t="s">
        <v>3</v>
      </c>
      <c r="C152" s="26">
        <v>0.47916666666666669</v>
      </c>
      <c r="D152" s="26">
        <v>0.52083333333333337</v>
      </c>
      <c r="E152" s="15">
        <v>1</v>
      </c>
      <c r="F152" s="15"/>
      <c r="G152" s="15" t="s">
        <v>131</v>
      </c>
      <c r="H152" s="15"/>
      <c r="I152" s="57"/>
      <c r="J152" s="57"/>
      <c r="K152" s="57"/>
      <c r="L152" s="57"/>
      <c r="M152" s="186"/>
      <c r="N152" s="186"/>
      <c r="O152" s="393"/>
      <c r="P152" s="398"/>
      <c r="Q152" s="398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 spans="1:28" s="22" customFormat="1" x14ac:dyDescent="0.25">
      <c r="A153" s="32">
        <v>30</v>
      </c>
      <c r="B153" s="21" t="s">
        <v>4</v>
      </c>
      <c r="C153" s="26"/>
      <c r="D153" s="26"/>
      <c r="E153" s="15"/>
      <c r="F153" s="15"/>
      <c r="G153" s="15"/>
      <c r="I153" s="57"/>
      <c r="J153" s="57"/>
      <c r="K153" s="57"/>
      <c r="L153" s="57"/>
      <c r="M153" s="186"/>
      <c r="N153" s="186"/>
      <c r="O153" s="393"/>
      <c r="P153" s="398"/>
      <c r="Q153" s="398"/>
      <c r="R153" s="186"/>
      <c r="S153" s="186"/>
      <c r="T153" s="393"/>
      <c r="U153" s="186"/>
      <c r="V153" s="186"/>
      <c r="W153" s="186"/>
      <c r="X153" s="186"/>
      <c r="Y153" s="186"/>
      <c r="Z153" s="186"/>
      <c r="AA153" s="186"/>
      <c r="AB153" s="186"/>
    </row>
    <row r="154" spans="1:28" s="22" customFormat="1" x14ac:dyDescent="0.25">
      <c r="A154" s="32">
        <v>31</v>
      </c>
      <c r="B154" s="21" t="s">
        <v>5</v>
      </c>
      <c r="C154" s="25"/>
      <c r="D154" s="25"/>
      <c r="E154" s="14"/>
      <c r="F154" s="15"/>
      <c r="G154" s="24"/>
      <c r="I154" s="57"/>
      <c r="J154" s="57"/>
      <c r="K154" s="57"/>
      <c r="L154" s="57"/>
      <c r="M154" s="186"/>
      <c r="N154" s="186"/>
      <c r="O154" s="393"/>
      <c r="P154" s="394"/>
      <c r="Q154" s="394"/>
      <c r="R154" s="393"/>
      <c r="S154" s="395"/>
      <c r="T154" s="393"/>
      <c r="U154" s="186"/>
      <c r="V154" s="186"/>
      <c r="W154" s="186"/>
      <c r="X154" s="186"/>
      <c r="Y154" s="186"/>
      <c r="Z154" s="186"/>
      <c r="AA154" s="186"/>
      <c r="AB154" s="186"/>
    </row>
    <row r="155" spans="1:28" s="22" customFormat="1" x14ac:dyDescent="0.25">
      <c r="A155" s="32">
        <v>1</v>
      </c>
      <c r="B155" s="21" t="s">
        <v>6</v>
      </c>
      <c r="C155" s="42">
        <v>0.41666666666666669</v>
      </c>
      <c r="D155" s="42">
        <v>0.45833333333333331</v>
      </c>
      <c r="E155" s="14">
        <v>1</v>
      </c>
      <c r="F155" s="15"/>
      <c r="G155" s="24" t="s">
        <v>125</v>
      </c>
      <c r="I155" s="57"/>
      <c r="J155" s="57"/>
      <c r="K155" s="57"/>
      <c r="L155" s="57"/>
      <c r="M155" s="186"/>
      <c r="N155" s="186"/>
      <c r="O155" s="393"/>
      <c r="P155" s="399"/>
      <c r="Q155" s="399"/>
      <c r="R155" s="393"/>
      <c r="S155" s="395"/>
      <c r="T155" s="393"/>
      <c r="U155" s="186"/>
      <c r="V155" s="186"/>
      <c r="W155" s="186"/>
      <c r="X155" s="186"/>
      <c r="Y155" s="186"/>
      <c r="Z155" s="186"/>
      <c r="AA155" s="186"/>
      <c r="AB155" s="186"/>
    </row>
    <row r="156" spans="1:28" s="22" customFormat="1" x14ac:dyDescent="0.25">
      <c r="A156" s="32">
        <v>2</v>
      </c>
      <c r="B156" s="21" t="s">
        <v>7</v>
      </c>
      <c r="C156" s="42">
        <v>0.79166666666666663</v>
      </c>
      <c r="D156" s="42">
        <v>0.875</v>
      </c>
      <c r="E156" s="14">
        <v>2</v>
      </c>
      <c r="F156" s="15"/>
      <c r="G156" s="24" t="s">
        <v>129</v>
      </c>
      <c r="I156" s="57"/>
      <c r="J156" s="57"/>
      <c r="K156" s="57"/>
      <c r="L156" s="57"/>
      <c r="M156" s="186"/>
      <c r="N156" s="186"/>
      <c r="O156" s="393"/>
      <c r="P156" s="399"/>
      <c r="Q156" s="399"/>
      <c r="R156" s="393"/>
      <c r="S156" s="395"/>
      <c r="T156" s="393"/>
      <c r="U156" s="186"/>
      <c r="V156" s="186"/>
      <c r="W156" s="186"/>
      <c r="X156" s="186"/>
      <c r="Y156" s="186"/>
      <c r="Z156" s="186"/>
      <c r="AA156" s="186"/>
      <c r="AB156" s="186"/>
    </row>
    <row r="157" spans="1:28" s="22" customFormat="1" x14ac:dyDescent="0.25">
      <c r="A157" s="32">
        <v>3</v>
      </c>
      <c r="B157" s="21" t="s">
        <v>8</v>
      </c>
      <c r="C157" s="25"/>
      <c r="D157" s="25"/>
      <c r="E157" s="14"/>
      <c r="G157" s="23"/>
      <c r="I157" s="57"/>
      <c r="J157" s="57"/>
      <c r="K157" s="57"/>
      <c r="L157" s="57"/>
      <c r="M157" s="186"/>
      <c r="N157" s="186"/>
      <c r="O157" s="393"/>
      <c r="P157" s="394"/>
      <c r="Q157" s="394"/>
      <c r="R157" s="393"/>
      <c r="S157" s="395"/>
      <c r="T157" s="393"/>
      <c r="U157" s="186"/>
      <c r="V157" s="186"/>
      <c r="W157" s="186"/>
      <c r="X157" s="186"/>
      <c r="Y157" s="186"/>
      <c r="Z157" s="186"/>
      <c r="AA157" s="186"/>
      <c r="AB157" s="186"/>
    </row>
    <row r="158" spans="1:28" s="22" customFormat="1" x14ac:dyDescent="0.25">
      <c r="A158" s="15"/>
      <c r="B158" s="13" t="s">
        <v>26</v>
      </c>
      <c r="C158" s="32"/>
      <c r="D158" s="32"/>
      <c r="E158" s="32">
        <f>SUM(E151:E157)</f>
        <v>4</v>
      </c>
      <c r="G158" s="53"/>
      <c r="I158" s="57"/>
      <c r="J158" s="57"/>
      <c r="K158" s="57"/>
      <c r="L158" s="57"/>
      <c r="M158" s="186"/>
      <c r="N158" s="186"/>
      <c r="O158" s="392"/>
      <c r="P158" s="396"/>
      <c r="Q158" s="396"/>
      <c r="R158" s="39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 spans="1:28" s="22" customFormat="1" x14ac:dyDescent="0.25">
      <c r="A159" s="15"/>
      <c r="B159" s="15"/>
      <c r="C159" s="15"/>
      <c r="D159" s="15"/>
      <c r="E159" s="15"/>
      <c r="I159" s="57"/>
      <c r="J159" s="57"/>
      <c r="K159" s="57"/>
      <c r="L159" s="57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 spans="1:28" s="22" customFormat="1" ht="30" x14ac:dyDescent="0.25">
      <c r="A160" s="15"/>
      <c r="B160" s="13" t="s">
        <v>133</v>
      </c>
      <c r="C160" s="13" t="s">
        <v>11</v>
      </c>
      <c r="D160" s="13" t="s">
        <v>12</v>
      </c>
      <c r="E160" s="13" t="s">
        <v>13</v>
      </c>
      <c r="F160" s="13" t="s">
        <v>14</v>
      </c>
      <c r="G160" s="20" t="s">
        <v>0</v>
      </c>
      <c r="I160" s="57"/>
      <c r="J160" s="57"/>
      <c r="K160" s="57"/>
      <c r="L160" s="57"/>
      <c r="M160" s="186"/>
      <c r="N160" s="186"/>
      <c r="O160" s="392"/>
      <c r="P160" s="392"/>
      <c r="Q160" s="392"/>
      <c r="R160" s="392"/>
      <c r="S160" s="392"/>
      <c r="T160" s="392"/>
      <c r="U160" s="186"/>
      <c r="V160" s="186"/>
      <c r="W160" s="186"/>
      <c r="X160" s="186"/>
      <c r="Y160" s="186"/>
      <c r="Z160" s="186"/>
      <c r="AA160" s="186"/>
      <c r="AB160" s="186"/>
    </row>
    <row r="161" spans="1:28" s="22" customFormat="1" x14ac:dyDescent="0.25">
      <c r="A161" s="32">
        <v>4</v>
      </c>
      <c r="B161" s="21" t="s">
        <v>2</v>
      </c>
      <c r="C161" s="33"/>
      <c r="D161" s="25"/>
      <c r="E161" s="14"/>
      <c r="F161" s="24"/>
      <c r="G161" s="14"/>
      <c r="I161" s="57"/>
      <c r="J161" s="57"/>
      <c r="K161" s="57"/>
      <c r="L161" s="57"/>
      <c r="M161" s="186"/>
      <c r="N161" s="186"/>
      <c r="O161" s="393"/>
      <c r="P161" s="397"/>
      <c r="Q161" s="394"/>
      <c r="R161" s="393"/>
      <c r="S161" s="395"/>
      <c r="T161" s="393"/>
      <c r="U161" s="186"/>
      <c r="V161" s="186"/>
      <c r="W161" s="186"/>
      <c r="X161" s="186"/>
      <c r="Y161" s="186"/>
      <c r="Z161" s="186"/>
      <c r="AA161" s="186"/>
      <c r="AB161" s="186"/>
    </row>
    <row r="162" spans="1:28" s="22" customFormat="1" x14ac:dyDescent="0.25">
      <c r="A162" s="32">
        <v>5</v>
      </c>
      <c r="B162" s="21" t="s">
        <v>3</v>
      </c>
      <c r="C162" s="26">
        <v>0.45833333333333331</v>
      </c>
      <c r="D162" s="26">
        <v>0.5</v>
      </c>
      <c r="E162" s="15">
        <v>1</v>
      </c>
      <c r="F162" s="15"/>
      <c r="G162" s="15" t="s">
        <v>134</v>
      </c>
      <c r="I162" s="57"/>
      <c r="J162" s="57"/>
      <c r="K162" s="57"/>
      <c r="L162" s="57"/>
      <c r="M162" s="186"/>
      <c r="N162" s="186"/>
      <c r="O162" s="393"/>
      <c r="P162" s="398"/>
      <c r="Q162" s="398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 spans="1:28" s="22" customFormat="1" x14ac:dyDescent="0.25">
      <c r="A163" s="32">
        <v>6</v>
      </c>
      <c r="B163" s="21" t="s">
        <v>4</v>
      </c>
      <c r="C163" s="26"/>
      <c r="D163" s="26"/>
      <c r="E163" s="15"/>
      <c r="F163" s="15"/>
      <c r="G163" s="14"/>
      <c r="I163" s="57"/>
      <c r="J163" s="57"/>
      <c r="K163" s="57"/>
      <c r="L163" s="57"/>
      <c r="M163" s="186"/>
      <c r="N163" s="186"/>
      <c r="O163" s="393"/>
      <c r="P163" s="398"/>
      <c r="Q163" s="398"/>
      <c r="R163" s="186"/>
      <c r="S163" s="186"/>
      <c r="T163" s="393"/>
      <c r="U163" s="186"/>
      <c r="V163" s="186"/>
      <c r="W163" s="186"/>
      <c r="X163" s="186"/>
      <c r="Y163" s="186"/>
      <c r="Z163" s="186"/>
      <c r="AA163" s="186"/>
      <c r="AB163" s="186"/>
    </row>
    <row r="164" spans="1:28" s="22" customFormat="1" x14ac:dyDescent="0.25">
      <c r="A164" s="32">
        <v>7</v>
      </c>
      <c r="B164" s="21" t="s">
        <v>5</v>
      </c>
      <c r="C164" s="25">
        <v>0.54166666666666663</v>
      </c>
      <c r="D164" s="25">
        <v>0.625</v>
      </c>
      <c r="E164" s="14">
        <v>2</v>
      </c>
      <c r="F164" s="24"/>
      <c r="G164" s="14" t="s">
        <v>135</v>
      </c>
      <c r="I164" s="57"/>
      <c r="J164" s="57"/>
      <c r="K164" s="57"/>
      <c r="L164" s="57"/>
      <c r="M164" s="186"/>
      <c r="N164" s="186"/>
      <c r="O164" s="393"/>
      <c r="P164" s="394"/>
      <c r="Q164" s="394"/>
      <c r="R164" s="393"/>
      <c r="S164" s="395"/>
      <c r="T164" s="393"/>
      <c r="U164" s="186"/>
      <c r="V164" s="186"/>
      <c r="W164" s="186"/>
      <c r="X164" s="186"/>
      <c r="Y164" s="186"/>
      <c r="Z164" s="186"/>
      <c r="AA164" s="186"/>
      <c r="AB164" s="186"/>
    </row>
    <row r="165" spans="1:28" s="22" customFormat="1" x14ac:dyDescent="0.25">
      <c r="A165" s="32">
        <v>8</v>
      </c>
      <c r="B165" s="21" t="s">
        <v>6</v>
      </c>
      <c r="C165" s="42">
        <v>0.41666666666666669</v>
      </c>
      <c r="D165" s="42">
        <v>0.45833333333333331</v>
      </c>
      <c r="E165" s="14">
        <v>1</v>
      </c>
      <c r="F165" s="15"/>
      <c r="G165" s="24" t="s">
        <v>125</v>
      </c>
      <c r="I165" s="57"/>
      <c r="J165" s="57"/>
      <c r="K165" s="57"/>
      <c r="L165" s="57"/>
      <c r="M165" s="186"/>
      <c r="N165" s="186"/>
      <c r="O165" s="393"/>
      <c r="P165" s="399"/>
      <c r="Q165" s="399"/>
      <c r="R165" s="393"/>
      <c r="S165" s="186"/>
      <c r="T165" s="395"/>
      <c r="U165" s="186"/>
      <c r="V165" s="186"/>
      <c r="W165" s="186"/>
      <c r="X165" s="186"/>
      <c r="Y165" s="186"/>
      <c r="Z165" s="186"/>
      <c r="AA165" s="186"/>
      <c r="AB165" s="186"/>
    </row>
    <row r="166" spans="1:28" s="22" customFormat="1" x14ac:dyDescent="0.25">
      <c r="A166" s="32">
        <v>9</v>
      </c>
      <c r="B166" s="21" t="s">
        <v>7</v>
      </c>
      <c r="C166" s="42">
        <v>0.79166666666666663</v>
      </c>
      <c r="D166" s="42">
        <v>0.83333333333333337</v>
      </c>
      <c r="E166" s="14">
        <v>1</v>
      </c>
      <c r="F166" s="24"/>
      <c r="G166" s="14" t="s">
        <v>136</v>
      </c>
      <c r="I166" s="57"/>
      <c r="J166" s="57"/>
      <c r="K166" s="57"/>
      <c r="L166" s="57"/>
      <c r="M166" s="186"/>
      <c r="N166" s="186"/>
      <c r="O166" s="393"/>
      <c r="P166" s="399"/>
      <c r="Q166" s="399"/>
      <c r="R166" s="393"/>
      <c r="S166" s="395"/>
      <c r="T166" s="393"/>
      <c r="U166" s="186"/>
      <c r="V166" s="186"/>
      <c r="W166" s="186"/>
      <c r="X166" s="186"/>
      <c r="Y166" s="186"/>
      <c r="Z166" s="186"/>
      <c r="AA166" s="186"/>
      <c r="AB166" s="186"/>
    </row>
    <row r="167" spans="1:28" s="22" customFormat="1" x14ac:dyDescent="0.25">
      <c r="A167" s="32">
        <v>10</v>
      </c>
      <c r="B167" s="21" t="s">
        <v>8</v>
      </c>
      <c r="C167" s="25"/>
      <c r="D167" s="25"/>
      <c r="E167" s="14"/>
      <c r="F167" s="24"/>
      <c r="G167" s="14"/>
      <c r="I167" s="57"/>
      <c r="J167" s="57"/>
      <c r="K167" s="57"/>
      <c r="L167" s="57"/>
      <c r="M167" s="186"/>
      <c r="N167" s="186"/>
      <c r="O167" s="393"/>
      <c r="P167" s="394"/>
      <c r="Q167" s="394"/>
      <c r="R167" s="393"/>
      <c r="S167" s="395"/>
      <c r="T167" s="393"/>
      <c r="U167" s="186"/>
      <c r="V167" s="186"/>
      <c r="W167" s="186"/>
      <c r="X167" s="186"/>
      <c r="Y167" s="186"/>
      <c r="Z167" s="186"/>
      <c r="AA167" s="186"/>
      <c r="AB167" s="186"/>
    </row>
    <row r="168" spans="1:28" s="22" customFormat="1" x14ac:dyDescent="0.25">
      <c r="A168" s="15"/>
      <c r="B168" s="13" t="s">
        <v>26</v>
      </c>
      <c r="C168" s="32"/>
      <c r="D168" s="32"/>
      <c r="E168" s="32">
        <f>SUM(E161:E167)</f>
        <v>5</v>
      </c>
      <c r="F168" s="115" t="s">
        <v>393</v>
      </c>
      <c r="G168" s="145" t="s">
        <v>397</v>
      </c>
      <c r="H168" s="15"/>
      <c r="I168" s="57"/>
      <c r="J168" s="57"/>
      <c r="K168" s="57"/>
      <c r="L168" s="57"/>
      <c r="M168" s="186"/>
      <c r="N168" s="186"/>
      <c r="O168" s="392"/>
      <c r="P168" s="396"/>
      <c r="Q168" s="396"/>
      <c r="R168" s="39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 spans="1:28" s="22" customFormat="1" x14ac:dyDescent="0.25">
      <c r="A169" s="144" t="s">
        <v>404</v>
      </c>
      <c r="B169" s="35" t="s">
        <v>227</v>
      </c>
      <c r="C169" s="60"/>
      <c r="D169" s="61"/>
      <c r="E169" s="35">
        <f>SUM(E151:E157,E160:E167)</f>
        <v>9</v>
      </c>
      <c r="F169" s="115">
        <f>SUM(1*[3]Marg_hist!G33)</f>
        <v>14</v>
      </c>
      <c r="G169" s="330">
        <f>SUM(E169 + G148)-F169</f>
        <v>-21</v>
      </c>
      <c r="H169" s="221"/>
      <c r="I169" s="57"/>
      <c r="J169" s="57"/>
      <c r="K169" s="57"/>
      <c r="L169" s="57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 spans="1:28" s="22" customFormat="1" x14ac:dyDescent="0.25">
      <c r="A170" s="278">
        <v>43264</v>
      </c>
      <c r="B170" s="15"/>
      <c r="C170" s="15"/>
      <c r="D170" s="15"/>
      <c r="E170" s="15"/>
      <c r="F170" s="15"/>
      <c r="G170" s="15"/>
      <c r="I170" s="57"/>
      <c r="J170" s="57"/>
      <c r="K170" s="57"/>
      <c r="L170" s="57"/>
      <c r="M170" s="186"/>
      <c r="N170" s="186"/>
      <c r="O170" s="392"/>
      <c r="P170" s="392"/>
      <c r="Q170" s="392"/>
      <c r="R170" s="392"/>
      <c r="S170" s="392"/>
      <c r="T170" s="392"/>
      <c r="U170" s="403"/>
      <c r="V170" s="186"/>
      <c r="W170" s="186"/>
      <c r="X170" s="186"/>
      <c r="Y170" s="186"/>
      <c r="Z170" s="186"/>
      <c r="AA170" s="186"/>
      <c r="AB170" s="186"/>
    </row>
    <row r="171" spans="1:28" s="22" customFormat="1" ht="30" x14ac:dyDescent="0.25">
      <c r="A171" s="15"/>
      <c r="B171" s="13" t="s">
        <v>138</v>
      </c>
      <c r="C171" s="13" t="s">
        <v>11</v>
      </c>
      <c r="D171" s="13" t="s">
        <v>12</v>
      </c>
      <c r="E171" s="13" t="s">
        <v>13</v>
      </c>
      <c r="F171" s="13" t="s">
        <v>14</v>
      </c>
      <c r="G171" s="20" t="s">
        <v>0</v>
      </c>
      <c r="I171" s="57"/>
      <c r="J171" s="57"/>
      <c r="K171" s="57"/>
      <c r="L171" s="57"/>
      <c r="M171" s="186"/>
      <c r="N171" s="186"/>
      <c r="O171" s="393"/>
      <c r="P171" s="397"/>
      <c r="Q171" s="394"/>
      <c r="R171" s="393"/>
      <c r="S171" s="395"/>
      <c r="T171" s="393"/>
      <c r="U171" s="403"/>
      <c r="V171" s="186"/>
      <c r="W171" s="186"/>
      <c r="X171" s="186"/>
      <c r="Y171" s="186"/>
      <c r="Z171" s="186"/>
      <c r="AA171" s="186"/>
      <c r="AB171" s="186"/>
    </row>
    <row r="172" spans="1:28" s="22" customFormat="1" x14ac:dyDescent="0.25">
      <c r="A172" s="20">
        <v>11</v>
      </c>
      <c r="B172" s="21" t="s">
        <v>2</v>
      </c>
      <c r="C172" s="49"/>
      <c r="D172" s="49"/>
      <c r="E172" s="138"/>
      <c r="F172" s="23"/>
      <c r="G172" s="21"/>
      <c r="I172" s="57"/>
      <c r="J172" s="57"/>
      <c r="K172" s="57"/>
      <c r="L172" s="57"/>
      <c r="M172" s="186"/>
      <c r="N172" s="186"/>
      <c r="O172" s="393"/>
      <c r="P172" s="186"/>
      <c r="Q172" s="186"/>
      <c r="R172" s="186"/>
      <c r="S172" s="186"/>
      <c r="T172" s="186"/>
      <c r="U172" s="403"/>
      <c r="V172" s="186"/>
      <c r="W172" s="186"/>
      <c r="X172" s="186"/>
      <c r="Y172" s="186"/>
      <c r="Z172" s="186"/>
      <c r="AA172" s="186"/>
      <c r="AB172" s="186"/>
    </row>
    <row r="173" spans="1:28" s="22" customFormat="1" x14ac:dyDescent="0.25">
      <c r="A173" s="20">
        <v>12</v>
      </c>
      <c r="B173" s="21" t="s">
        <v>3</v>
      </c>
      <c r="C173" s="48"/>
      <c r="D173" s="49"/>
      <c r="E173" s="138"/>
      <c r="F173" s="23"/>
      <c r="G173" s="21"/>
      <c r="H173" s="15"/>
      <c r="I173" s="57"/>
      <c r="J173" s="57"/>
      <c r="K173" s="57"/>
      <c r="L173" s="57"/>
      <c r="M173" s="186"/>
      <c r="N173" s="186"/>
      <c r="O173" s="393"/>
      <c r="P173" s="398"/>
      <c r="Q173" s="398"/>
      <c r="R173" s="186"/>
      <c r="S173" s="186"/>
      <c r="T173" s="393"/>
      <c r="U173" s="403"/>
      <c r="V173" s="186"/>
      <c r="W173" s="186"/>
      <c r="X173" s="186"/>
      <c r="Y173" s="186"/>
      <c r="Z173" s="186"/>
      <c r="AA173" s="186"/>
      <c r="AB173" s="186"/>
    </row>
    <row r="174" spans="1:28" s="22" customFormat="1" x14ac:dyDescent="0.25">
      <c r="A174" s="32">
        <v>13</v>
      </c>
      <c r="B174" s="21" t="s">
        <v>4</v>
      </c>
      <c r="C174" s="51"/>
      <c r="D174" s="51"/>
      <c r="E174" s="138"/>
      <c r="F174" s="23"/>
      <c r="I174" s="57"/>
      <c r="J174" s="57"/>
      <c r="K174" s="57"/>
      <c r="L174" s="57"/>
      <c r="M174" s="186"/>
      <c r="N174" s="186"/>
      <c r="O174" s="393"/>
      <c r="P174" s="394"/>
      <c r="Q174" s="394"/>
      <c r="R174" s="393"/>
      <c r="S174" s="395"/>
      <c r="T174" s="393"/>
      <c r="U174" s="403"/>
      <c r="V174" s="186"/>
      <c r="W174" s="186"/>
      <c r="X174" s="186"/>
      <c r="Y174" s="186"/>
      <c r="Z174" s="186"/>
      <c r="AA174" s="186"/>
      <c r="AB174" s="186"/>
    </row>
    <row r="175" spans="1:28" s="22" customFormat="1" x14ac:dyDescent="0.25">
      <c r="A175" s="32">
        <v>14</v>
      </c>
      <c r="B175" s="21" t="s">
        <v>5</v>
      </c>
      <c r="C175" s="51"/>
      <c r="D175" s="51"/>
      <c r="I175" s="57"/>
      <c r="J175" s="57"/>
      <c r="K175" s="57"/>
      <c r="L175" s="57"/>
      <c r="M175" s="186"/>
      <c r="N175" s="186"/>
      <c r="O175" s="393"/>
      <c r="P175" s="399"/>
      <c r="Q175" s="399"/>
      <c r="R175" s="393"/>
      <c r="S175" s="186"/>
      <c r="T175" s="395"/>
      <c r="U175" s="403"/>
      <c r="V175" s="186"/>
      <c r="W175" s="186"/>
      <c r="X175" s="186"/>
      <c r="Y175" s="186"/>
      <c r="Z175" s="186"/>
      <c r="AA175" s="186"/>
      <c r="AB175" s="186"/>
    </row>
    <row r="176" spans="1:28" s="22" customFormat="1" x14ac:dyDescent="0.25">
      <c r="A176" s="32">
        <v>15</v>
      </c>
      <c r="B176" s="21" t="s">
        <v>6</v>
      </c>
      <c r="C176" s="42">
        <v>0.41666666666666669</v>
      </c>
      <c r="D176" s="42">
        <v>0.45833333333333331</v>
      </c>
      <c r="E176" s="14">
        <v>1</v>
      </c>
      <c r="F176" s="15"/>
      <c r="G176" s="24" t="s">
        <v>125</v>
      </c>
      <c r="I176" s="57"/>
      <c r="J176" s="57"/>
      <c r="K176" s="57"/>
      <c r="L176" s="57"/>
      <c r="M176" s="186"/>
      <c r="N176" s="186"/>
      <c r="O176" s="393"/>
      <c r="P176" s="399"/>
      <c r="Q176" s="399"/>
      <c r="R176" s="393"/>
      <c r="S176" s="395"/>
      <c r="T176" s="393"/>
      <c r="U176" s="403"/>
      <c r="V176" s="186"/>
      <c r="W176" s="186"/>
      <c r="X176" s="186"/>
      <c r="Y176" s="186"/>
      <c r="Z176" s="186"/>
      <c r="AA176" s="186"/>
      <c r="AB176" s="186"/>
    </row>
    <row r="177" spans="1:28" s="22" customFormat="1" x14ac:dyDescent="0.25">
      <c r="A177" s="32">
        <v>16</v>
      </c>
      <c r="B177" s="21" t="s">
        <v>7</v>
      </c>
      <c r="C177" s="42">
        <v>0.79166666666666663</v>
      </c>
      <c r="D177" s="42">
        <v>0.85416666666666663</v>
      </c>
      <c r="E177" s="14">
        <v>1.5</v>
      </c>
      <c r="F177" s="24"/>
      <c r="G177" s="14" t="s">
        <v>136</v>
      </c>
      <c r="I177" s="57"/>
      <c r="J177" s="57"/>
      <c r="K177" s="57"/>
      <c r="L177" s="57"/>
      <c r="M177" s="186"/>
      <c r="N177" s="186"/>
      <c r="O177" s="393"/>
      <c r="P177" s="394"/>
      <c r="Q177" s="394"/>
      <c r="R177" s="393"/>
      <c r="S177" s="395"/>
      <c r="T177" s="393"/>
      <c r="U177" s="186"/>
      <c r="V177" s="186"/>
      <c r="W177" s="186"/>
      <c r="X177" s="186"/>
      <c r="Y177" s="186"/>
      <c r="Z177" s="186"/>
      <c r="AA177" s="186"/>
      <c r="AB177" s="186"/>
    </row>
    <row r="178" spans="1:28" s="22" customFormat="1" x14ac:dyDescent="0.25">
      <c r="A178" s="32">
        <v>17</v>
      </c>
      <c r="B178" s="21" t="s">
        <v>8</v>
      </c>
      <c r="C178" s="25">
        <v>0.875</v>
      </c>
      <c r="D178" s="25">
        <v>0.89583333333333337</v>
      </c>
      <c r="E178" s="14">
        <v>0.5</v>
      </c>
      <c r="F178" s="24"/>
      <c r="G178" s="14" t="s">
        <v>139</v>
      </c>
      <c r="I178" s="57"/>
      <c r="J178" s="57"/>
      <c r="K178" s="57"/>
      <c r="L178" s="57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 spans="1:28" s="22" customFormat="1" x14ac:dyDescent="0.25">
      <c r="A179" s="15"/>
      <c r="B179" s="13" t="s">
        <v>26</v>
      </c>
      <c r="C179" s="32"/>
      <c r="D179" s="32"/>
      <c r="E179" s="32">
        <f>SUM(E172:E178)</f>
        <v>3</v>
      </c>
      <c r="F179" s="288"/>
      <c r="G179" s="288"/>
      <c r="I179" s="57"/>
      <c r="J179" s="57"/>
      <c r="K179" s="57"/>
      <c r="L179" s="57"/>
      <c r="M179" s="186"/>
      <c r="N179" s="186"/>
      <c r="O179" s="392"/>
      <c r="P179" s="392"/>
      <c r="Q179" s="392"/>
      <c r="R179" s="392"/>
      <c r="S179" s="392"/>
      <c r="T179" s="392"/>
      <c r="U179" s="404"/>
      <c r="V179" s="186"/>
      <c r="W179" s="186"/>
      <c r="X179" s="186"/>
      <c r="Y179" s="186"/>
      <c r="Z179" s="186"/>
      <c r="AA179" s="186"/>
      <c r="AB179" s="186"/>
    </row>
    <row r="180" spans="1:28" s="22" customFormat="1" x14ac:dyDescent="0.25">
      <c r="A180" s="15"/>
      <c r="B180" s="15"/>
      <c r="C180" s="15"/>
      <c r="D180" s="15"/>
      <c r="E180" s="15"/>
      <c r="F180" s="15"/>
      <c r="G180" s="53"/>
      <c r="H180" s="15"/>
      <c r="I180" s="57"/>
      <c r="J180" s="57"/>
      <c r="K180" s="57"/>
      <c r="L180" s="57"/>
      <c r="M180" s="186"/>
      <c r="N180" s="186"/>
      <c r="O180" s="393"/>
      <c r="P180" s="397"/>
      <c r="Q180" s="394"/>
      <c r="R180" s="393"/>
      <c r="S180" s="395"/>
      <c r="T180" s="393"/>
      <c r="U180" s="404"/>
      <c r="V180" s="405"/>
      <c r="W180" s="186"/>
      <c r="X180" s="186"/>
      <c r="Y180" s="186"/>
      <c r="Z180" s="186"/>
      <c r="AA180" s="186"/>
      <c r="AB180" s="186"/>
    </row>
    <row r="181" spans="1:28" s="22" customFormat="1" ht="30" x14ac:dyDescent="0.25">
      <c r="A181" s="15"/>
      <c r="B181" s="13" t="s">
        <v>140</v>
      </c>
      <c r="C181" s="13" t="s">
        <v>11</v>
      </c>
      <c r="D181" s="13" t="s">
        <v>12</v>
      </c>
      <c r="E181" s="13" t="s">
        <v>13</v>
      </c>
      <c r="F181" s="13" t="s">
        <v>14</v>
      </c>
      <c r="G181" s="13" t="s">
        <v>0</v>
      </c>
      <c r="H181" s="299"/>
      <c r="I181" s="57"/>
      <c r="J181" s="57"/>
      <c r="K181" s="57"/>
      <c r="L181" s="57"/>
      <c r="M181" s="186"/>
      <c r="N181" s="186"/>
      <c r="O181" s="393"/>
      <c r="P181" s="398"/>
      <c r="Q181" s="398"/>
      <c r="R181" s="186"/>
      <c r="S181" s="186"/>
      <c r="T181" s="186"/>
      <c r="U181" s="404"/>
      <c r="V181" s="186"/>
      <c r="W181" s="186"/>
      <c r="X181" s="186"/>
      <c r="Y181" s="186"/>
      <c r="Z181" s="186"/>
      <c r="AA181" s="186"/>
      <c r="AB181" s="186"/>
    </row>
    <row r="182" spans="1:28" s="22" customFormat="1" x14ac:dyDescent="0.25">
      <c r="A182" s="15">
        <v>18</v>
      </c>
      <c r="B182" s="14" t="s">
        <v>2</v>
      </c>
      <c r="C182" s="33"/>
      <c r="D182" s="25"/>
      <c r="E182" s="14"/>
      <c r="F182" s="24"/>
      <c r="G182" s="14"/>
      <c r="H182" s="299"/>
      <c r="I182" s="57"/>
      <c r="J182" s="57"/>
      <c r="K182" s="57"/>
      <c r="L182" s="57"/>
      <c r="M182" s="186"/>
      <c r="N182" s="186"/>
      <c r="O182" s="393"/>
      <c r="P182" s="398"/>
      <c r="Q182" s="398"/>
      <c r="R182" s="186"/>
      <c r="S182" s="186"/>
      <c r="T182" s="393"/>
      <c r="U182" s="404"/>
      <c r="V182" s="186"/>
      <c r="W182" s="186"/>
      <c r="X182" s="186"/>
      <c r="Y182" s="186"/>
      <c r="Z182" s="186"/>
      <c r="AA182" s="186"/>
      <c r="AB182" s="186"/>
    </row>
    <row r="183" spans="1:28" s="22" customFormat="1" x14ac:dyDescent="0.25">
      <c r="A183" s="15">
        <v>19</v>
      </c>
      <c r="B183" s="14" t="s">
        <v>3</v>
      </c>
      <c r="C183" s="26">
        <v>0.40277777777777773</v>
      </c>
      <c r="D183" s="26">
        <v>0.4861111111111111</v>
      </c>
      <c r="E183" s="15">
        <v>2</v>
      </c>
      <c r="F183" s="15"/>
      <c r="G183" s="15" t="s">
        <v>119</v>
      </c>
      <c r="H183" s="299"/>
      <c r="I183" s="57"/>
      <c r="J183" s="57"/>
      <c r="K183" s="57"/>
      <c r="L183" s="57"/>
      <c r="M183" s="186"/>
      <c r="N183" s="186"/>
      <c r="O183" s="393"/>
      <c r="P183" s="394"/>
      <c r="Q183" s="394"/>
      <c r="R183" s="393"/>
      <c r="S183" s="395"/>
      <c r="T183" s="393"/>
      <c r="U183" s="404"/>
      <c r="V183" s="186"/>
      <c r="W183" s="186"/>
      <c r="X183" s="186"/>
      <c r="Y183" s="186"/>
      <c r="Z183" s="186"/>
      <c r="AA183" s="186"/>
      <c r="AB183" s="186"/>
    </row>
    <row r="184" spans="1:28" s="22" customFormat="1" x14ac:dyDescent="0.25">
      <c r="A184" s="15">
        <v>20</v>
      </c>
      <c r="B184" s="14" t="s">
        <v>4</v>
      </c>
      <c r="C184" s="26"/>
      <c r="D184" s="26"/>
      <c r="E184" s="15"/>
      <c r="F184" s="15"/>
      <c r="G184" s="14"/>
      <c r="H184" s="299"/>
      <c r="I184" s="57"/>
      <c r="J184" s="57"/>
      <c r="K184" s="57"/>
      <c r="L184" s="57"/>
      <c r="M184" s="186"/>
      <c r="N184" s="186"/>
      <c r="O184" s="393"/>
      <c r="P184" s="399"/>
      <c r="Q184" s="399"/>
      <c r="R184" s="393"/>
      <c r="S184" s="186"/>
      <c r="T184" s="395"/>
      <c r="U184" s="404"/>
      <c r="V184" s="186"/>
      <c r="W184" s="186"/>
      <c r="X184" s="186"/>
      <c r="Y184" s="186"/>
      <c r="Z184" s="186"/>
      <c r="AA184" s="186"/>
      <c r="AB184" s="186"/>
    </row>
    <row r="185" spans="1:28" s="22" customFormat="1" x14ac:dyDescent="0.25">
      <c r="A185" s="15">
        <v>21</v>
      </c>
      <c r="B185" s="14" t="s">
        <v>5</v>
      </c>
      <c r="C185" s="25">
        <v>0.45833333333333331</v>
      </c>
      <c r="D185" s="25">
        <v>2.0833333333333332E-2</v>
      </c>
      <c r="E185" s="14">
        <v>1</v>
      </c>
      <c r="F185" s="24"/>
      <c r="G185" s="14" t="s">
        <v>141</v>
      </c>
      <c r="H185" s="299"/>
      <c r="I185" s="57"/>
      <c r="J185" s="57"/>
      <c r="K185" s="57"/>
      <c r="L185" s="57"/>
      <c r="M185" s="186"/>
      <c r="N185" s="186"/>
      <c r="O185" s="393"/>
      <c r="P185" s="399"/>
      <c r="Q185" s="399"/>
      <c r="R185" s="393"/>
      <c r="S185" s="395"/>
      <c r="T185" s="393"/>
      <c r="U185" s="186"/>
      <c r="V185" s="186"/>
      <c r="W185" s="186"/>
      <c r="X185" s="186"/>
      <c r="Y185" s="186"/>
      <c r="Z185" s="186"/>
      <c r="AA185" s="186"/>
      <c r="AB185" s="186"/>
    </row>
    <row r="186" spans="1:28" s="22" customFormat="1" x14ac:dyDescent="0.25">
      <c r="A186" s="15">
        <v>22</v>
      </c>
      <c r="B186" s="14" t="s">
        <v>6</v>
      </c>
      <c r="C186" s="42">
        <v>0.41666666666666669</v>
      </c>
      <c r="D186" s="42">
        <v>0.45833333333333331</v>
      </c>
      <c r="E186" s="14">
        <v>1</v>
      </c>
      <c r="F186" s="15"/>
      <c r="G186" s="24" t="s">
        <v>125</v>
      </c>
      <c r="H186" s="299"/>
      <c r="I186" s="57"/>
      <c r="J186" s="57"/>
      <c r="K186" s="57"/>
      <c r="L186" s="57"/>
      <c r="M186" s="186"/>
      <c r="N186" s="186"/>
      <c r="O186" s="393"/>
      <c r="P186" s="394"/>
      <c r="Q186" s="394"/>
      <c r="R186" s="393"/>
      <c r="S186" s="395"/>
      <c r="T186" s="393"/>
      <c r="U186" s="186"/>
      <c r="V186" s="186"/>
      <c r="W186" s="186"/>
      <c r="X186" s="186"/>
      <c r="Y186" s="186"/>
      <c r="Z186" s="186"/>
      <c r="AA186" s="186"/>
      <c r="AB186" s="186"/>
    </row>
    <row r="187" spans="1:28" s="22" customFormat="1" x14ac:dyDescent="0.25">
      <c r="A187" s="15">
        <v>23</v>
      </c>
      <c r="B187" s="14" t="s">
        <v>7</v>
      </c>
      <c r="C187" s="42">
        <v>0.29166666666666669</v>
      </c>
      <c r="D187" s="42">
        <v>0.45833333333333331</v>
      </c>
      <c r="E187" s="14">
        <v>4</v>
      </c>
      <c r="F187" s="24"/>
      <c r="G187" s="14" t="s">
        <v>142</v>
      </c>
      <c r="H187" s="299"/>
      <c r="I187" s="57"/>
      <c r="J187" s="57"/>
      <c r="K187" s="57"/>
      <c r="L187" s="57"/>
      <c r="M187" s="186"/>
      <c r="N187" s="186"/>
      <c r="O187" s="392"/>
      <c r="P187" s="396"/>
      <c r="Q187" s="396"/>
      <c r="R187" s="396"/>
      <c r="S187" s="186"/>
      <c r="T187" s="186"/>
      <c r="U187" s="404"/>
      <c r="V187" s="186"/>
      <c r="W187" s="186"/>
      <c r="X187" s="186"/>
      <c r="Y187" s="186"/>
      <c r="Z187" s="186"/>
      <c r="AA187" s="186"/>
      <c r="AB187" s="186"/>
    </row>
    <row r="188" spans="1:28" s="22" customFormat="1" x14ac:dyDescent="0.25">
      <c r="A188" s="15">
        <v>24</v>
      </c>
      <c r="B188" s="14" t="s">
        <v>8</v>
      </c>
      <c r="C188" s="25"/>
      <c r="D188" s="25"/>
      <c r="E188" s="14"/>
      <c r="F188" s="24"/>
      <c r="G188" s="14"/>
      <c r="H188" s="299"/>
      <c r="I188" s="57"/>
      <c r="J188" s="57"/>
      <c r="K188" s="57"/>
      <c r="L188" s="57"/>
      <c r="M188" s="186"/>
      <c r="N188" s="186"/>
      <c r="O188" s="393"/>
      <c r="P188" s="397"/>
      <c r="Q188" s="394"/>
      <c r="R188" s="393"/>
      <c r="S188" s="395"/>
      <c r="T188" s="393"/>
      <c r="U188" s="404"/>
      <c r="V188" s="186"/>
      <c r="W188" s="186"/>
      <c r="X188" s="186"/>
      <c r="Y188" s="186"/>
      <c r="Z188" s="186"/>
      <c r="AA188" s="186"/>
      <c r="AB188" s="186"/>
    </row>
    <row r="189" spans="1:28" s="22" customFormat="1" x14ac:dyDescent="0.25">
      <c r="A189" s="15"/>
      <c r="B189" s="13" t="s">
        <v>26</v>
      </c>
      <c r="C189" s="32"/>
      <c r="D189" s="32"/>
      <c r="E189" s="32">
        <f>SUM(E182:E188)</f>
        <v>8</v>
      </c>
      <c r="F189" s="115" t="s">
        <v>393</v>
      </c>
      <c r="G189" s="145" t="s">
        <v>397</v>
      </c>
      <c r="H189" s="15"/>
      <c r="I189" s="57"/>
      <c r="J189" s="57"/>
      <c r="K189" s="57"/>
      <c r="L189" s="57"/>
      <c r="M189" s="186"/>
      <c r="N189" s="186"/>
      <c r="O189" s="393"/>
      <c r="P189" s="398"/>
      <c r="Q189" s="398"/>
      <c r="R189" s="186"/>
      <c r="S189" s="186"/>
      <c r="T189" s="186"/>
      <c r="U189" s="404"/>
      <c r="V189" s="186"/>
      <c r="W189" s="186"/>
      <c r="X189" s="186"/>
      <c r="Y189" s="186"/>
      <c r="Z189" s="186"/>
      <c r="AA189" s="186"/>
      <c r="AB189" s="186"/>
    </row>
    <row r="190" spans="1:28" s="22" customFormat="1" x14ac:dyDescent="0.25">
      <c r="A190" s="144" t="s">
        <v>406</v>
      </c>
      <c r="B190" s="35" t="s">
        <v>227</v>
      </c>
      <c r="C190" s="60"/>
      <c r="D190" s="61"/>
      <c r="E190" s="35">
        <f>SUM(E172:E178,E182:E188)</f>
        <v>11</v>
      </c>
      <c r="F190" s="115">
        <f>SUM(1*[3]Marg_hist!G39)</f>
        <v>14</v>
      </c>
      <c r="G190" s="330">
        <f>SUM(E190 + G169)-F190</f>
        <v>-24</v>
      </c>
      <c r="H190" s="221"/>
      <c r="I190" s="57"/>
      <c r="J190" s="57"/>
      <c r="K190" s="57"/>
      <c r="L190" s="57"/>
      <c r="M190" s="186"/>
      <c r="N190" s="186"/>
      <c r="O190" s="392"/>
      <c r="P190" s="392"/>
      <c r="Q190" s="392"/>
      <c r="R190" s="392"/>
      <c r="S190" s="392"/>
      <c r="T190" s="392"/>
      <c r="U190" s="186"/>
      <c r="V190" s="186"/>
      <c r="W190" s="186"/>
      <c r="X190" s="186"/>
      <c r="Y190" s="186"/>
      <c r="Z190" s="186"/>
      <c r="AA190" s="186"/>
      <c r="AB190" s="186"/>
    </row>
    <row r="191" spans="1:28" s="22" customFormat="1" x14ac:dyDescent="0.25">
      <c r="A191" s="278">
        <v>43278</v>
      </c>
      <c r="B191" s="15"/>
      <c r="C191" s="15"/>
      <c r="D191" s="15"/>
      <c r="E191" s="15"/>
      <c r="F191" s="15"/>
      <c r="G191" s="15"/>
      <c r="H191" s="15"/>
      <c r="I191" s="57"/>
      <c r="J191" s="57"/>
      <c r="K191" s="57"/>
      <c r="L191" s="57"/>
      <c r="M191" s="186"/>
      <c r="N191" s="186"/>
      <c r="O191" s="393"/>
      <c r="P191" s="397"/>
      <c r="Q191" s="394"/>
      <c r="R191" s="393"/>
      <c r="S191" s="395"/>
      <c r="T191" s="393"/>
      <c r="U191" s="591"/>
      <c r="V191" s="186"/>
      <c r="W191" s="186"/>
      <c r="X191" s="186"/>
      <c r="Y191" s="186"/>
      <c r="Z191" s="186"/>
      <c r="AA191" s="186"/>
      <c r="AB191" s="186"/>
    </row>
    <row r="192" spans="1:28" s="22" customFormat="1" ht="30" x14ac:dyDescent="0.25">
      <c r="A192" s="15"/>
      <c r="B192" s="13" t="s">
        <v>143</v>
      </c>
      <c r="C192" s="13" t="s">
        <v>11</v>
      </c>
      <c r="D192" s="13" t="s">
        <v>12</v>
      </c>
      <c r="E192" s="13" t="s">
        <v>13</v>
      </c>
      <c r="F192" s="13" t="s">
        <v>14</v>
      </c>
      <c r="G192" s="20" t="s">
        <v>0</v>
      </c>
      <c r="H192" s="15"/>
      <c r="I192" s="57"/>
      <c r="J192" s="57"/>
      <c r="K192" s="57"/>
      <c r="L192" s="57"/>
      <c r="M192" s="186"/>
      <c r="N192" s="186"/>
      <c r="O192" s="393"/>
      <c r="P192" s="398"/>
      <c r="Q192" s="398"/>
      <c r="R192" s="186"/>
      <c r="S192" s="186"/>
      <c r="T192" s="186"/>
      <c r="U192" s="591"/>
      <c r="V192" s="186"/>
      <c r="W192" s="186"/>
      <c r="X192" s="186"/>
      <c r="Y192" s="186"/>
      <c r="Z192" s="186"/>
      <c r="AA192" s="186"/>
      <c r="AB192" s="186"/>
    </row>
    <row r="193" spans="1:28" s="22" customFormat="1" x14ac:dyDescent="0.25">
      <c r="A193" s="32">
        <v>25</v>
      </c>
      <c r="B193" s="21" t="s">
        <v>2</v>
      </c>
      <c r="C193" s="49"/>
      <c r="D193" s="49"/>
      <c r="E193" s="138"/>
      <c r="F193" s="23"/>
      <c r="G193" s="21"/>
      <c r="H193" s="592" t="s">
        <v>144</v>
      </c>
      <c r="I193" s="57"/>
      <c r="J193" s="57"/>
      <c r="K193" s="57"/>
      <c r="L193" s="57"/>
      <c r="M193" s="186"/>
      <c r="N193" s="186"/>
      <c r="O193" s="393"/>
      <c r="P193" s="398"/>
      <c r="Q193" s="398"/>
      <c r="R193" s="186"/>
      <c r="S193" s="186"/>
      <c r="T193" s="393"/>
      <c r="U193" s="591"/>
      <c r="V193" s="186"/>
      <c r="W193" s="186"/>
      <c r="X193" s="186"/>
      <c r="Y193" s="186"/>
      <c r="Z193" s="186"/>
      <c r="AA193" s="186"/>
      <c r="AB193" s="186"/>
    </row>
    <row r="194" spans="1:28" s="22" customFormat="1" x14ac:dyDescent="0.25">
      <c r="A194" s="53">
        <v>26</v>
      </c>
      <c r="B194" s="21" t="s">
        <v>3</v>
      </c>
      <c r="C194" s="48"/>
      <c r="D194" s="49"/>
      <c r="E194" s="138"/>
      <c r="F194" s="23"/>
      <c r="G194" s="21"/>
      <c r="H194" s="592"/>
      <c r="I194" s="57"/>
      <c r="J194" s="57"/>
      <c r="K194" s="57"/>
      <c r="L194" s="57"/>
      <c r="M194" s="186"/>
      <c r="N194" s="186"/>
      <c r="O194" s="393"/>
      <c r="P194" s="394"/>
      <c r="Q194" s="394"/>
      <c r="R194" s="393"/>
      <c r="S194" s="395"/>
      <c r="T194" s="393"/>
      <c r="U194" s="591"/>
      <c r="V194" s="186"/>
      <c r="W194" s="186"/>
      <c r="X194" s="186"/>
      <c r="Y194" s="186"/>
      <c r="Z194" s="186"/>
      <c r="AA194" s="186"/>
      <c r="AB194" s="186"/>
    </row>
    <row r="195" spans="1:28" s="22" customFormat="1" x14ac:dyDescent="0.25">
      <c r="A195" s="32">
        <v>27</v>
      </c>
      <c r="B195" s="21" t="s">
        <v>4</v>
      </c>
      <c r="C195" s="51"/>
      <c r="D195" s="51"/>
      <c r="E195" s="138"/>
      <c r="F195" s="23"/>
      <c r="H195" s="592"/>
      <c r="I195" s="57"/>
      <c r="J195" s="57"/>
      <c r="K195" s="57"/>
      <c r="L195" s="57"/>
      <c r="M195" s="186"/>
      <c r="N195" s="186"/>
      <c r="O195" s="393"/>
      <c r="P195" s="399"/>
      <c r="Q195" s="399"/>
      <c r="R195" s="393"/>
      <c r="S195" s="186"/>
      <c r="T195" s="395"/>
      <c r="U195" s="591"/>
      <c r="V195" s="186"/>
      <c r="W195" s="186"/>
      <c r="X195" s="186"/>
      <c r="Y195" s="186"/>
      <c r="Z195" s="186"/>
      <c r="AA195" s="186"/>
      <c r="AB195" s="186"/>
    </row>
    <row r="196" spans="1:28" s="22" customFormat="1" ht="45" x14ac:dyDescent="0.25">
      <c r="A196" s="53">
        <v>28</v>
      </c>
      <c r="B196" s="21" t="s">
        <v>5</v>
      </c>
      <c r="C196" s="332" t="s">
        <v>418</v>
      </c>
      <c r="D196" s="332" t="s">
        <v>419</v>
      </c>
      <c r="E196" s="333">
        <v>2</v>
      </c>
      <c r="F196" s="333"/>
      <c r="G196" s="333" t="s">
        <v>420</v>
      </c>
      <c r="H196" s="592"/>
      <c r="I196" s="57"/>
      <c r="J196" s="57"/>
      <c r="K196" s="57"/>
      <c r="L196" s="57"/>
      <c r="M196" s="186"/>
      <c r="N196" s="186"/>
      <c r="O196" s="393"/>
      <c r="P196" s="399"/>
      <c r="Q196" s="399"/>
      <c r="R196" s="393"/>
      <c r="S196" s="395"/>
      <c r="T196" s="393"/>
      <c r="U196" s="591"/>
      <c r="V196" s="186"/>
      <c r="W196" s="186"/>
      <c r="X196" s="186"/>
      <c r="Y196" s="186"/>
      <c r="Z196" s="186"/>
      <c r="AA196" s="186"/>
      <c r="AB196" s="186"/>
    </row>
    <row r="197" spans="1:28" s="22" customFormat="1" x14ac:dyDescent="0.25">
      <c r="A197" s="32">
        <v>29</v>
      </c>
      <c r="B197" s="21" t="s">
        <v>6</v>
      </c>
      <c r="C197" s="51"/>
      <c r="D197" s="51"/>
      <c r="E197" s="138"/>
      <c r="F197" s="23"/>
      <c r="G197" s="21"/>
      <c r="H197" s="592"/>
      <c r="I197" s="57"/>
      <c r="J197" s="57"/>
      <c r="K197" s="57"/>
      <c r="L197" s="57"/>
      <c r="M197" s="186"/>
      <c r="N197" s="186"/>
      <c r="O197" s="393"/>
      <c r="P197" s="394"/>
      <c r="Q197" s="394"/>
      <c r="R197" s="393"/>
      <c r="S197" s="395"/>
      <c r="T197" s="393"/>
      <c r="U197" s="591"/>
      <c r="V197" s="186"/>
      <c r="W197" s="186"/>
      <c r="X197" s="186"/>
      <c r="Y197" s="186"/>
      <c r="Z197" s="186"/>
      <c r="AA197" s="186"/>
      <c r="AB197" s="186"/>
    </row>
    <row r="198" spans="1:28" s="22" customFormat="1" x14ac:dyDescent="0.25">
      <c r="A198" s="53">
        <v>30</v>
      </c>
      <c r="B198" s="21" t="s">
        <v>7</v>
      </c>
      <c r="C198" s="51"/>
      <c r="D198" s="51"/>
      <c r="E198" s="138"/>
      <c r="F198" s="23"/>
      <c r="G198" s="21"/>
      <c r="H198" s="592"/>
      <c r="I198" s="57"/>
      <c r="J198" s="57"/>
      <c r="K198" s="57"/>
      <c r="L198" s="57"/>
      <c r="M198" s="186"/>
      <c r="N198" s="186"/>
      <c r="O198" s="392"/>
      <c r="P198" s="396"/>
      <c r="Q198" s="396"/>
      <c r="R198" s="39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 spans="1:28" s="22" customFormat="1" x14ac:dyDescent="0.25">
      <c r="A199" s="32">
        <v>1</v>
      </c>
      <c r="B199" s="14" t="s">
        <v>8</v>
      </c>
      <c r="C199" s="25">
        <v>0.41666666666666669</v>
      </c>
      <c r="D199" s="25">
        <v>0.45833333333333331</v>
      </c>
      <c r="E199" s="14">
        <v>2</v>
      </c>
      <c r="F199" s="24"/>
      <c r="G199" s="14" t="s">
        <v>125</v>
      </c>
      <c r="H199" s="592"/>
      <c r="I199" s="57"/>
      <c r="J199" s="57"/>
      <c r="K199" s="57"/>
      <c r="L199" s="57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 spans="1:28" s="22" customFormat="1" x14ac:dyDescent="0.25">
      <c r="A200" s="15"/>
      <c r="B200" s="13" t="s">
        <v>26</v>
      </c>
      <c r="C200" s="32"/>
      <c r="D200" s="32"/>
      <c r="E200" s="32">
        <f>SUM(E193:E199)</f>
        <v>4</v>
      </c>
      <c r="G200" s="53"/>
      <c r="I200" s="57"/>
      <c r="J200" s="57"/>
      <c r="K200" s="57"/>
      <c r="L200" s="57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 spans="1:28" s="22" customFormat="1" x14ac:dyDescent="0.25">
      <c r="A201" s="15"/>
      <c r="B201" s="13"/>
      <c r="C201" s="32"/>
      <c r="D201" s="32"/>
      <c r="E201" s="32"/>
      <c r="G201" s="53"/>
      <c r="I201" s="57"/>
      <c r="J201" s="57"/>
      <c r="K201" s="57"/>
      <c r="L201" s="57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 spans="1:28" s="22" customFormat="1" ht="75" x14ac:dyDescent="0.25">
      <c r="A202" s="299"/>
      <c r="B202" s="20" t="s">
        <v>157</v>
      </c>
      <c r="C202" s="20" t="s">
        <v>11</v>
      </c>
      <c r="D202" s="20" t="s">
        <v>12</v>
      </c>
      <c r="E202" s="20" t="s">
        <v>13</v>
      </c>
      <c r="F202" s="20" t="s">
        <v>14</v>
      </c>
      <c r="G202" s="20" t="s">
        <v>0</v>
      </c>
      <c r="I202" s="57" t="s">
        <v>187</v>
      </c>
      <c r="J202" s="57" t="s">
        <v>186</v>
      </c>
      <c r="K202" s="57"/>
      <c r="L202" s="57"/>
      <c r="M202" s="186"/>
      <c r="N202" s="186"/>
      <c r="O202" s="392"/>
      <c r="P202" s="392"/>
      <c r="Q202" s="392"/>
      <c r="R202" s="392"/>
      <c r="S202" s="392"/>
      <c r="T202" s="392"/>
      <c r="U202" s="186"/>
      <c r="V202" s="186"/>
      <c r="W202" s="186"/>
      <c r="X202" s="186"/>
      <c r="Y202" s="186"/>
      <c r="Z202" s="186"/>
      <c r="AA202" s="186"/>
      <c r="AB202" s="186"/>
    </row>
    <row r="203" spans="1:28" s="22" customFormat="1" x14ac:dyDescent="0.25">
      <c r="A203" s="32">
        <v>2</v>
      </c>
      <c r="B203" s="14" t="s">
        <v>2</v>
      </c>
      <c r="C203" s="33">
        <v>0.45833333333333331</v>
      </c>
      <c r="D203" s="25">
        <v>0.47916666666666669</v>
      </c>
      <c r="E203" s="14">
        <v>0.5</v>
      </c>
      <c r="F203" s="24"/>
      <c r="G203" s="14" t="s">
        <v>277</v>
      </c>
      <c r="I203" s="57"/>
      <c r="J203" s="57"/>
      <c r="K203" s="57"/>
      <c r="L203" s="57"/>
      <c r="M203" s="186"/>
      <c r="N203" s="186"/>
      <c r="O203" s="186"/>
      <c r="P203" s="186"/>
      <c r="Q203" s="186"/>
      <c r="R203" s="186"/>
      <c r="S203" s="186"/>
      <c r="T203" s="186"/>
      <c r="U203" s="404"/>
      <c r="V203" s="186"/>
      <c r="W203" s="186"/>
      <c r="X203" s="186"/>
      <c r="Y203" s="186"/>
      <c r="Z203" s="186"/>
      <c r="AA203" s="186"/>
      <c r="AB203" s="186"/>
    </row>
    <row r="204" spans="1:28" s="22" customFormat="1" x14ac:dyDescent="0.25">
      <c r="A204" s="32">
        <v>3</v>
      </c>
      <c r="B204" s="14" t="s">
        <v>3</v>
      </c>
      <c r="C204" s="26">
        <v>0.45833333333333331</v>
      </c>
      <c r="D204" s="26">
        <v>0.52083333333333337</v>
      </c>
      <c r="E204" s="15">
        <v>1.5</v>
      </c>
      <c r="F204" s="15"/>
      <c r="G204" s="15" t="s">
        <v>278</v>
      </c>
      <c r="I204" s="57"/>
      <c r="J204" s="57"/>
      <c r="K204" s="57"/>
      <c r="L204" s="57"/>
      <c r="M204" s="186"/>
      <c r="N204" s="186"/>
      <c r="O204" s="186"/>
      <c r="P204" s="186"/>
      <c r="Q204" s="186"/>
      <c r="R204" s="186"/>
      <c r="S204" s="186"/>
      <c r="T204" s="186"/>
      <c r="U204" s="404"/>
      <c r="V204" s="186"/>
      <c r="W204" s="186"/>
      <c r="X204" s="186"/>
      <c r="Y204" s="186"/>
      <c r="Z204" s="186"/>
      <c r="AA204" s="186"/>
      <c r="AB204" s="186"/>
    </row>
    <row r="205" spans="1:28" s="22" customFormat="1" x14ac:dyDescent="0.25">
      <c r="A205" s="32">
        <v>4</v>
      </c>
      <c r="B205" s="14" t="s">
        <v>4</v>
      </c>
      <c r="C205" s="26">
        <v>0.4375</v>
      </c>
      <c r="D205" s="26">
        <v>0.47916666666666669</v>
      </c>
      <c r="E205" s="15">
        <v>1</v>
      </c>
      <c r="F205" s="15"/>
      <c r="G205" s="14" t="s">
        <v>279</v>
      </c>
      <c r="H205" s="15"/>
      <c r="I205" s="57"/>
      <c r="J205" s="57"/>
      <c r="K205" s="57"/>
      <c r="L205" s="57"/>
      <c r="M205" s="186"/>
      <c r="N205" s="186"/>
      <c r="O205" s="392"/>
      <c r="P205" s="392"/>
      <c r="Q205" s="392"/>
      <c r="R205" s="392"/>
      <c r="S205" s="392"/>
      <c r="T205" s="392"/>
      <c r="U205" s="404"/>
      <c r="V205" s="186"/>
      <c r="W205" s="186"/>
      <c r="X205" s="186"/>
      <c r="Y205" s="186"/>
      <c r="Z205" s="186"/>
      <c r="AA205" s="186"/>
      <c r="AB205" s="186"/>
    </row>
    <row r="206" spans="1:28" s="22" customFormat="1" x14ac:dyDescent="0.25">
      <c r="A206" s="15"/>
      <c r="B206" s="14"/>
      <c r="C206" s="26">
        <v>0.29166666666666669</v>
      </c>
      <c r="D206" s="26">
        <v>0.41666666666666669</v>
      </c>
      <c r="E206" s="15">
        <v>3</v>
      </c>
      <c r="F206" s="15"/>
      <c r="G206" s="14" t="s">
        <v>280</v>
      </c>
      <c r="I206" s="57"/>
      <c r="J206" s="57"/>
      <c r="K206" s="57"/>
      <c r="L206" s="57"/>
      <c r="M206" s="186"/>
      <c r="N206" s="186"/>
      <c r="O206" s="393"/>
      <c r="P206" s="397"/>
      <c r="Q206" s="394"/>
      <c r="R206" s="393"/>
      <c r="S206" s="395"/>
      <c r="T206" s="393"/>
      <c r="U206" s="404"/>
      <c r="V206" s="186"/>
      <c r="W206" s="186"/>
      <c r="X206" s="186"/>
      <c r="Y206" s="186"/>
      <c r="Z206" s="186"/>
      <c r="AA206" s="186"/>
      <c r="AB206" s="186"/>
    </row>
    <row r="207" spans="1:28" s="22" customFormat="1" x14ac:dyDescent="0.25">
      <c r="A207" s="32">
        <v>5</v>
      </c>
      <c r="B207" s="14" t="s">
        <v>5</v>
      </c>
      <c r="C207" s="25">
        <v>0.41666666666666669</v>
      </c>
      <c r="D207" s="25">
        <v>0.45833333333333331</v>
      </c>
      <c r="E207" s="14">
        <v>1</v>
      </c>
      <c r="F207" s="24"/>
      <c r="G207" s="14" t="s">
        <v>281</v>
      </c>
      <c r="H207" s="15"/>
      <c r="I207" s="57"/>
      <c r="J207" s="57"/>
      <c r="K207" s="57"/>
      <c r="L207" s="57"/>
      <c r="M207" s="186"/>
      <c r="N207" s="186"/>
      <c r="O207" s="393"/>
      <c r="P207" s="398"/>
      <c r="Q207" s="398"/>
      <c r="R207" s="186"/>
      <c r="S207" s="186"/>
      <c r="T207" s="186"/>
      <c r="U207" s="404"/>
      <c r="V207" s="405"/>
      <c r="W207" s="186"/>
      <c r="X207" s="186"/>
      <c r="Y207" s="186"/>
      <c r="Z207" s="186"/>
      <c r="AA207" s="186"/>
      <c r="AB207" s="186"/>
    </row>
    <row r="208" spans="1:28" s="22" customFormat="1" ht="30" x14ac:dyDescent="0.25">
      <c r="A208" s="32"/>
      <c r="B208" s="14"/>
      <c r="C208" s="51">
        <v>0.4375</v>
      </c>
      <c r="D208" s="51">
        <v>0.47916666666666669</v>
      </c>
      <c r="E208" s="22">
        <v>1</v>
      </c>
      <c r="G208" s="22" t="s">
        <v>254</v>
      </c>
      <c r="H208" s="15"/>
      <c r="I208" s="57"/>
      <c r="J208" s="57"/>
      <c r="K208" s="57"/>
      <c r="L208" s="57"/>
      <c r="M208" s="186"/>
      <c r="N208" s="186"/>
      <c r="O208" s="393"/>
      <c r="P208" s="398"/>
      <c r="Q208" s="398"/>
      <c r="R208" s="186"/>
      <c r="S208" s="186"/>
      <c r="T208" s="393"/>
      <c r="U208" s="404"/>
      <c r="V208" s="186"/>
      <c r="W208" s="186"/>
      <c r="X208" s="186"/>
      <c r="Y208" s="186"/>
      <c r="Z208" s="186"/>
      <c r="AA208" s="186"/>
      <c r="AB208" s="186"/>
    </row>
    <row r="209" spans="1:28" s="22" customFormat="1" x14ac:dyDescent="0.25">
      <c r="A209" s="32"/>
      <c r="B209" s="14"/>
      <c r="C209" s="139">
        <v>4.1666666666666664E-2</v>
      </c>
      <c r="D209" s="139">
        <v>0.125</v>
      </c>
      <c r="E209" s="140">
        <v>2</v>
      </c>
      <c r="F209" s="135"/>
      <c r="G209" s="141" t="s">
        <v>24</v>
      </c>
      <c r="H209" s="15"/>
      <c r="I209" s="57"/>
      <c r="J209" s="57"/>
      <c r="K209" s="57"/>
      <c r="L209" s="57"/>
      <c r="M209" s="186"/>
      <c r="N209" s="186"/>
      <c r="O209" s="393"/>
      <c r="P209" s="398"/>
      <c r="Q209" s="398"/>
      <c r="R209" s="186"/>
      <c r="S209" s="186"/>
      <c r="T209" s="393"/>
      <c r="U209" s="404"/>
      <c r="V209" s="186"/>
      <c r="W209" s="186"/>
      <c r="X209" s="186"/>
      <c r="Y209" s="186"/>
      <c r="Z209" s="186"/>
      <c r="AA209" s="186"/>
      <c r="AB209" s="186"/>
    </row>
    <row r="210" spans="1:28" s="22" customFormat="1" x14ac:dyDescent="0.25">
      <c r="A210" s="32">
        <v>6</v>
      </c>
      <c r="B210" s="14" t="s">
        <v>6</v>
      </c>
      <c r="C210" s="42">
        <v>0.45833333333333331</v>
      </c>
      <c r="D210" s="42">
        <v>0.5</v>
      </c>
      <c r="E210" s="14">
        <v>1</v>
      </c>
      <c r="F210" s="15"/>
      <c r="G210" s="24" t="s">
        <v>282</v>
      </c>
      <c r="I210" s="57"/>
      <c r="J210" s="57"/>
      <c r="K210" s="57"/>
      <c r="L210" s="57"/>
      <c r="M210" s="186"/>
      <c r="N210" s="186"/>
      <c r="O210" s="393"/>
      <c r="P210" s="394"/>
      <c r="Q210" s="394"/>
      <c r="R210" s="393"/>
      <c r="S210" s="395"/>
      <c r="T210" s="393"/>
      <c r="U210" s="186"/>
      <c r="V210" s="186"/>
      <c r="W210" s="186"/>
      <c r="X210" s="186"/>
      <c r="Y210" s="186"/>
      <c r="Z210" s="186"/>
      <c r="AA210" s="186"/>
      <c r="AB210" s="186"/>
    </row>
    <row r="211" spans="1:28" s="22" customFormat="1" x14ac:dyDescent="0.25">
      <c r="A211" s="32">
        <v>7</v>
      </c>
      <c r="B211" s="14" t="s">
        <v>7</v>
      </c>
      <c r="C211" s="42">
        <v>0.41666666666666669</v>
      </c>
      <c r="D211" s="42">
        <v>0.54166666666666663</v>
      </c>
      <c r="E211" s="14">
        <v>3</v>
      </c>
      <c r="F211" s="24"/>
      <c r="G211" s="14" t="s">
        <v>283</v>
      </c>
      <c r="I211" s="57"/>
      <c r="J211" s="57"/>
      <c r="K211" s="57"/>
      <c r="L211" s="57"/>
      <c r="M211" s="186"/>
      <c r="N211" s="186"/>
      <c r="O211" s="393"/>
      <c r="P211" s="399"/>
      <c r="Q211" s="399"/>
      <c r="R211" s="393"/>
      <c r="S211" s="186"/>
      <c r="T211" s="395"/>
      <c r="U211" s="186"/>
      <c r="V211" s="186"/>
      <c r="W211" s="186"/>
      <c r="X211" s="186"/>
      <c r="Y211" s="186"/>
      <c r="Z211" s="186"/>
      <c r="AA211" s="186"/>
      <c r="AB211" s="186"/>
    </row>
    <row r="212" spans="1:28" s="22" customFormat="1" x14ac:dyDescent="0.25">
      <c r="A212" s="32"/>
      <c r="B212" s="14"/>
      <c r="C212" s="51">
        <v>0.4375</v>
      </c>
      <c r="D212" s="51">
        <v>0.5625</v>
      </c>
      <c r="E212" s="138">
        <v>2</v>
      </c>
      <c r="F212" s="23"/>
      <c r="G212" s="21" t="s">
        <v>255</v>
      </c>
      <c r="I212" s="57"/>
      <c r="J212" s="57"/>
      <c r="K212" s="57"/>
      <c r="L212" s="57"/>
      <c r="M212" s="186"/>
      <c r="N212" s="186"/>
      <c r="O212" s="393"/>
      <c r="P212" s="399"/>
      <c r="Q212" s="399"/>
      <c r="R212" s="393"/>
      <c r="S212" s="395"/>
      <c r="T212" s="393"/>
      <c r="U212" s="186"/>
      <c r="V212" s="186"/>
      <c r="W212" s="186"/>
      <c r="X212" s="186"/>
      <c r="Y212" s="186"/>
      <c r="Z212" s="186"/>
      <c r="AA212" s="186"/>
      <c r="AB212" s="186"/>
    </row>
    <row r="213" spans="1:28" s="22" customFormat="1" x14ac:dyDescent="0.25">
      <c r="A213" s="32">
        <v>8</v>
      </c>
      <c r="B213" s="14" t="s">
        <v>8</v>
      </c>
      <c r="C213" s="25"/>
      <c r="D213" s="25"/>
      <c r="E213" s="14"/>
      <c r="F213" s="24"/>
      <c r="G213" s="14"/>
      <c r="I213" s="57"/>
      <c r="J213" s="57"/>
      <c r="K213" s="57"/>
      <c r="L213" s="57"/>
      <c r="M213" s="186"/>
      <c r="N213" s="186"/>
      <c r="O213" s="393"/>
      <c r="P213" s="394"/>
      <c r="Q213" s="394"/>
      <c r="R213" s="393"/>
      <c r="S213" s="395"/>
      <c r="T213" s="393"/>
      <c r="U213" s="404"/>
      <c r="V213" s="186"/>
      <c r="W213" s="186"/>
      <c r="X213" s="186"/>
      <c r="Y213" s="186"/>
      <c r="Z213" s="186"/>
      <c r="AA213" s="186"/>
      <c r="AB213" s="186"/>
    </row>
    <row r="214" spans="1:28" s="22" customFormat="1" ht="18" customHeight="1" x14ac:dyDescent="0.25">
      <c r="A214" s="15"/>
      <c r="B214" s="13" t="s">
        <v>26</v>
      </c>
      <c r="C214" s="32"/>
      <c r="D214" s="32"/>
      <c r="E214" s="32">
        <f>SUM(E203:E213)</f>
        <v>16</v>
      </c>
      <c r="F214" s="115" t="s">
        <v>393</v>
      </c>
      <c r="G214" s="145" t="s">
        <v>397</v>
      </c>
      <c r="H214" s="15"/>
      <c r="I214" s="57"/>
      <c r="J214" s="57"/>
      <c r="K214" s="57"/>
      <c r="L214" s="57"/>
      <c r="M214" s="186"/>
      <c r="N214" s="186"/>
      <c r="O214" s="392"/>
      <c r="P214" s="396"/>
      <c r="Q214" s="396"/>
      <c r="R214" s="396"/>
      <c r="S214" s="186"/>
      <c r="T214" s="186"/>
      <c r="U214" s="404"/>
      <c r="V214" s="186"/>
      <c r="W214" s="186"/>
      <c r="X214" s="186"/>
      <c r="Y214" s="186"/>
      <c r="Z214" s="186"/>
      <c r="AA214" s="186"/>
      <c r="AB214" s="186"/>
    </row>
    <row r="215" spans="1:28" s="22" customFormat="1" ht="71.25" customHeight="1" x14ac:dyDescent="0.25">
      <c r="A215" s="144" t="s">
        <v>407</v>
      </c>
      <c r="B215" s="35" t="s">
        <v>227</v>
      </c>
      <c r="C215" s="60"/>
      <c r="D215" s="61"/>
      <c r="E215" s="35">
        <f>SUM(E193:E199,E203:E213)</f>
        <v>20</v>
      </c>
      <c r="F215" s="115">
        <f>SUM(1*[3]Marg_hist!G45)</f>
        <v>7</v>
      </c>
      <c r="G215" s="330">
        <f>SUM(E215 + G190)-F215</f>
        <v>-11</v>
      </c>
      <c r="H215" s="221"/>
      <c r="I215" s="57"/>
      <c r="J215" s="57"/>
      <c r="K215" s="57"/>
      <c r="L215" s="57"/>
      <c r="M215" s="186"/>
      <c r="N215" s="186"/>
      <c r="O215" s="392"/>
      <c r="P215" s="396"/>
      <c r="Q215" s="396"/>
      <c r="R215" s="396"/>
      <c r="S215" s="186"/>
      <c r="T215" s="186"/>
      <c r="U215" s="404"/>
      <c r="V215" s="186"/>
      <c r="W215" s="186"/>
      <c r="X215" s="186"/>
      <c r="Y215" s="186"/>
      <c r="Z215" s="186"/>
      <c r="AA215" s="186"/>
      <c r="AB215" s="186"/>
    </row>
    <row r="216" spans="1:28" s="22" customFormat="1" ht="67.5" customHeight="1" x14ac:dyDescent="0.25">
      <c r="A216" s="278">
        <v>43292</v>
      </c>
      <c r="B216" s="20"/>
      <c r="C216" s="146"/>
      <c r="D216" s="147"/>
      <c r="E216" s="20"/>
      <c r="F216" s="20"/>
      <c r="G216" s="53"/>
      <c r="H216" s="158"/>
      <c r="I216" s="57"/>
      <c r="J216" s="57"/>
      <c r="K216" s="57"/>
      <c r="L216" s="57"/>
      <c r="M216" s="186"/>
      <c r="N216" s="186"/>
      <c r="O216" s="392"/>
      <c r="P216" s="396"/>
      <c r="Q216" s="396"/>
      <c r="R216" s="396"/>
      <c r="S216" s="186"/>
      <c r="T216" s="186"/>
      <c r="U216" s="404"/>
      <c r="V216" s="186"/>
      <c r="W216" s="186"/>
      <c r="X216" s="186"/>
      <c r="Y216" s="186"/>
      <c r="Z216" s="186"/>
      <c r="AA216" s="186"/>
      <c r="AB216" s="186"/>
    </row>
    <row r="217" spans="1:28" s="22" customFormat="1" ht="30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57"/>
      <c r="J217" s="57"/>
      <c r="K217" s="57"/>
      <c r="L217" s="57"/>
      <c r="M217" s="186"/>
      <c r="N217" s="186"/>
      <c r="O217" s="392"/>
      <c r="P217" s="396"/>
      <c r="Q217" s="396"/>
      <c r="R217" s="396"/>
      <c r="S217" s="186"/>
      <c r="T217" s="186"/>
      <c r="U217" s="404"/>
      <c r="V217" s="186"/>
      <c r="W217" s="186"/>
      <c r="X217" s="186"/>
      <c r="Y217" s="186"/>
      <c r="Z217" s="186"/>
      <c r="AA217" s="186"/>
      <c r="AB217" s="186"/>
    </row>
    <row r="218" spans="1:28" s="22" customFormat="1" ht="90" customHeight="1" x14ac:dyDescent="0.9">
      <c r="A218" s="587" t="s">
        <v>433</v>
      </c>
      <c r="B218" s="587"/>
      <c r="C218" s="587"/>
      <c r="D218" s="587"/>
      <c r="E218" s="587"/>
      <c r="F218" s="587"/>
      <c r="G218" s="587"/>
      <c r="H218" s="587"/>
      <c r="I218" s="406"/>
      <c r="J218" s="406"/>
      <c r="K218" s="406"/>
      <c r="L218" s="406"/>
      <c r="M218" s="407"/>
      <c r="N218" s="407"/>
      <c r="O218" s="407"/>
      <c r="P218" s="407"/>
      <c r="Q218" s="407"/>
      <c r="R218" s="407"/>
      <c r="S218" s="407"/>
      <c r="T218" s="407"/>
      <c r="U218" s="407"/>
      <c r="V218" s="186"/>
      <c r="W218" s="186"/>
      <c r="X218" s="186"/>
      <c r="Y218" s="186"/>
      <c r="Z218" s="186"/>
      <c r="AA218" s="186"/>
      <c r="AB218" s="186"/>
    </row>
    <row r="219" spans="1:28" s="22" customFormat="1" ht="67.5" customHeight="1" x14ac:dyDescent="0.5">
      <c r="A219" s="341" t="s">
        <v>425</v>
      </c>
      <c r="B219" s="341" t="s">
        <v>426</v>
      </c>
      <c r="C219" s="343" t="s">
        <v>430</v>
      </c>
      <c r="D219" s="588" t="s">
        <v>471</v>
      </c>
      <c r="E219" s="588"/>
      <c r="F219" s="588"/>
      <c r="G219" s="588"/>
      <c r="H219" s="588"/>
      <c r="I219" s="57"/>
      <c r="J219" s="57"/>
      <c r="K219" s="57"/>
      <c r="L219" s="15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 spans="1:28" s="22" customFormat="1" ht="30" customHeight="1" x14ac:dyDescent="0.25">
      <c r="A220" s="338" t="s">
        <v>434</v>
      </c>
      <c r="B220" s="310">
        <f>SUM([3]Marg_hist!G48)</f>
        <v>87</v>
      </c>
      <c r="C220" s="338" t="s">
        <v>431</v>
      </c>
      <c r="D220" s="588"/>
      <c r="E220" s="588"/>
      <c r="F220" s="588"/>
      <c r="G220" s="588"/>
      <c r="H220" s="588"/>
      <c r="I220" s="57"/>
      <c r="J220" s="57"/>
      <c r="K220" s="57"/>
      <c r="L220" s="15"/>
      <c r="M220" s="186"/>
      <c r="N220" s="186"/>
      <c r="O220" s="392"/>
      <c r="P220" s="392"/>
      <c r="Q220" s="392"/>
      <c r="R220" s="392"/>
      <c r="S220" s="392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 spans="1:28" s="22" customFormat="1" ht="90" customHeight="1" x14ac:dyDescent="0.25">
      <c r="A221" s="44" t="s">
        <v>429</v>
      </c>
      <c r="B221" s="44">
        <f>SUM(E214,E200,E189,E168,E158,E147,E136,E122,E100,E89,E63,E42,E52,E30,E111,E20,E179,E77)</f>
        <v>76</v>
      </c>
      <c r="C221" s="44" t="s">
        <v>432</v>
      </c>
      <c r="D221" s="588"/>
      <c r="E221" s="588"/>
      <c r="F221" s="588"/>
      <c r="G221" s="588"/>
      <c r="H221" s="588"/>
      <c r="I221" s="57"/>
      <c r="J221" s="57"/>
      <c r="K221" s="57"/>
      <c r="L221" s="27" t="s">
        <v>253</v>
      </c>
      <c r="M221" s="186"/>
      <c r="N221" s="186"/>
      <c r="O221" s="393"/>
      <c r="P221" s="394"/>
      <c r="Q221" s="394"/>
      <c r="R221" s="408"/>
      <c r="S221" s="395"/>
      <c r="T221" s="186"/>
      <c r="U221" s="393"/>
      <c r="V221" s="186"/>
      <c r="W221" s="186"/>
      <c r="X221" s="186"/>
      <c r="Y221" s="186"/>
      <c r="Z221" s="186"/>
      <c r="AA221" s="186"/>
      <c r="AB221" s="186"/>
    </row>
    <row r="222" spans="1:28" ht="61.5" customHeight="1" x14ac:dyDescent="0.5">
      <c r="A222" s="409" t="s">
        <v>427</v>
      </c>
      <c r="B222" s="410">
        <f>SUM(B220-B221)</f>
        <v>11</v>
      </c>
      <c r="D222" s="588"/>
      <c r="E222" s="588"/>
      <c r="F222" s="588"/>
      <c r="G222" s="588"/>
      <c r="H222" s="588"/>
      <c r="I222" s="57"/>
      <c r="J222" s="57"/>
      <c r="K222" s="57"/>
      <c r="L222" s="15">
        <v>2</v>
      </c>
      <c r="M222" s="186"/>
      <c r="N222" s="186"/>
      <c r="O222" s="393"/>
      <c r="P222" s="397"/>
      <c r="Q222" s="394"/>
      <c r="R222" s="408"/>
      <c r="S222" s="395"/>
      <c r="T222" s="186"/>
      <c r="U222" s="393"/>
      <c r="V222" s="186"/>
      <c r="W222" s="186"/>
      <c r="X222" s="186"/>
      <c r="Y222" s="186"/>
      <c r="Z222" s="186"/>
      <c r="AA222" s="186"/>
      <c r="AB222" s="186"/>
    </row>
    <row r="223" spans="1:28" ht="61.5" customHeight="1" x14ac:dyDescent="0.25">
      <c r="A223" s="15" t="s">
        <v>472</v>
      </c>
      <c r="B223" s="287">
        <v>0</v>
      </c>
      <c r="I223" s="57"/>
      <c r="J223" s="57"/>
      <c r="K223" s="57"/>
      <c r="L223" s="15">
        <v>3</v>
      </c>
      <c r="M223" s="186"/>
      <c r="N223" s="186"/>
      <c r="O223" s="393"/>
      <c r="P223" s="398"/>
      <c r="Q223" s="398"/>
      <c r="R223" s="408"/>
      <c r="S223" s="395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 spans="1:28" x14ac:dyDescent="0.25">
      <c r="I224" s="57"/>
      <c r="J224" s="57"/>
      <c r="K224" s="57"/>
      <c r="L224" s="15">
        <v>4</v>
      </c>
      <c r="M224" s="186"/>
      <c r="N224" s="186"/>
      <c r="O224" s="393"/>
      <c r="P224" s="398"/>
      <c r="Q224" s="398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 spans="1:47" s="22" customFormat="1" ht="61.5" x14ac:dyDescent="0.9">
      <c r="A225" s="578" t="s">
        <v>252</v>
      </c>
      <c r="B225" s="578"/>
      <c r="C225" s="578"/>
      <c r="D225" s="578"/>
      <c r="E225" s="578"/>
      <c r="F225" s="578"/>
      <c r="G225" s="578"/>
      <c r="H225" s="578"/>
      <c r="I225" s="57"/>
      <c r="J225" s="57"/>
      <c r="K225" s="57"/>
      <c r="L225" s="15">
        <v>5</v>
      </c>
      <c r="M225" s="186"/>
      <c r="N225" s="186"/>
      <c r="O225" s="393"/>
      <c r="P225" s="411"/>
      <c r="Q225" s="411"/>
      <c r="R225" s="412"/>
      <c r="S225" s="413"/>
      <c r="T225" s="186"/>
      <c r="U225" s="414"/>
      <c r="V225" s="186"/>
      <c r="W225" s="186"/>
      <c r="X225" s="186"/>
      <c r="Y225" s="186"/>
      <c r="Z225" s="186"/>
      <c r="AA225" s="186"/>
      <c r="AB225" s="186"/>
    </row>
    <row r="226" spans="1:47" ht="30" x14ac:dyDescent="0.25">
      <c r="B226" s="630" t="s">
        <v>158</v>
      </c>
      <c r="C226" s="630" t="s">
        <v>11</v>
      </c>
      <c r="D226" s="630" t="s">
        <v>12</v>
      </c>
      <c r="E226" s="630" t="s">
        <v>13</v>
      </c>
      <c r="F226" s="630" t="s">
        <v>14</v>
      </c>
      <c r="G226" s="631"/>
      <c r="H226" s="22"/>
      <c r="I226" s="57"/>
      <c r="J226" s="57"/>
      <c r="K226" s="57"/>
      <c r="M226" s="186"/>
      <c r="N226" s="186"/>
      <c r="O226" s="393"/>
      <c r="P226" s="398"/>
      <c r="Q226" s="398"/>
      <c r="R226" s="408"/>
      <c r="S226" s="395"/>
      <c r="T226" s="186"/>
      <c r="U226" s="393"/>
      <c r="V226" s="186"/>
      <c r="W226" s="186"/>
      <c r="X226" s="186"/>
      <c r="Y226" s="186"/>
      <c r="Z226" s="186"/>
      <c r="AA226" s="186"/>
      <c r="AB226" s="186"/>
    </row>
    <row r="227" spans="1:47" x14ac:dyDescent="0.25">
      <c r="A227" s="32">
        <v>9</v>
      </c>
      <c r="B227" s="632" t="s">
        <v>2</v>
      </c>
      <c r="C227" s="633">
        <v>0.4375</v>
      </c>
      <c r="D227" s="634">
        <v>0.52083333333333337</v>
      </c>
      <c r="E227" s="635">
        <v>2</v>
      </c>
      <c r="F227" s="636"/>
      <c r="G227" s="635" t="s">
        <v>286</v>
      </c>
      <c r="H227" s="22"/>
      <c r="I227" s="57"/>
      <c r="J227" s="57"/>
      <c r="K227" s="57"/>
      <c r="M227" s="186"/>
      <c r="N227" s="186"/>
      <c r="O227" s="393"/>
      <c r="P227" s="398"/>
      <c r="Q227" s="398"/>
      <c r="R227" s="408"/>
      <c r="S227" s="395"/>
      <c r="T227" s="186"/>
      <c r="U227" s="393"/>
      <c r="V227" s="186"/>
      <c r="W227" s="186"/>
      <c r="X227" s="186"/>
      <c r="Y227" s="186"/>
      <c r="Z227" s="186"/>
      <c r="AA227" s="186"/>
      <c r="AB227" s="186"/>
    </row>
    <row r="228" spans="1:47" x14ac:dyDescent="0.25">
      <c r="A228" s="32">
        <v>10</v>
      </c>
      <c r="B228" s="632" t="s">
        <v>3</v>
      </c>
      <c r="C228" s="637">
        <v>0.20833333333333334</v>
      </c>
      <c r="D228" s="637">
        <v>0.25</v>
      </c>
      <c r="E228" s="638">
        <v>1</v>
      </c>
      <c r="F228" s="638"/>
      <c r="G228" s="638" t="s">
        <v>120</v>
      </c>
      <c r="H228" s="22"/>
      <c r="I228" s="57"/>
      <c r="J228" s="57"/>
      <c r="K228" s="57"/>
      <c r="M228" s="186"/>
      <c r="N228" s="186"/>
      <c r="O228" s="393"/>
      <c r="P228" s="398"/>
      <c r="Q228" s="398"/>
      <c r="R228" s="408"/>
      <c r="S228" s="395"/>
      <c r="T228" s="186"/>
      <c r="U228" s="393"/>
      <c r="V228" s="186"/>
      <c r="W228" s="186"/>
      <c r="X228" s="186"/>
      <c r="Y228" s="186"/>
      <c r="Z228" s="186"/>
      <c r="AA228" s="186"/>
      <c r="AB228" s="186"/>
    </row>
    <row r="229" spans="1:47" x14ac:dyDescent="0.25">
      <c r="A229" s="32">
        <v>11</v>
      </c>
      <c r="B229" s="632" t="s">
        <v>4</v>
      </c>
      <c r="C229" s="637">
        <v>0.41666666666666669</v>
      </c>
      <c r="D229" s="637">
        <v>0.45833333333333331</v>
      </c>
      <c r="E229" s="638">
        <v>1</v>
      </c>
      <c r="F229" s="638"/>
      <c r="G229" s="635" t="s">
        <v>287</v>
      </c>
      <c r="H229" s="22"/>
      <c r="I229" s="57"/>
      <c r="J229" s="57"/>
      <c r="K229" s="57"/>
      <c r="M229" s="186"/>
      <c r="N229" s="186"/>
      <c r="O229" s="393"/>
      <c r="P229" s="398"/>
      <c r="Q229" s="398"/>
      <c r="R229" s="408"/>
      <c r="S229" s="395"/>
      <c r="T229" s="186"/>
      <c r="U229" s="393"/>
      <c r="V229" s="186"/>
      <c r="W229" s="186"/>
      <c r="X229" s="186"/>
      <c r="Y229" s="186"/>
      <c r="Z229" s="186"/>
      <c r="AA229" s="186"/>
      <c r="AB229" s="186"/>
    </row>
    <row r="230" spans="1:47" s="624" customFormat="1" ht="30" x14ac:dyDescent="0.25">
      <c r="A230" s="627">
        <v>12</v>
      </c>
      <c r="B230" s="628" t="s">
        <v>5</v>
      </c>
      <c r="C230" s="629">
        <v>0.16666666666666666</v>
      </c>
      <c r="D230" s="629">
        <v>0.25</v>
      </c>
      <c r="E230" s="625">
        <v>2</v>
      </c>
      <c r="F230" s="625"/>
      <c r="G230" s="625" t="s">
        <v>256</v>
      </c>
      <c r="H230" s="625"/>
      <c r="I230" s="626"/>
      <c r="J230" s="626"/>
      <c r="K230" s="626"/>
      <c r="M230" s="186"/>
      <c r="N230" s="186"/>
      <c r="O230" s="393"/>
      <c r="P230" s="398"/>
      <c r="Q230" s="398"/>
      <c r="R230" s="408"/>
      <c r="S230" s="395"/>
      <c r="T230" s="186"/>
      <c r="U230" s="393"/>
      <c r="V230" s="186"/>
      <c r="W230" s="186"/>
      <c r="X230" s="186"/>
      <c r="Y230" s="186"/>
      <c r="Z230" s="186"/>
      <c r="AA230" s="186"/>
      <c r="AB230" s="186"/>
      <c r="AC230" s="625"/>
      <c r="AD230" s="625"/>
      <c r="AE230" s="625"/>
      <c r="AF230" s="625"/>
      <c r="AG230" s="625"/>
      <c r="AH230" s="625"/>
      <c r="AI230" s="625"/>
      <c r="AJ230" s="625"/>
      <c r="AK230" s="625"/>
      <c r="AL230" s="625"/>
      <c r="AM230" s="625"/>
      <c r="AN230" s="625"/>
      <c r="AO230" s="625"/>
      <c r="AP230" s="625"/>
      <c r="AQ230" s="625"/>
      <c r="AR230" s="625"/>
      <c r="AS230" s="625"/>
      <c r="AT230" s="625"/>
      <c r="AU230" s="625"/>
    </row>
    <row r="231" spans="1:47" x14ac:dyDescent="0.25">
      <c r="B231" s="632"/>
      <c r="C231" s="637">
        <v>0.47916666666666669</v>
      </c>
      <c r="D231" s="637">
        <v>0.54166666666666663</v>
      </c>
      <c r="E231" s="638">
        <v>1.5</v>
      </c>
      <c r="F231" s="638"/>
      <c r="G231" s="635" t="s">
        <v>288</v>
      </c>
      <c r="H231" s="22"/>
      <c r="I231" s="57"/>
      <c r="J231" s="57"/>
      <c r="K231" s="57"/>
      <c r="M231" s="186"/>
      <c r="N231" s="186"/>
      <c r="O231" s="393"/>
      <c r="P231" s="398"/>
      <c r="Q231" s="398"/>
      <c r="R231" s="408"/>
      <c r="S231" s="395"/>
      <c r="T231" s="186"/>
      <c r="U231" s="393"/>
      <c r="V231" s="186"/>
      <c r="W231" s="186"/>
      <c r="X231" s="186"/>
      <c r="Y231" s="186"/>
      <c r="Z231" s="186"/>
      <c r="AA231" s="186"/>
      <c r="AB231" s="186"/>
    </row>
    <row r="232" spans="1:47" x14ac:dyDescent="0.25">
      <c r="A232" s="32">
        <v>13</v>
      </c>
      <c r="B232" s="632" t="s">
        <v>6</v>
      </c>
      <c r="C232" s="634">
        <v>0.54166666666666663</v>
      </c>
      <c r="D232" s="634">
        <v>0.625</v>
      </c>
      <c r="E232" s="635">
        <v>2</v>
      </c>
      <c r="F232" s="636"/>
      <c r="G232" s="635" t="s">
        <v>289</v>
      </c>
      <c r="H232" s="22"/>
      <c r="I232" s="57"/>
      <c r="J232" s="57"/>
      <c r="K232" s="57"/>
      <c r="M232" s="186"/>
      <c r="N232" s="186"/>
      <c r="O232" s="393"/>
      <c r="P232" s="398"/>
      <c r="Q232" s="398"/>
      <c r="R232" s="408"/>
      <c r="S232" s="395"/>
      <c r="T232" s="186"/>
      <c r="U232" s="393"/>
      <c r="V232" s="186"/>
      <c r="W232" s="186"/>
      <c r="X232" s="186"/>
      <c r="Y232" s="186"/>
      <c r="Z232" s="186"/>
      <c r="AA232" s="186"/>
      <c r="AB232" s="186"/>
    </row>
    <row r="233" spans="1:47" x14ac:dyDescent="0.25">
      <c r="A233" s="32">
        <v>14</v>
      </c>
      <c r="B233" s="632" t="s">
        <v>7</v>
      </c>
      <c r="C233" s="639">
        <v>0.41666666666666669</v>
      </c>
      <c r="D233" s="639">
        <v>0.5</v>
      </c>
      <c r="E233" s="635">
        <v>2.5</v>
      </c>
      <c r="F233" s="638"/>
      <c r="G233" s="636" t="s">
        <v>290</v>
      </c>
      <c r="H233" s="22"/>
      <c r="I233" s="57"/>
      <c r="J233" s="57"/>
      <c r="K233" s="57"/>
      <c r="M233" s="186"/>
      <c r="N233" s="186"/>
      <c r="O233" s="393"/>
      <c r="P233" s="398"/>
      <c r="Q233" s="398"/>
      <c r="R233" s="408"/>
      <c r="S233" s="395"/>
      <c r="T233" s="186"/>
      <c r="U233" s="393"/>
      <c r="V233" s="186"/>
      <c r="W233" s="186"/>
      <c r="X233" s="186"/>
      <c r="Y233" s="186"/>
      <c r="Z233" s="186"/>
      <c r="AA233" s="186"/>
      <c r="AB233" s="186"/>
    </row>
    <row r="234" spans="1:47" x14ac:dyDescent="0.25">
      <c r="A234" s="32">
        <v>15</v>
      </c>
      <c r="B234" s="632" t="s">
        <v>8</v>
      </c>
      <c r="C234" s="639"/>
      <c r="D234" s="639"/>
      <c r="E234" s="635"/>
      <c r="F234" s="636"/>
      <c r="G234" s="635"/>
      <c r="H234" s="22"/>
      <c r="I234" s="57"/>
      <c r="J234" s="57"/>
      <c r="K234" s="57"/>
      <c r="M234" s="186"/>
      <c r="N234" s="186"/>
      <c r="O234" s="393"/>
      <c r="P234" s="398"/>
      <c r="Q234" s="398"/>
      <c r="R234" s="408"/>
      <c r="S234" s="395"/>
      <c r="T234" s="186"/>
      <c r="U234" s="393"/>
      <c r="V234" s="186"/>
      <c r="W234" s="186"/>
      <c r="X234" s="186"/>
      <c r="Y234" s="186"/>
      <c r="Z234" s="186"/>
      <c r="AA234" s="186"/>
      <c r="AB234" s="186"/>
    </row>
    <row r="235" spans="1:47" x14ac:dyDescent="0.25">
      <c r="B235" s="631"/>
      <c r="C235" s="634">
        <v>0.41666666666666669</v>
      </c>
      <c r="D235" s="634">
        <v>0.45833333333333331</v>
      </c>
      <c r="E235" s="635">
        <v>1</v>
      </c>
      <c r="F235" s="636"/>
      <c r="G235" s="635" t="s">
        <v>125</v>
      </c>
      <c r="H235" s="22"/>
      <c r="I235" s="57"/>
      <c r="J235" s="57"/>
      <c r="K235" s="57"/>
      <c r="M235" s="186"/>
      <c r="N235" s="186"/>
      <c r="O235" s="393"/>
      <c r="P235" s="398"/>
      <c r="Q235" s="398"/>
      <c r="R235" s="408"/>
      <c r="S235" s="395"/>
      <c r="T235" s="186"/>
      <c r="U235" s="393"/>
      <c r="V235" s="186"/>
      <c r="W235" s="186"/>
      <c r="X235" s="186"/>
      <c r="Y235" s="186"/>
      <c r="Z235" s="186"/>
      <c r="AA235" s="186"/>
      <c r="AB235" s="186"/>
    </row>
    <row r="236" spans="1:47" x14ac:dyDescent="0.25">
      <c r="B236" s="631"/>
      <c r="C236" s="640"/>
      <c r="D236" s="640"/>
      <c r="E236" s="640">
        <f>SUM(E227:E235)</f>
        <v>13</v>
      </c>
      <c r="F236" s="638"/>
      <c r="G236" s="638"/>
      <c r="H236" s="22"/>
      <c r="I236" s="57"/>
      <c r="J236" s="57"/>
      <c r="K236" s="57"/>
      <c r="M236" s="186"/>
      <c r="N236" s="186"/>
      <c r="O236" s="393"/>
      <c r="P236" s="398"/>
      <c r="Q236" s="398"/>
      <c r="R236" s="408"/>
      <c r="S236" s="395"/>
      <c r="T236" s="186"/>
      <c r="U236" s="393"/>
      <c r="V236" s="186"/>
      <c r="W236" s="186"/>
      <c r="X236" s="186"/>
      <c r="Y236" s="186"/>
      <c r="Z236" s="186"/>
      <c r="AA236" s="186"/>
      <c r="AB236" s="186"/>
    </row>
    <row r="237" spans="1:47" x14ac:dyDescent="0.25">
      <c r="G237" s="22"/>
      <c r="H237" s="22"/>
      <c r="I237" s="57"/>
      <c r="J237" s="57"/>
      <c r="K237" s="57"/>
      <c r="L237" s="15">
        <v>11</v>
      </c>
      <c r="M237" s="186"/>
      <c r="N237" s="186"/>
      <c r="O237" s="393"/>
      <c r="P237" s="398"/>
      <c r="Q237" s="398"/>
      <c r="R237" s="186"/>
      <c r="S237" s="186"/>
      <c r="T237" s="186"/>
      <c r="U237" s="186"/>
      <c r="V237" s="186"/>
      <c r="W237" s="186"/>
      <c r="X237" s="186"/>
      <c r="Y237" s="186"/>
      <c r="Z237" s="186"/>
      <c r="AA237" s="186"/>
      <c r="AB237" s="186"/>
    </row>
    <row r="238" spans="1:47" ht="30" x14ac:dyDescent="0.25">
      <c r="B238" s="13" t="s">
        <v>159</v>
      </c>
      <c r="C238" s="13" t="s">
        <v>11</v>
      </c>
      <c r="D238" s="13" t="s">
        <v>12</v>
      </c>
      <c r="E238" s="13" t="s">
        <v>13</v>
      </c>
      <c r="F238" s="13" t="s">
        <v>14</v>
      </c>
      <c r="G238" s="20" t="s">
        <v>0</v>
      </c>
      <c r="H238" s="22"/>
      <c r="I238" s="57"/>
      <c r="J238" s="57"/>
      <c r="K238" s="57"/>
      <c r="L238" s="15">
        <v>12</v>
      </c>
      <c r="M238" s="186"/>
      <c r="N238" s="186"/>
      <c r="O238" s="393"/>
      <c r="P238" s="398"/>
      <c r="Q238" s="398"/>
      <c r="R238" s="408"/>
      <c r="S238" s="395"/>
      <c r="T238" s="186"/>
      <c r="U238" s="393"/>
      <c r="V238" s="186"/>
      <c r="W238" s="186"/>
      <c r="X238" s="186"/>
      <c r="Y238" s="186"/>
      <c r="Z238" s="186"/>
      <c r="AA238" s="186"/>
      <c r="AB238" s="186"/>
    </row>
    <row r="239" spans="1:47" x14ac:dyDescent="0.25">
      <c r="B239" s="14" t="s">
        <v>2</v>
      </c>
      <c r="C239" s="33"/>
      <c r="D239" s="25"/>
      <c r="E239" s="14"/>
      <c r="F239" s="24"/>
      <c r="G239" s="21"/>
      <c r="H239" s="22"/>
      <c r="I239" s="57"/>
      <c r="J239" s="57"/>
      <c r="K239" s="57"/>
      <c r="L239" s="15">
        <v>13</v>
      </c>
      <c r="M239" s="186"/>
      <c r="N239" s="186"/>
      <c r="O239" s="393"/>
      <c r="P239" s="398"/>
      <c r="Q239" s="398"/>
      <c r="R239" s="408"/>
      <c r="S239" s="395"/>
      <c r="T239" s="186"/>
      <c r="U239" s="393"/>
      <c r="V239" s="186"/>
      <c r="W239" s="186"/>
      <c r="X239" s="186"/>
      <c r="Y239" s="186"/>
      <c r="Z239" s="186"/>
      <c r="AA239" s="186"/>
      <c r="AB239" s="186"/>
    </row>
    <row r="240" spans="1:47" x14ac:dyDescent="0.25">
      <c r="B240" s="14" t="s">
        <v>3</v>
      </c>
      <c r="C240" s="642"/>
      <c r="D240" s="642"/>
      <c r="E240" s="641"/>
      <c r="F240" s="641"/>
      <c r="G240" s="641"/>
      <c r="H240" s="22"/>
      <c r="I240" s="57"/>
      <c r="J240" s="57"/>
      <c r="K240" s="57"/>
      <c r="L240" s="15">
        <v>14</v>
      </c>
      <c r="M240" s="186"/>
      <c r="N240" s="186"/>
      <c r="O240" s="393"/>
      <c r="P240" s="394"/>
      <c r="Q240" s="394"/>
      <c r="R240" s="408"/>
      <c r="S240" s="395"/>
      <c r="T240" s="186"/>
      <c r="U240" s="393"/>
      <c r="V240" s="186"/>
      <c r="W240" s="186"/>
      <c r="X240" s="186"/>
      <c r="Y240" s="186"/>
      <c r="Z240" s="186"/>
      <c r="AA240" s="186"/>
      <c r="AB240" s="186"/>
    </row>
    <row r="241" spans="1:28" x14ac:dyDescent="0.25">
      <c r="B241" s="14" t="s">
        <v>4</v>
      </c>
      <c r="C241" s="642"/>
      <c r="D241" s="642"/>
      <c r="E241" s="642"/>
      <c r="F241" s="642"/>
      <c r="G241" s="642"/>
      <c r="H241" s="22"/>
      <c r="I241" s="57"/>
      <c r="J241" s="57"/>
      <c r="K241" s="57"/>
      <c r="L241" s="15">
        <v>15</v>
      </c>
      <c r="M241" s="186"/>
      <c r="N241" s="186"/>
      <c r="O241" s="186"/>
      <c r="P241" s="186"/>
      <c r="Q241" s="186"/>
      <c r="R241" s="186"/>
      <c r="S241" s="186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 spans="1:28" x14ac:dyDescent="0.25">
      <c r="B242" s="14" t="s">
        <v>5</v>
      </c>
      <c r="C242" s="645">
        <v>0.45833333333333331</v>
      </c>
      <c r="D242" s="645">
        <v>0.66666666666666663</v>
      </c>
      <c r="E242" s="646">
        <v>5</v>
      </c>
      <c r="F242" s="646"/>
      <c r="G242" s="643" t="s">
        <v>540</v>
      </c>
      <c r="H242" s="22"/>
      <c r="I242" s="57"/>
      <c r="J242" s="57"/>
      <c r="K242" s="57"/>
      <c r="M242" s="186"/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 spans="1:28" x14ac:dyDescent="0.25">
      <c r="B243" s="14" t="s">
        <v>6</v>
      </c>
      <c r="C243" s="647">
        <v>0.875</v>
      </c>
      <c r="D243" s="647">
        <v>0.91666666666666663</v>
      </c>
      <c r="E243" s="643">
        <v>1</v>
      </c>
      <c r="F243" s="646"/>
      <c r="G243" s="644" t="s">
        <v>541</v>
      </c>
      <c r="H243" s="22"/>
      <c r="I243" s="57"/>
      <c r="J243" s="57"/>
      <c r="K243" s="57"/>
      <c r="M243" s="186"/>
      <c r="N243" s="186"/>
      <c r="O243" s="392"/>
      <c r="P243" s="392"/>
      <c r="Q243" s="392"/>
      <c r="R243" s="392"/>
      <c r="S243" s="392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 spans="1:28" ht="45" x14ac:dyDescent="0.25">
      <c r="B244" s="14" t="s">
        <v>7</v>
      </c>
      <c r="C244" s="647">
        <v>0.41666666666666669</v>
      </c>
      <c r="D244" s="647">
        <v>0.45833333333333331</v>
      </c>
      <c r="E244" s="643">
        <v>1</v>
      </c>
      <c r="F244" s="644"/>
      <c r="G244" s="643" t="s">
        <v>542</v>
      </c>
      <c r="H244" s="22"/>
      <c r="I244" s="57"/>
      <c r="J244" s="57"/>
      <c r="K244" s="57"/>
      <c r="L244" s="27" t="s">
        <v>249</v>
      </c>
      <c r="M244" s="186"/>
      <c r="N244" s="186"/>
      <c r="O244" s="393"/>
      <c r="P244" s="394"/>
      <c r="Q244" s="394"/>
      <c r="R244" s="408"/>
      <c r="S244" s="395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 spans="1:28" x14ac:dyDescent="0.25">
      <c r="A245" s="21"/>
      <c r="B245" s="14" t="s">
        <v>8</v>
      </c>
      <c r="C245" s="25"/>
      <c r="D245" s="25"/>
      <c r="E245" s="14"/>
      <c r="F245" s="24"/>
      <c r="G245" s="21"/>
      <c r="H245" s="22"/>
      <c r="I245" s="57"/>
      <c r="J245" s="57"/>
      <c r="K245" s="57"/>
      <c r="L245" s="15">
        <v>16</v>
      </c>
      <c r="M245" s="186"/>
      <c r="N245" s="186"/>
      <c r="O245" s="393"/>
      <c r="P245" s="397"/>
      <c r="Q245" s="394"/>
      <c r="R245" s="408"/>
      <c r="S245" s="395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 spans="1:28" x14ac:dyDescent="0.25">
      <c r="A246" s="61" t="s">
        <v>396</v>
      </c>
      <c r="B246" s="13" t="s">
        <v>26</v>
      </c>
      <c r="C246" s="32"/>
      <c r="D246" s="32"/>
      <c r="E246" s="415">
        <v>7</v>
      </c>
      <c r="F246" s="115" t="s">
        <v>393</v>
      </c>
      <c r="G246" s="145" t="s">
        <v>397</v>
      </c>
      <c r="H246" s="22"/>
      <c r="I246" s="57"/>
      <c r="J246" s="57"/>
      <c r="K246" s="57"/>
      <c r="L246" s="15">
        <v>17</v>
      </c>
      <c r="M246" s="186"/>
      <c r="N246" s="186"/>
      <c r="O246" s="393"/>
      <c r="P246" s="398"/>
      <c r="Q246" s="398"/>
      <c r="R246" s="408"/>
      <c r="S246" s="395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 spans="1:28" x14ac:dyDescent="0.25">
      <c r="A247" s="144"/>
      <c r="B247" s="35" t="s">
        <v>227</v>
      </c>
      <c r="C247" s="60"/>
      <c r="D247" s="61" t="s">
        <v>396</v>
      </c>
      <c r="E247" s="35">
        <f>SUM(E236,E246)</f>
        <v>20</v>
      </c>
      <c r="F247" s="415">
        <v>0</v>
      </c>
      <c r="G247" s="309">
        <f>SUM(E247+G215)-F247</f>
        <v>9</v>
      </c>
      <c r="H247" s="43"/>
      <c r="I247" s="57"/>
      <c r="J247" s="57"/>
      <c r="K247" s="57"/>
      <c r="L247" s="15">
        <v>18</v>
      </c>
      <c r="M247" s="186"/>
      <c r="N247" s="186"/>
      <c r="O247" s="393"/>
      <c r="P247" s="398"/>
      <c r="Q247" s="398"/>
      <c r="R247" s="186"/>
      <c r="S247" s="186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 spans="1:28" x14ac:dyDescent="0.25">
      <c r="H248" s="22"/>
      <c r="I248" s="57"/>
      <c r="J248" s="57"/>
      <c r="K248" s="57"/>
      <c r="L248" s="15">
        <v>19</v>
      </c>
      <c r="M248" s="186"/>
      <c r="N248" s="186"/>
      <c r="O248" s="393"/>
      <c r="P248" s="398"/>
      <c r="Q248" s="398"/>
      <c r="R248" s="408"/>
      <c r="S248" s="395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 spans="1:28" ht="30" x14ac:dyDescent="0.25">
      <c r="B249" s="13" t="s">
        <v>160</v>
      </c>
      <c r="C249" s="13" t="s">
        <v>11</v>
      </c>
      <c r="D249" s="13" t="s">
        <v>12</v>
      </c>
      <c r="E249" s="13" t="s">
        <v>13</v>
      </c>
      <c r="F249" s="13" t="s">
        <v>14</v>
      </c>
      <c r="G249" s="13" t="s">
        <v>0</v>
      </c>
      <c r="H249" s="22"/>
      <c r="I249" s="57"/>
      <c r="J249" s="57"/>
      <c r="K249" s="57"/>
      <c r="L249" s="15">
        <v>20</v>
      </c>
      <c r="M249" s="186"/>
      <c r="N249" s="186"/>
      <c r="O249" s="393"/>
      <c r="P249" s="398"/>
      <c r="Q249" s="398"/>
      <c r="R249" s="408"/>
      <c r="S249" s="395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 spans="1:28" x14ac:dyDescent="0.25">
      <c r="B250" s="14" t="s">
        <v>2</v>
      </c>
      <c r="C250" s="33"/>
      <c r="D250" s="25"/>
      <c r="E250" s="14"/>
      <c r="F250" s="24"/>
      <c r="G250" s="14"/>
      <c r="H250" s="22"/>
      <c r="I250" s="57"/>
      <c r="J250" s="57"/>
      <c r="K250" s="57"/>
      <c r="L250" s="15">
        <v>21</v>
      </c>
      <c r="M250" s="186"/>
      <c r="N250" s="186"/>
      <c r="O250" s="393"/>
      <c r="P250" s="394"/>
      <c r="Q250" s="394"/>
      <c r="R250" s="408"/>
      <c r="S250" s="395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 spans="1:28" x14ac:dyDescent="0.25">
      <c r="B251" s="14" t="s">
        <v>3</v>
      </c>
      <c r="C251" s="26"/>
      <c r="D251" s="26"/>
      <c r="H251" s="22"/>
      <c r="I251" s="57"/>
      <c r="J251" s="57"/>
      <c r="K251" s="57"/>
      <c r="L251" s="15">
        <v>22</v>
      </c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 spans="1:28" x14ac:dyDescent="0.25">
      <c r="B252" s="14" t="s">
        <v>4</v>
      </c>
      <c r="C252" s="586" t="s">
        <v>475</v>
      </c>
      <c r="D252" s="586"/>
      <c r="E252" s="586"/>
      <c r="F252" s="586"/>
      <c r="G252" s="586"/>
      <c r="H252" s="22"/>
      <c r="I252" s="57"/>
      <c r="J252" s="57"/>
      <c r="K252" s="57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 spans="1:28" x14ac:dyDescent="0.25">
      <c r="B253" s="14" t="s">
        <v>5</v>
      </c>
      <c r="C253" s="586"/>
      <c r="D253" s="586"/>
      <c r="E253" s="586"/>
      <c r="F253" s="586"/>
      <c r="G253" s="586"/>
      <c r="H253" s="22"/>
      <c r="I253" s="57"/>
      <c r="J253" s="57"/>
      <c r="K253" s="57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 spans="1:28" x14ac:dyDescent="0.25">
      <c r="B254" s="14" t="s">
        <v>6</v>
      </c>
      <c r="C254" s="586"/>
      <c r="D254" s="586"/>
      <c r="E254" s="586"/>
      <c r="F254" s="586"/>
      <c r="G254" s="586"/>
      <c r="H254" s="22"/>
      <c r="I254" s="57"/>
      <c r="J254" s="57"/>
      <c r="K254" s="57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 spans="1:28" x14ac:dyDescent="0.25">
      <c r="B255" s="14" t="s">
        <v>7</v>
      </c>
      <c r="C255" s="42"/>
      <c r="D255" s="42"/>
      <c r="E255" s="14"/>
      <c r="F255" s="24"/>
      <c r="G255" s="14"/>
      <c r="H255" s="22"/>
      <c r="I255" s="57"/>
      <c r="J255" s="57"/>
      <c r="K255" s="57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 spans="1:28" x14ac:dyDescent="0.25">
      <c r="B256" s="14" t="s">
        <v>8</v>
      </c>
      <c r="C256" s="25"/>
      <c r="D256" s="25"/>
      <c r="E256" s="14"/>
      <c r="F256" s="24"/>
      <c r="G256" s="14"/>
      <c r="H256" s="22"/>
      <c r="I256" s="57"/>
      <c r="J256" s="57"/>
      <c r="K256" s="57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 spans="1:28" x14ac:dyDescent="0.25">
      <c r="B257" s="13" t="s">
        <v>26</v>
      </c>
      <c r="C257" s="32"/>
      <c r="D257" s="32"/>
      <c r="E257" s="415">
        <v>0</v>
      </c>
      <c r="H257" s="22"/>
      <c r="I257" s="57"/>
      <c r="J257" s="57"/>
      <c r="K257" s="57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 spans="1:28" x14ac:dyDescent="0.25">
      <c r="H258" s="22"/>
      <c r="I258" s="57"/>
      <c r="J258" s="57"/>
      <c r="K258" s="57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 spans="1:28" ht="30" x14ac:dyDescent="0.25">
      <c r="B259" s="13" t="s">
        <v>162</v>
      </c>
      <c r="C259" s="13" t="s">
        <v>11</v>
      </c>
      <c r="D259" s="13" t="s">
        <v>12</v>
      </c>
      <c r="E259" s="13" t="s">
        <v>13</v>
      </c>
      <c r="F259" s="13" t="s">
        <v>14</v>
      </c>
      <c r="G259" s="13" t="s">
        <v>0</v>
      </c>
      <c r="H259" s="22"/>
      <c r="I259" s="57"/>
      <c r="J259" s="57"/>
      <c r="K259" s="57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 spans="1:28" x14ac:dyDescent="0.25">
      <c r="B260" s="14" t="s">
        <v>2</v>
      </c>
      <c r="C260" s="33"/>
      <c r="D260" s="25"/>
      <c r="E260" s="14"/>
      <c r="F260" s="24"/>
      <c r="G260" s="14"/>
      <c r="H260" s="22"/>
      <c r="I260" s="57"/>
      <c r="J260" s="57"/>
      <c r="K260" s="57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 spans="1:28" ht="30" x14ac:dyDescent="0.25">
      <c r="A261" s="43" t="s">
        <v>422</v>
      </c>
      <c r="B261" s="14" t="s">
        <v>3</v>
      </c>
      <c r="C261" s="26"/>
      <c r="D261" s="26"/>
      <c r="H261" s="22"/>
      <c r="I261" s="57"/>
      <c r="J261" s="57"/>
      <c r="K261" s="57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 spans="1:28" x14ac:dyDescent="0.25">
      <c r="B262" s="14" t="s">
        <v>4</v>
      </c>
      <c r="C262" s="26"/>
      <c r="D262" s="26"/>
      <c r="G262" s="14"/>
      <c r="H262" s="22"/>
      <c r="I262" s="57"/>
      <c r="J262" s="57"/>
      <c r="K262" s="57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 spans="1:28" x14ac:dyDescent="0.25">
      <c r="B263" s="14" t="s">
        <v>5</v>
      </c>
      <c r="C263" s="586" t="s">
        <v>474</v>
      </c>
      <c r="D263" s="586"/>
      <c r="E263" s="586"/>
      <c r="F263" s="586"/>
      <c r="G263" s="586"/>
      <c r="H263" s="22"/>
      <c r="I263" s="57"/>
      <c r="J263" s="57"/>
      <c r="K263" s="57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 spans="1:28" x14ac:dyDescent="0.25">
      <c r="B264" s="14" t="s">
        <v>6</v>
      </c>
      <c r="C264" s="586"/>
      <c r="D264" s="586"/>
      <c r="E264" s="586"/>
      <c r="F264" s="586"/>
      <c r="G264" s="586"/>
      <c r="H264" s="22"/>
      <c r="I264" s="57"/>
      <c r="J264" s="57"/>
      <c r="K264" s="57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 spans="1:28" x14ac:dyDescent="0.25">
      <c r="B265" s="14" t="s">
        <v>7</v>
      </c>
      <c r="C265" s="586"/>
      <c r="D265" s="586"/>
      <c r="E265" s="586"/>
      <c r="F265" s="586"/>
      <c r="G265" s="586"/>
      <c r="H265" s="22"/>
      <c r="I265" s="57"/>
      <c r="J265" s="57"/>
      <c r="K265" s="57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 spans="1:28" x14ac:dyDescent="0.25">
      <c r="A266" s="21"/>
      <c r="B266" s="14" t="s">
        <v>8</v>
      </c>
      <c r="C266" s="25"/>
      <c r="D266" s="25"/>
      <c r="E266" s="14"/>
      <c r="F266" s="24"/>
      <c r="G266" s="14"/>
      <c r="H266" s="22"/>
      <c r="I266" s="57"/>
      <c r="J266" s="57"/>
      <c r="K266" s="57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 spans="1:28" x14ac:dyDescent="0.25">
      <c r="B267" s="13" t="s">
        <v>26</v>
      </c>
      <c r="C267" s="32"/>
      <c r="D267" s="32"/>
      <c r="E267" s="415">
        <v>0</v>
      </c>
      <c r="F267" s="115" t="s">
        <v>393</v>
      </c>
      <c r="G267" s="145" t="s">
        <v>397</v>
      </c>
      <c r="H267" s="22"/>
      <c r="I267" s="57"/>
      <c r="J267" s="57"/>
      <c r="K267" s="57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 spans="1:28" x14ac:dyDescent="0.25">
      <c r="A268" s="313" t="s">
        <v>334</v>
      </c>
      <c r="B268" s="35" t="s">
        <v>227</v>
      </c>
      <c r="C268" s="40"/>
      <c r="D268" s="41"/>
      <c r="E268" s="18">
        <f>SUM(E267+E257)</f>
        <v>0</v>
      </c>
      <c r="F268" s="415">
        <v>10</v>
      </c>
      <c r="G268" s="311">
        <f>SUM(E268+G247)-F268</f>
        <v>-1</v>
      </c>
      <c r="H268" s="43" t="s">
        <v>422</v>
      </c>
      <c r="I268" s="57"/>
      <c r="J268" s="57"/>
      <c r="K268" s="57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 spans="1:28" x14ac:dyDescent="0.25">
      <c r="H269" s="22"/>
      <c r="I269" s="57"/>
      <c r="J269" s="57"/>
      <c r="K269" s="57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 spans="1:28" ht="30" x14ac:dyDescent="0.25">
      <c r="B270" s="13" t="s">
        <v>161</v>
      </c>
      <c r="C270" s="13" t="s">
        <v>11</v>
      </c>
      <c r="D270" s="13" t="s">
        <v>12</v>
      </c>
      <c r="E270" s="13" t="s">
        <v>13</v>
      </c>
      <c r="F270" s="13" t="s">
        <v>14</v>
      </c>
      <c r="G270" s="13" t="s">
        <v>0</v>
      </c>
      <c r="H270" s="22"/>
      <c r="I270" s="57"/>
      <c r="J270" s="57"/>
      <c r="K270" s="57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 spans="1:28" x14ac:dyDescent="0.25">
      <c r="B271" s="14" t="s">
        <v>2</v>
      </c>
      <c r="C271" s="33"/>
      <c r="D271" s="25"/>
      <c r="E271" s="14"/>
      <c r="F271" s="24"/>
      <c r="G271" s="14"/>
      <c r="H271" s="22"/>
      <c r="I271" s="57"/>
      <c r="J271" s="57"/>
      <c r="K271" s="57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 spans="1:28" x14ac:dyDescent="0.25">
      <c r="B272" s="14" t="s">
        <v>3</v>
      </c>
      <c r="C272" s="26"/>
      <c r="D272" s="26"/>
      <c r="H272" s="22"/>
      <c r="I272" s="57"/>
      <c r="J272" s="57"/>
      <c r="K272" s="57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 spans="1:28" x14ac:dyDescent="0.25">
      <c r="B273" s="14" t="s">
        <v>4</v>
      </c>
      <c r="C273" s="26"/>
      <c r="D273" s="26"/>
      <c r="G273" s="14"/>
      <c r="H273" s="22"/>
      <c r="I273" s="57"/>
      <c r="J273" s="57"/>
      <c r="K273" s="57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 spans="1:28" x14ac:dyDescent="0.25">
      <c r="B274" s="14" t="s">
        <v>5</v>
      </c>
      <c r="C274" s="25"/>
      <c r="D274" s="25"/>
      <c r="E274" s="14"/>
      <c r="F274" s="24"/>
      <c r="G274" s="14"/>
      <c r="H274" s="22"/>
      <c r="I274" s="57"/>
      <c r="J274" s="57"/>
      <c r="K274" s="57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 spans="1:28" x14ac:dyDescent="0.25">
      <c r="B275" s="14" t="s">
        <v>6</v>
      </c>
      <c r="C275" s="42"/>
      <c r="D275" s="42"/>
      <c r="E275" s="14"/>
      <c r="G275" s="24"/>
      <c r="H275" s="22"/>
      <c r="I275" s="57"/>
      <c r="J275" s="57"/>
      <c r="K275" s="57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 spans="1:28" x14ac:dyDescent="0.25">
      <c r="B276" s="14" t="s">
        <v>7</v>
      </c>
      <c r="C276" s="42"/>
      <c r="D276" s="42"/>
      <c r="E276" s="14"/>
      <c r="F276" s="24"/>
      <c r="G276" s="14"/>
      <c r="H276" s="22"/>
      <c r="I276" s="57"/>
      <c r="J276" s="57"/>
      <c r="K276" s="57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 spans="1:28" x14ac:dyDescent="0.25">
      <c r="B277" s="14" t="s">
        <v>8</v>
      </c>
      <c r="C277" s="25"/>
      <c r="D277" s="25"/>
      <c r="E277" s="14"/>
      <c r="F277" s="24"/>
      <c r="G277" s="14"/>
      <c r="H277" s="22"/>
      <c r="I277" s="57"/>
      <c r="J277" s="57"/>
      <c r="K277" s="57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 spans="1:28" x14ac:dyDescent="0.25">
      <c r="B278" s="13" t="s">
        <v>26</v>
      </c>
      <c r="C278" s="32"/>
      <c r="D278" s="32"/>
      <c r="E278" s="415">
        <v>15</v>
      </c>
      <c r="H278" s="22"/>
      <c r="I278" s="57"/>
      <c r="J278" s="57"/>
      <c r="K278" s="57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 spans="1:28" x14ac:dyDescent="0.25">
      <c r="H279" s="22"/>
      <c r="I279" s="57"/>
      <c r="J279" s="57"/>
      <c r="K279" s="57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 spans="1:28" ht="30" x14ac:dyDescent="0.25">
      <c r="B280" s="13" t="s">
        <v>163</v>
      </c>
      <c r="C280" s="13" t="s">
        <v>11</v>
      </c>
      <c r="D280" s="13" t="s">
        <v>12</v>
      </c>
      <c r="E280" s="13" t="s">
        <v>13</v>
      </c>
      <c r="F280" s="13" t="s">
        <v>14</v>
      </c>
      <c r="G280" s="13" t="s">
        <v>0</v>
      </c>
      <c r="H280" s="22"/>
      <c r="I280" s="57"/>
      <c r="J280" s="57"/>
      <c r="K280" s="57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 spans="1:28" x14ac:dyDescent="0.25">
      <c r="B281" s="14" t="s">
        <v>2</v>
      </c>
      <c r="C281" s="33"/>
      <c r="D281" s="25"/>
      <c r="E281" s="14"/>
      <c r="F281" s="24"/>
      <c r="G281" s="14"/>
      <c r="H281" s="22"/>
      <c r="I281" s="57"/>
      <c r="J281" s="57"/>
      <c r="K281" s="57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 spans="1:28" x14ac:dyDescent="0.25">
      <c r="B282" s="14" t="s">
        <v>3</v>
      </c>
      <c r="C282" s="26"/>
      <c r="D282" s="26"/>
      <c r="H282" s="22"/>
      <c r="I282" s="57"/>
      <c r="J282" s="57"/>
      <c r="K282" s="57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 spans="1:28" x14ac:dyDescent="0.25">
      <c r="B283" s="14" t="s">
        <v>4</v>
      </c>
      <c r="C283" s="26"/>
      <c r="D283" s="26"/>
      <c r="G283" s="14"/>
      <c r="H283" s="22"/>
      <c r="I283" s="57"/>
      <c r="J283" s="57"/>
      <c r="K283" s="57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 spans="1:28" x14ac:dyDescent="0.25">
      <c r="B284" s="14" t="s">
        <v>5</v>
      </c>
      <c r="C284" s="25"/>
      <c r="D284" s="25"/>
      <c r="E284" s="14"/>
      <c r="F284" s="24"/>
      <c r="G284" s="14"/>
      <c r="H284" s="22"/>
      <c r="I284" s="57"/>
      <c r="J284" s="57"/>
      <c r="K284" s="57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 spans="1:28" x14ac:dyDescent="0.25">
      <c r="B285" s="14" t="s">
        <v>6</v>
      </c>
      <c r="C285" s="42"/>
      <c r="D285" s="42"/>
      <c r="E285" s="14"/>
      <c r="G285" s="24"/>
      <c r="H285" s="22"/>
      <c r="I285" s="57"/>
      <c r="J285" s="57"/>
      <c r="K285" s="57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 spans="1:28" x14ac:dyDescent="0.25">
      <c r="B286" s="14" t="s">
        <v>7</v>
      </c>
      <c r="C286" s="42"/>
      <c r="D286" s="42"/>
      <c r="E286" s="14"/>
      <c r="F286" s="24"/>
      <c r="G286" s="14"/>
      <c r="H286" s="22"/>
      <c r="I286" s="57"/>
      <c r="J286" s="57"/>
      <c r="K286" s="57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 spans="1:28" x14ac:dyDescent="0.25">
      <c r="A287" s="21"/>
      <c r="B287" s="14" t="s">
        <v>8</v>
      </c>
      <c r="C287" s="25"/>
      <c r="D287" s="25"/>
      <c r="E287" s="14"/>
      <c r="F287" s="24"/>
      <c r="G287" s="14"/>
      <c r="H287" s="22"/>
      <c r="I287" s="57"/>
      <c r="J287" s="57"/>
      <c r="K287" s="57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 spans="1:28" x14ac:dyDescent="0.25">
      <c r="B288" s="13" t="s">
        <v>26</v>
      </c>
      <c r="C288" s="32"/>
      <c r="D288" s="32"/>
      <c r="E288" s="415">
        <v>15</v>
      </c>
      <c r="F288" s="115" t="s">
        <v>393</v>
      </c>
      <c r="G288" s="145" t="s">
        <v>397</v>
      </c>
      <c r="H288" s="22"/>
      <c r="I288" s="57"/>
      <c r="J288" s="57"/>
      <c r="K288" s="57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 spans="1:28" x14ac:dyDescent="0.25">
      <c r="A289" s="313" t="s">
        <v>335</v>
      </c>
      <c r="B289" s="35" t="s">
        <v>227</v>
      </c>
      <c r="C289" s="40"/>
      <c r="D289" s="41"/>
      <c r="E289" s="18">
        <f>SUM(E288+E278)</f>
        <v>30</v>
      </c>
      <c r="F289" s="415">
        <v>30</v>
      </c>
      <c r="G289" s="311">
        <f>SUM(E289+G268)-F289</f>
        <v>-1</v>
      </c>
      <c r="H289" s="43" t="s">
        <v>422</v>
      </c>
      <c r="I289" s="57"/>
      <c r="J289" s="57"/>
      <c r="K289" s="57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 spans="1:28" x14ac:dyDescent="0.25">
      <c r="H290" s="22"/>
      <c r="I290" s="57"/>
      <c r="J290" s="57"/>
      <c r="K290" s="57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 spans="1:28" ht="30" x14ac:dyDescent="0.25">
      <c r="B291" s="13" t="s">
        <v>164</v>
      </c>
      <c r="C291" s="13" t="s">
        <v>11</v>
      </c>
      <c r="D291" s="13" t="s">
        <v>12</v>
      </c>
      <c r="E291" s="13" t="s">
        <v>13</v>
      </c>
      <c r="F291" s="13" t="s">
        <v>14</v>
      </c>
      <c r="G291" s="13" t="s">
        <v>0</v>
      </c>
      <c r="H291" s="22"/>
      <c r="I291" s="57"/>
      <c r="J291" s="57"/>
      <c r="K291" s="57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 spans="1:28" x14ac:dyDescent="0.25">
      <c r="B292" s="14" t="s">
        <v>2</v>
      </c>
      <c r="C292" s="33"/>
      <c r="D292" s="25"/>
      <c r="E292" s="14"/>
      <c r="F292" s="24"/>
      <c r="G292" s="14"/>
      <c r="H292" s="22"/>
      <c r="I292" s="57"/>
      <c r="J292" s="57"/>
      <c r="K292" s="57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 spans="1:28" x14ac:dyDescent="0.25">
      <c r="B293" s="14" t="s">
        <v>3</v>
      </c>
      <c r="C293" s="26"/>
      <c r="D293" s="26"/>
      <c r="H293" s="22"/>
      <c r="I293" s="57"/>
      <c r="J293" s="57"/>
      <c r="K293" s="57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 spans="1:28" x14ac:dyDescent="0.25">
      <c r="B294" s="14" t="s">
        <v>4</v>
      </c>
      <c r="C294" s="26"/>
      <c r="D294" s="26"/>
      <c r="G294" s="14"/>
      <c r="H294" s="22"/>
      <c r="I294" s="57"/>
      <c r="J294" s="57"/>
      <c r="K294" s="57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 spans="1:28" x14ac:dyDescent="0.25">
      <c r="B295" s="14" t="s">
        <v>5</v>
      </c>
      <c r="C295" s="25"/>
      <c r="D295" s="25"/>
      <c r="E295" s="14"/>
      <c r="F295" s="24"/>
      <c r="G295" s="14"/>
      <c r="H295" s="22"/>
      <c r="I295" s="57"/>
      <c r="J295" s="57"/>
      <c r="K295" s="57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 spans="1:28" x14ac:dyDescent="0.25">
      <c r="B296" s="14" t="s">
        <v>6</v>
      </c>
      <c r="C296" s="42"/>
      <c r="D296" s="42"/>
      <c r="E296" s="14"/>
      <c r="G296" s="24"/>
      <c r="H296" s="22"/>
      <c r="I296" s="57"/>
      <c r="J296" s="57"/>
      <c r="K296" s="57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 spans="1:28" x14ac:dyDescent="0.25">
      <c r="B297" s="14" t="s">
        <v>7</v>
      </c>
      <c r="C297" s="42"/>
      <c r="D297" s="42"/>
      <c r="E297" s="14"/>
      <c r="F297" s="24"/>
      <c r="G297" s="14"/>
      <c r="H297" s="22"/>
      <c r="I297" s="57"/>
      <c r="J297" s="57"/>
      <c r="K297" s="57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 spans="1:28" x14ac:dyDescent="0.25">
      <c r="B298" s="14" t="s">
        <v>8</v>
      </c>
      <c r="C298" s="25"/>
      <c r="D298" s="25"/>
      <c r="E298" s="14"/>
      <c r="F298" s="24"/>
      <c r="G298" s="14"/>
      <c r="H298" s="22"/>
      <c r="I298" s="57"/>
      <c r="J298" s="57"/>
      <c r="K298" s="57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 spans="1:28" x14ac:dyDescent="0.25">
      <c r="B299" s="13" t="s">
        <v>26</v>
      </c>
      <c r="C299" s="32"/>
      <c r="D299" s="32"/>
      <c r="E299" s="415">
        <v>15</v>
      </c>
      <c r="H299" s="22"/>
      <c r="I299" s="57"/>
      <c r="J299" s="57"/>
      <c r="K299" s="57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 spans="1:28" x14ac:dyDescent="0.25">
      <c r="H300" s="22"/>
      <c r="I300" s="57"/>
      <c r="J300" s="57"/>
      <c r="K300" s="57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 spans="1:28" ht="30" x14ac:dyDescent="0.25">
      <c r="B301" s="13" t="s">
        <v>165</v>
      </c>
      <c r="C301" s="13" t="s">
        <v>11</v>
      </c>
      <c r="D301" s="13" t="s">
        <v>12</v>
      </c>
      <c r="E301" s="13" t="s">
        <v>13</v>
      </c>
      <c r="F301" s="13" t="s">
        <v>14</v>
      </c>
      <c r="G301" s="13" t="s">
        <v>0</v>
      </c>
      <c r="H301" s="22"/>
      <c r="I301" s="57"/>
      <c r="J301" s="57"/>
      <c r="K301" s="57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 spans="1:28" x14ac:dyDescent="0.25">
      <c r="B302" s="14" t="s">
        <v>2</v>
      </c>
      <c r="C302" s="33"/>
      <c r="D302" s="25"/>
      <c r="E302" s="14"/>
      <c r="F302" s="24"/>
      <c r="G302" s="14"/>
      <c r="H302" s="22"/>
      <c r="I302" s="57"/>
      <c r="J302" s="57"/>
      <c r="K302" s="57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 spans="1:28" x14ac:dyDescent="0.25">
      <c r="B303" s="14" t="s">
        <v>3</v>
      </c>
      <c r="C303" s="26"/>
      <c r="D303" s="26"/>
      <c r="H303" s="22"/>
      <c r="I303" s="57"/>
      <c r="J303" s="57"/>
      <c r="K303" s="57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 spans="1:28" x14ac:dyDescent="0.25">
      <c r="B304" s="14" t="s">
        <v>4</v>
      </c>
      <c r="C304" s="26"/>
      <c r="D304" s="26"/>
      <c r="G304" s="14"/>
      <c r="H304" s="22"/>
      <c r="I304" s="57"/>
      <c r="J304" s="57"/>
      <c r="K304" s="57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 spans="1:28" x14ac:dyDescent="0.25">
      <c r="B305" s="14" t="s">
        <v>5</v>
      </c>
      <c r="C305" s="25"/>
      <c r="D305" s="25"/>
      <c r="E305" s="14"/>
      <c r="F305" s="24"/>
      <c r="G305" s="14"/>
      <c r="H305" s="22"/>
      <c r="I305" s="57"/>
      <c r="J305" s="57"/>
      <c r="K305" s="57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 spans="1:28" x14ac:dyDescent="0.25">
      <c r="B306" s="14" t="s">
        <v>6</v>
      </c>
      <c r="C306" s="42"/>
      <c r="D306" s="42"/>
      <c r="E306" s="14"/>
      <c r="G306" s="24"/>
      <c r="H306" s="22"/>
      <c r="I306" s="57"/>
      <c r="J306" s="57"/>
      <c r="K306" s="57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 spans="1:28" x14ac:dyDescent="0.25">
      <c r="B307" s="14" t="s">
        <v>7</v>
      </c>
      <c r="C307" s="42"/>
      <c r="D307" s="42"/>
      <c r="E307" s="14"/>
      <c r="F307" s="24"/>
      <c r="G307" s="14"/>
      <c r="H307" s="22"/>
      <c r="I307" s="57"/>
      <c r="J307" s="57"/>
      <c r="K307" s="57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 spans="1:28" x14ac:dyDescent="0.25">
      <c r="A308" s="21"/>
      <c r="B308" s="14" t="s">
        <v>8</v>
      </c>
      <c r="C308" s="25"/>
      <c r="D308" s="25"/>
      <c r="E308" s="14"/>
      <c r="F308" s="24"/>
      <c r="G308" s="14"/>
      <c r="H308" s="22"/>
      <c r="I308" s="57"/>
      <c r="J308" s="57"/>
      <c r="K308" s="57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 spans="1:28" x14ac:dyDescent="0.25">
      <c r="B309" s="13" t="s">
        <v>26</v>
      </c>
      <c r="C309" s="32"/>
      <c r="D309" s="32"/>
      <c r="E309" s="415">
        <v>15</v>
      </c>
      <c r="F309" s="115" t="s">
        <v>393</v>
      </c>
      <c r="G309" s="145" t="s">
        <v>397</v>
      </c>
      <c r="H309" s="22"/>
      <c r="I309" s="57"/>
      <c r="J309" s="57"/>
      <c r="K309" s="57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86"/>
      <c r="AA309" s="186"/>
      <c r="AB309" s="186"/>
    </row>
    <row r="310" spans="1:28" ht="30" x14ac:dyDescent="0.25">
      <c r="A310" s="313" t="s">
        <v>336</v>
      </c>
      <c r="B310" s="35" t="s">
        <v>227</v>
      </c>
      <c r="C310" s="40"/>
      <c r="D310" s="41"/>
      <c r="E310" s="18">
        <f>SUM(E309+E299)</f>
        <v>30</v>
      </c>
      <c r="F310" s="415">
        <v>30</v>
      </c>
      <c r="G310" s="311">
        <f>SUM(E310+G289)-F310</f>
        <v>-1</v>
      </c>
      <c r="H310" s="43" t="s">
        <v>422</v>
      </c>
      <c r="I310" s="57"/>
      <c r="J310" s="57"/>
      <c r="K310" s="57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  <c r="W310" s="186"/>
      <c r="X310" s="186"/>
      <c r="Y310" s="186"/>
      <c r="Z310" s="186"/>
      <c r="AA310" s="186"/>
      <c r="AB310" s="186"/>
    </row>
    <row r="311" spans="1:28" x14ac:dyDescent="0.25">
      <c r="H311" s="22"/>
      <c r="I311" s="57"/>
      <c r="J311" s="57"/>
      <c r="K311" s="57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</row>
    <row r="312" spans="1:28" x14ac:dyDescent="0.25">
      <c r="I312" s="57"/>
      <c r="J312" s="57"/>
      <c r="K312" s="57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</row>
    <row r="313" spans="1:28" x14ac:dyDescent="0.25">
      <c r="I313" s="57"/>
      <c r="J313" s="57"/>
      <c r="K313" s="57"/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</row>
    <row r="314" spans="1:28" ht="61.5" customHeight="1" x14ac:dyDescent="0.9">
      <c r="A314" s="578" t="s">
        <v>252</v>
      </c>
      <c r="B314" s="578"/>
      <c r="C314" s="578"/>
      <c r="D314" s="578"/>
      <c r="E314" s="578"/>
      <c r="F314" s="578"/>
      <c r="G314" s="578"/>
      <c r="H314" s="578"/>
      <c r="I314" s="578"/>
      <c r="J314" s="578"/>
      <c r="K314" s="406"/>
      <c r="L314" s="406"/>
      <c r="M314" s="407"/>
      <c r="N314" s="407"/>
      <c r="O314" s="407"/>
      <c r="P314" s="407"/>
      <c r="Q314" s="407"/>
      <c r="R314" s="407"/>
      <c r="S314" s="407"/>
      <c r="T314" s="407"/>
      <c r="U314" s="407"/>
      <c r="V314" s="186"/>
    </row>
    <row r="315" spans="1:28" x14ac:dyDescent="0.25"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</row>
    <row r="316" spans="1:28" x14ac:dyDescent="0.25"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</row>
    <row r="317" spans="1:28" x14ac:dyDescent="0.25"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</row>
    <row r="318" spans="1:28" x14ac:dyDescent="0.25"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</row>
    <row r="319" spans="1:28" x14ac:dyDescent="0.25"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</row>
    <row r="320" spans="1:28" x14ac:dyDescent="0.25"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</row>
    <row r="321" spans="13:22" x14ac:dyDescent="0.25"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</row>
    <row r="322" spans="13:22" x14ac:dyDescent="0.25"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</row>
    <row r="323" spans="13:22" x14ac:dyDescent="0.25"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</row>
    <row r="324" spans="13:22" x14ac:dyDescent="0.25"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</row>
    <row r="325" spans="13:22" ht="61.5" customHeight="1" x14ac:dyDescent="0.25"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</row>
    <row r="326" spans="13:22" x14ac:dyDescent="0.25"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</row>
    <row r="327" spans="13:22" x14ac:dyDescent="0.25"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</row>
    <row r="328" spans="13:22" x14ac:dyDescent="0.25"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</row>
    <row r="329" spans="13:22" x14ac:dyDescent="0.25"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</row>
    <row r="330" spans="13:22" x14ac:dyDescent="0.25"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</row>
    <row r="331" spans="13:22" x14ac:dyDescent="0.25"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</row>
    <row r="332" spans="13:22" x14ac:dyDescent="0.25">
      <c r="M332" s="186"/>
      <c r="N332" s="186"/>
      <c r="O332" s="186"/>
      <c r="P332" s="186"/>
      <c r="Q332" s="186"/>
      <c r="R332" s="186"/>
      <c r="S332" s="186"/>
      <c r="T332" s="186"/>
      <c r="U332" s="186"/>
      <c r="V332" s="186"/>
    </row>
    <row r="333" spans="13:22" x14ac:dyDescent="0.25">
      <c r="M333" s="186"/>
      <c r="N333" s="186"/>
      <c r="O333" s="186"/>
      <c r="P333" s="186"/>
      <c r="Q333" s="186"/>
      <c r="R333" s="186"/>
      <c r="S333" s="186"/>
      <c r="T333" s="186"/>
      <c r="U333" s="186"/>
      <c r="V333" s="186"/>
    </row>
    <row r="334" spans="13:22" x14ac:dyDescent="0.25">
      <c r="M334" s="15"/>
      <c r="N334" s="15"/>
      <c r="O334" s="22"/>
      <c r="P334" s="22"/>
      <c r="V334" s="15"/>
    </row>
    <row r="335" spans="13:22" x14ac:dyDescent="0.25">
      <c r="M335" s="15"/>
      <c r="N335" s="15"/>
      <c r="O335" s="22"/>
      <c r="P335" s="22"/>
      <c r="V335" s="15"/>
    </row>
    <row r="336" spans="13:22" x14ac:dyDescent="0.25">
      <c r="M336" s="15"/>
      <c r="N336" s="15"/>
      <c r="O336" s="22"/>
      <c r="P336" s="22"/>
      <c r="V336" s="15"/>
    </row>
    <row r="337" spans="13:22" x14ac:dyDescent="0.25">
      <c r="M337" s="15"/>
      <c r="N337" s="15"/>
      <c r="O337" s="22"/>
      <c r="P337" s="22"/>
      <c r="V337" s="15"/>
    </row>
    <row r="338" spans="13:22" x14ac:dyDescent="0.25">
      <c r="M338" s="15"/>
      <c r="N338" s="15"/>
      <c r="O338" s="22"/>
      <c r="P338" s="22"/>
      <c r="V338" s="15"/>
    </row>
    <row r="339" spans="13:22" x14ac:dyDescent="0.25">
      <c r="M339" s="15"/>
      <c r="N339" s="15"/>
      <c r="O339" s="22"/>
      <c r="P339" s="22"/>
      <c r="V339" s="15"/>
    </row>
    <row r="340" spans="13:22" x14ac:dyDescent="0.25">
      <c r="M340" s="15"/>
      <c r="N340" s="15"/>
      <c r="O340" s="22"/>
      <c r="P340" s="22"/>
      <c r="V340" s="15"/>
    </row>
    <row r="341" spans="13:22" x14ac:dyDescent="0.25">
      <c r="M341" s="15"/>
      <c r="N341" s="15"/>
      <c r="O341" s="22"/>
      <c r="P341" s="22"/>
      <c r="V341" s="15"/>
    </row>
    <row r="342" spans="13:22" x14ac:dyDescent="0.25">
      <c r="M342" s="15"/>
      <c r="N342" s="15"/>
      <c r="O342" s="22"/>
      <c r="P342" s="22"/>
      <c r="V342" s="15"/>
    </row>
    <row r="343" spans="13:22" x14ac:dyDescent="0.25">
      <c r="M343" s="15"/>
      <c r="N343" s="15"/>
      <c r="O343" s="22"/>
      <c r="P343" s="22"/>
      <c r="V343" s="15"/>
    </row>
    <row r="344" spans="13:22" x14ac:dyDescent="0.25">
      <c r="M344" s="15"/>
      <c r="N344" s="15"/>
      <c r="O344" s="22"/>
      <c r="P344" s="22"/>
      <c r="V344" s="15"/>
    </row>
    <row r="345" spans="13:22" x14ac:dyDescent="0.25">
      <c r="M345" s="15"/>
      <c r="N345" s="15"/>
      <c r="O345" s="22"/>
      <c r="P345" s="22"/>
      <c r="V345" s="15"/>
    </row>
    <row r="346" spans="13:22" x14ac:dyDescent="0.25">
      <c r="M346" s="15"/>
      <c r="N346" s="15"/>
      <c r="O346" s="22"/>
      <c r="P346" s="22"/>
      <c r="V346" s="15"/>
    </row>
    <row r="347" spans="13:22" x14ac:dyDescent="0.25">
      <c r="M347" s="15"/>
      <c r="N347" s="15"/>
      <c r="O347" s="22"/>
      <c r="P347" s="22"/>
      <c r="V347" s="15"/>
    </row>
    <row r="348" spans="13:22" x14ac:dyDescent="0.25">
      <c r="M348" s="15"/>
      <c r="N348" s="15"/>
      <c r="O348" s="22"/>
      <c r="P348" s="22"/>
      <c r="V348" s="15"/>
    </row>
    <row r="349" spans="13:22" x14ac:dyDescent="0.25">
      <c r="M349" s="15"/>
      <c r="N349" s="15"/>
      <c r="O349" s="22"/>
      <c r="P349" s="22"/>
      <c r="V349" s="15"/>
    </row>
    <row r="350" spans="13:22" x14ac:dyDescent="0.25">
      <c r="M350" s="15"/>
      <c r="N350" s="15"/>
      <c r="O350" s="22"/>
      <c r="P350" s="22"/>
      <c r="V350" s="15"/>
    </row>
    <row r="351" spans="13:22" x14ac:dyDescent="0.25">
      <c r="M351" s="15"/>
      <c r="N351" s="15"/>
      <c r="O351" s="22"/>
      <c r="P351" s="22"/>
      <c r="V351" s="15"/>
    </row>
    <row r="352" spans="13:22" x14ac:dyDescent="0.25">
      <c r="M352" s="15"/>
      <c r="N352" s="15"/>
      <c r="O352" s="22"/>
      <c r="P352" s="22"/>
      <c r="V352" s="15"/>
    </row>
    <row r="353" spans="13:22" x14ac:dyDescent="0.25">
      <c r="M353" s="15"/>
      <c r="N353" s="15"/>
      <c r="O353" s="22"/>
      <c r="P353" s="22"/>
      <c r="V353" s="15"/>
    </row>
    <row r="354" spans="13:22" x14ac:dyDescent="0.25">
      <c r="M354" s="15"/>
      <c r="N354" s="15"/>
      <c r="O354" s="22"/>
      <c r="P354" s="22"/>
      <c r="V354" s="15"/>
    </row>
    <row r="355" spans="13:22" x14ac:dyDescent="0.25">
      <c r="M355" s="15"/>
      <c r="N355" s="15"/>
      <c r="O355" s="22"/>
      <c r="P355" s="22"/>
      <c r="V355" s="15"/>
    </row>
    <row r="356" spans="13:22" x14ac:dyDescent="0.25">
      <c r="M356" s="15"/>
      <c r="N356" s="15"/>
      <c r="O356" s="22"/>
      <c r="P356" s="22"/>
      <c r="V356" s="15"/>
    </row>
    <row r="357" spans="13:22" x14ac:dyDescent="0.25">
      <c r="M357" s="15"/>
      <c r="N357" s="15"/>
      <c r="O357" s="22"/>
      <c r="P357" s="22"/>
      <c r="V357" s="15"/>
    </row>
    <row r="358" spans="13:22" x14ac:dyDescent="0.25">
      <c r="M358" s="15"/>
      <c r="N358" s="15"/>
      <c r="O358" s="22"/>
      <c r="P358" s="22"/>
      <c r="V358" s="15"/>
    </row>
    <row r="359" spans="13:22" x14ac:dyDescent="0.25">
      <c r="M359" s="15"/>
      <c r="N359" s="15"/>
      <c r="O359" s="22"/>
      <c r="P359" s="22"/>
      <c r="V359" s="15"/>
    </row>
    <row r="360" spans="13:22" x14ac:dyDescent="0.25">
      <c r="M360" s="15"/>
      <c r="N360" s="15"/>
      <c r="O360" s="22"/>
      <c r="P360" s="22"/>
      <c r="V360" s="15"/>
    </row>
    <row r="361" spans="13:22" x14ac:dyDescent="0.25">
      <c r="M361" s="15"/>
      <c r="N361" s="15"/>
      <c r="O361" s="22"/>
      <c r="P361" s="22"/>
      <c r="V361" s="15"/>
    </row>
    <row r="362" spans="13:22" x14ac:dyDescent="0.25">
      <c r="M362" s="15"/>
      <c r="N362" s="15"/>
      <c r="O362" s="22"/>
      <c r="P362" s="22"/>
      <c r="V362" s="15"/>
    </row>
    <row r="363" spans="13:22" x14ac:dyDescent="0.25">
      <c r="M363" s="15"/>
      <c r="N363" s="15"/>
      <c r="O363" s="22"/>
      <c r="P363" s="22"/>
      <c r="V363" s="15"/>
    </row>
    <row r="364" spans="13:22" x14ac:dyDescent="0.25">
      <c r="M364" s="15"/>
      <c r="N364" s="15"/>
      <c r="O364" s="22"/>
      <c r="P364" s="22"/>
      <c r="V364" s="15"/>
    </row>
    <row r="365" spans="13:22" x14ac:dyDescent="0.25">
      <c r="M365" s="15"/>
      <c r="N365" s="15"/>
      <c r="O365" s="22"/>
      <c r="P365" s="22"/>
      <c r="V365" s="15"/>
    </row>
    <row r="366" spans="13:22" x14ac:dyDescent="0.25">
      <c r="M366" s="15"/>
      <c r="N366" s="15"/>
    </row>
  </sheetData>
  <mergeCells count="13">
    <mergeCell ref="U191:U197"/>
    <mergeCell ref="H193:H199"/>
    <mergeCell ref="A125:H126"/>
    <mergeCell ref="A9:K10"/>
    <mergeCell ref="A1:G3"/>
    <mergeCell ref="M8:T8"/>
    <mergeCell ref="A8:H8"/>
    <mergeCell ref="A314:J314"/>
    <mergeCell ref="C252:G254"/>
    <mergeCell ref="C263:G265"/>
    <mergeCell ref="A218:H218"/>
    <mergeCell ref="A225:H225"/>
    <mergeCell ref="D219:H2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B4E5-C973-4F22-B2F5-ED3DB35FA9DE}">
  <dimension ref="A1:AB228"/>
  <sheetViews>
    <sheetView topLeftCell="H121" zoomScale="55" zoomScaleNormal="55" workbookViewId="0">
      <selection activeCell="AH139" sqref="AH139"/>
    </sheetView>
  </sheetViews>
  <sheetFormatPr defaultColWidth="17.42578125" defaultRowHeight="15" x14ac:dyDescent="0.25"/>
  <cols>
    <col min="1" max="1" width="17.42578125" style="15"/>
    <col min="2" max="2" width="23.28515625" bestFit="1" customWidth="1"/>
    <col min="7" max="7" width="55.7109375" bestFit="1" customWidth="1"/>
    <col min="15" max="15" width="17.42578125" style="15"/>
  </cols>
  <sheetData>
    <row r="1" spans="1:10" ht="85.5" x14ac:dyDescent="0.45">
      <c r="A1" s="252" t="s">
        <v>318</v>
      </c>
    </row>
    <row r="2" spans="1:10" x14ac:dyDescent="0.25">
      <c r="A2" s="245" t="s">
        <v>145</v>
      </c>
      <c r="B2" s="11"/>
      <c r="C2" s="11"/>
      <c r="D2" s="11"/>
      <c r="E2" s="11"/>
      <c r="F2" s="11"/>
    </row>
    <row r="3" spans="1:10" x14ac:dyDescent="0.25">
      <c r="B3" s="2" t="s">
        <v>11</v>
      </c>
      <c r="C3" s="2" t="s">
        <v>12</v>
      </c>
      <c r="D3" s="2" t="s">
        <v>13</v>
      </c>
      <c r="E3" s="2" t="s">
        <v>14</v>
      </c>
      <c r="F3" s="2" t="s">
        <v>0</v>
      </c>
    </row>
    <row r="4" spans="1:10" x14ac:dyDescent="0.25">
      <c r="A4" s="14" t="s">
        <v>2</v>
      </c>
      <c r="B4" s="6"/>
      <c r="C4" s="4"/>
      <c r="D4" s="3"/>
      <c r="E4" s="5"/>
      <c r="F4" s="3"/>
      <c r="G4" s="581" t="s">
        <v>147</v>
      </c>
      <c r="H4" s="581"/>
      <c r="I4" s="581"/>
      <c r="J4" s="581"/>
    </row>
    <row r="5" spans="1:10" x14ac:dyDescent="0.25">
      <c r="A5" s="14" t="s">
        <v>3</v>
      </c>
      <c r="G5" s="581"/>
      <c r="H5" s="581"/>
      <c r="I5" s="581"/>
      <c r="J5" s="581"/>
    </row>
    <row r="6" spans="1:10" x14ac:dyDescent="0.25">
      <c r="A6" s="14" t="s">
        <v>4</v>
      </c>
      <c r="B6" s="7"/>
      <c r="C6" s="7"/>
      <c r="D6" s="3"/>
      <c r="E6" s="5"/>
      <c r="F6" s="3"/>
      <c r="G6" s="581"/>
      <c r="H6" s="581"/>
      <c r="I6" s="581"/>
      <c r="J6" s="581"/>
    </row>
    <row r="7" spans="1:10" x14ac:dyDescent="0.25">
      <c r="A7" s="14" t="s">
        <v>5</v>
      </c>
      <c r="B7" s="4">
        <v>0.54166666666666663</v>
      </c>
      <c r="C7" s="4">
        <v>0.125</v>
      </c>
      <c r="D7" s="3">
        <v>2</v>
      </c>
      <c r="E7" s="5"/>
      <c r="F7" s="3" t="s">
        <v>146</v>
      </c>
      <c r="G7" s="581"/>
      <c r="H7" s="581"/>
      <c r="I7" s="581"/>
      <c r="J7" s="581"/>
    </row>
    <row r="8" spans="1:10" x14ac:dyDescent="0.25">
      <c r="A8" s="14" t="s">
        <v>6</v>
      </c>
      <c r="B8" s="3"/>
      <c r="C8" s="3"/>
      <c r="D8" s="3"/>
      <c r="E8" s="5"/>
      <c r="F8" s="3"/>
      <c r="G8" s="581"/>
      <c r="H8" s="581"/>
      <c r="I8" s="581"/>
      <c r="J8" s="581"/>
    </row>
    <row r="9" spans="1:10" x14ac:dyDescent="0.25">
      <c r="A9" s="14" t="s">
        <v>7</v>
      </c>
      <c r="B9" s="3"/>
      <c r="C9" s="3"/>
      <c r="D9" s="3"/>
      <c r="E9" s="5"/>
      <c r="F9" s="3"/>
      <c r="G9" s="581"/>
      <c r="H9" s="581"/>
      <c r="I9" s="581"/>
      <c r="J9" s="581"/>
    </row>
    <row r="10" spans="1:10" x14ac:dyDescent="0.25">
      <c r="A10" s="14" t="s">
        <v>8</v>
      </c>
      <c r="B10" s="4"/>
      <c r="C10" s="4"/>
      <c r="D10" s="3"/>
      <c r="E10" s="5"/>
      <c r="F10" s="3"/>
      <c r="G10" s="581"/>
      <c r="H10" s="581"/>
      <c r="I10" s="581"/>
      <c r="J10" s="581"/>
    </row>
    <row r="11" spans="1:10" x14ac:dyDescent="0.25">
      <c r="A11" s="13" t="s">
        <v>26</v>
      </c>
      <c r="B11" s="1"/>
      <c r="C11" s="1"/>
      <c r="D11" s="1">
        <v>2</v>
      </c>
    </row>
    <row r="12" spans="1:10" x14ac:dyDescent="0.25">
      <c r="A12" s="13"/>
      <c r="B12" s="1"/>
      <c r="C12" s="1"/>
      <c r="D12" s="1"/>
    </row>
    <row r="13" spans="1:10" ht="15.75" thickBot="1" x14ac:dyDescent="0.3">
      <c r="A13" s="13"/>
      <c r="B13" s="1"/>
      <c r="C13" s="1"/>
      <c r="D13" s="1"/>
    </row>
    <row r="14" spans="1:10" ht="30.75" thickBot="1" x14ac:dyDescent="0.3">
      <c r="A14" s="254" t="s">
        <v>320</v>
      </c>
      <c r="B14" s="222" t="s">
        <v>319</v>
      </c>
      <c r="C14" s="91" t="s">
        <v>227</v>
      </c>
      <c r="D14" s="224" t="s">
        <v>13</v>
      </c>
      <c r="E14" s="224" t="s">
        <v>313</v>
      </c>
      <c r="F14" s="223" t="s">
        <v>314</v>
      </c>
      <c r="G14" s="377" t="s">
        <v>460</v>
      </c>
    </row>
    <row r="15" spans="1:10" x14ac:dyDescent="0.25">
      <c r="A15" s="593" t="s">
        <v>345</v>
      </c>
      <c r="B15" s="593"/>
      <c r="C15" s="593"/>
      <c r="D15" s="593"/>
      <c r="E15" s="593"/>
      <c r="F15" s="594"/>
      <c r="G15" s="117"/>
      <c r="H15" s="117"/>
      <c r="I15" s="117"/>
      <c r="J15" s="117"/>
    </row>
    <row r="16" spans="1:10" x14ac:dyDescent="0.25">
      <c r="A16" s="581"/>
      <c r="B16" s="581"/>
      <c r="C16" s="581"/>
      <c r="D16" s="581"/>
      <c r="E16" s="581"/>
      <c r="F16" s="595"/>
      <c r="G16" s="117"/>
      <c r="H16" s="117"/>
      <c r="I16" s="117"/>
      <c r="J16" s="117"/>
    </row>
    <row r="17" spans="1:15" x14ac:dyDescent="0.25">
      <c r="A17" s="581"/>
      <c r="B17" s="581"/>
      <c r="C17" s="581"/>
      <c r="D17" s="581"/>
      <c r="E17" s="581"/>
      <c r="F17" s="595"/>
      <c r="G17" s="117"/>
      <c r="H17" s="117"/>
      <c r="I17" s="117"/>
      <c r="J17" s="117"/>
    </row>
    <row r="18" spans="1:15" x14ac:dyDescent="0.25">
      <c r="C18" s="219" t="s">
        <v>321</v>
      </c>
      <c r="D18" s="220">
        <v>4</v>
      </c>
      <c r="E18" s="350"/>
      <c r="F18" s="221"/>
      <c r="G18" s="117"/>
      <c r="H18" s="117"/>
      <c r="I18" s="117"/>
      <c r="J18" s="117"/>
    </row>
    <row r="19" spans="1:15" x14ac:dyDescent="0.25">
      <c r="C19" s="219" t="s">
        <v>322</v>
      </c>
      <c r="D19" s="220">
        <v>4</v>
      </c>
      <c r="E19" s="320" t="e">
        <f>SUM(#REF!)</f>
        <v>#REF!</v>
      </c>
      <c r="F19" s="221"/>
      <c r="G19" s="117"/>
      <c r="H19" s="117"/>
      <c r="I19" s="117"/>
      <c r="J19" s="117"/>
    </row>
    <row r="20" spans="1:15" x14ac:dyDescent="0.25">
      <c r="C20" s="219" t="s">
        <v>323</v>
      </c>
      <c r="D20" s="220">
        <v>4</v>
      </c>
      <c r="E20" s="320" t="e">
        <f>SUM(#REF!)</f>
        <v>#REF!</v>
      </c>
      <c r="F20" s="221"/>
      <c r="G20" s="117" t="s">
        <v>409</v>
      </c>
      <c r="H20" s="117"/>
      <c r="I20" s="117"/>
      <c r="J20" s="117"/>
    </row>
    <row r="21" spans="1:15" ht="30" x14ac:dyDescent="0.25">
      <c r="C21" s="219" t="s">
        <v>324</v>
      </c>
      <c r="D21" s="220">
        <v>4</v>
      </c>
      <c r="E21" s="257"/>
      <c r="F21" s="221"/>
      <c r="G21" s="117"/>
      <c r="H21" s="117"/>
      <c r="I21" s="117"/>
      <c r="J21" s="117"/>
    </row>
    <row r="22" spans="1:15" x14ac:dyDescent="0.25">
      <c r="C22" s="255" t="s">
        <v>325</v>
      </c>
      <c r="D22" s="220">
        <v>4</v>
      </c>
      <c r="E22" s="320" t="e">
        <f>SUM(#REF!)</f>
        <v>#REF!</v>
      </c>
      <c r="F22" s="221"/>
      <c r="G22" s="117"/>
      <c r="H22" s="117"/>
      <c r="I22" s="117"/>
      <c r="J22" s="117"/>
    </row>
    <row r="23" spans="1:15" x14ac:dyDescent="0.25">
      <c r="C23" s="255" t="s">
        <v>326</v>
      </c>
      <c r="D23" s="220">
        <v>4</v>
      </c>
      <c r="E23" s="320" t="e">
        <f>SUM(#REF!)</f>
        <v>#REF!</v>
      </c>
      <c r="F23" s="221"/>
      <c r="G23" s="117"/>
      <c r="H23" s="117"/>
      <c r="I23" s="117"/>
      <c r="J23" s="117"/>
    </row>
    <row r="24" spans="1:15" x14ac:dyDescent="0.25">
      <c r="C24" s="219" t="s">
        <v>327</v>
      </c>
      <c r="D24" s="220">
        <v>4</v>
      </c>
      <c r="E24" s="320" t="e">
        <f>SUM(#REF!)</f>
        <v>#REF!</v>
      </c>
      <c r="F24" s="221"/>
      <c r="G24" s="117"/>
      <c r="H24" s="117"/>
      <c r="I24" s="117"/>
      <c r="J24" s="117"/>
    </row>
    <row r="25" spans="1:15" x14ac:dyDescent="0.25">
      <c r="C25" s="219" t="s">
        <v>328</v>
      </c>
      <c r="D25" s="220">
        <v>4</v>
      </c>
      <c r="E25" s="320" t="e">
        <f>SUM(#REF!)</f>
        <v>#REF!</v>
      </c>
      <c r="F25" s="221"/>
      <c r="G25" s="117"/>
      <c r="H25" s="117"/>
      <c r="I25" s="117"/>
      <c r="J25" s="117"/>
    </row>
    <row r="26" spans="1:15" x14ac:dyDescent="0.25">
      <c r="C26" s="219" t="s">
        <v>329</v>
      </c>
      <c r="D26" s="220">
        <v>4</v>
      </c>
      <c r="E26" s="320" t="e">
        <f>SUM(#REF!)</f>
        <v>#REF!</v>
      </c>
      <c r="F26" s="221"/>
      <c r="G26" s="117" t="s">
        <v>410</v>
      </c>
      <c r="H26" s="117"/>
      <c r="I26" s="117"/>
      <c r="J26" s="117"/>
    </row>
    <row r="27" spans="1:15" x14ac:dyDescent="0.25">
      <c r="C27" s="219" t="s">
        <v>330</v>
      </c>
      <c r="D27" s="220">
        <v>2</v>
      </c>
      <c r="E27" s="320" t="e">
        <f>SUM(#REF!)</f>
        <v>#REF!</v>
      </c>
      <c r="F27" s="221"/>
      <c r="G27" s="117" t="s">
        <v>410</v>
      </c>
      <c r="H27" s="117"/>
      <c r="I27" s="117"/>
      <c r="J27" s="117"/>
    </row>
    <row r="28" spans="1:15" x14ac:dyDescent="0.25">
      <c r="C28" s="255" t="s">
        <v>331</v>
      </c>
      <c r="D28" s="220">
        <v>4</v>
      </c>
      <c r="E28" s="320" t="e">
        <f>SUM(#REF!)</f>
        <v>#REF!</v>
      </c>
      <c r="F28" s="221"/>
      <c r="G28" s="117"/>
      <c r="H28" s="117"/>
      <c r="I28" s="117"/>
      <c r="J28" s="117"/>
    </row>
    <row r="29" spans="1:15" x14ac:dyDescent="0.25">
      <c r="C29" s="219" t="s">
        <v>332</v>
      </c>
      <c r="D29" s="220">
        <v>4</v>
      </c>
      <c r="E29" s="320" t="e">
        <f>SUM(#REF!)</f>
        <v>#REF!</v>
      </c>
      <c r="F29" s="221"/>
      <c r="G29" s="117"/>
      <c r="H29" s="117"/>
      <c r="I29" s="117"/>
      <c r="J29" s="117"/>
    </row>
    <row r="30" spans="1:15" x14ac:dyDescent="0.25">
      <c r="C30" s="219" t="s">
        <v>406</v>
      </c>
      <c r="D30" s="220">
        <v>4</v>
      </c>
      <c r="E30" s="320" t="e">
        <f>SUM(#REF!)</f>
        <v>#REF!</v>
      </c>
      <c r="F30" s="221"/>
      <c r="G30" s="117"/>
      <c r="H30" s="117"/>
      <c r="I30" s="117"/>
      <c r="J30" s="117"/>
    </row>
    <row r="31" spans="1:15" x14ac:dyDescent="0.25">
      <c r="C31" s="255" t="s">
        <v>407</v>
      </c>
      <c r="D31" s="220">
        <v>4</v>
      </c>
      <c r="E31" s="320" t="e">
        <f>SUM(#REF!)</f>
        <v>#REF!</v>
      </c>
      <c r="F31" s="221"/>
      <c r="G31" s="117" t="s">
        <v>411</v>
      </c>
      <c r="H31" s="117"/>
      <c r="M31" s="15"/>
      <c r="O31"/>
    </row>
    <row r="32" spans="1:15" x14ac:dyDescent="0.25">
      <c r="C32" s="219" t="s">
        <v>333</v>
      </c>
      <c r="D32" s="220">
        <v>4</v>
      </c>
      <c r="E32" s="257">
        <v>4</v>
      </c>
      <c r="F32" s="221">
        <v>0</v>
      </c>
      <c r="G32" s="378" t="s">
        <v>461</v>
      </c>
      <c r="H32" s="117"/>
    </row>
    <row r="33" spans="1:28" x14ac:dyDescent="0.25">
      <c r="C33" s="219" t="s">
        <v>334</v>
      </c>
      <c r="D33" s="220">
        <v>4</v>
      </c>
      <c r="E33" s="257">
        <v>0</v>
      </c>
      <c r="F33" s="221">
        <v>4</v>
      </c>
      <c r="G33" s="117"/>
      <c r="H33" s="117"/>
    </row>
    <row r="34" spans="1:28" x14ac:dyDescent="0.25">
      <c r="C34" s="255" t="s">
        <v>335</v>
      </c>
      <c r="D34" s="220">
        <v>4</v>
      </c>
      <c r="E34" s="257">
        <v>0</v>
      </c>
      <c r="F34" s="221">
        <v>4</v>
      </c>
      <c r="G34" s="117"/>
      <c r="H34" s="117"/>
      <c r="I34" s="15"/>
    </row>
    <row r="35" spans="1:28" ht="30" x14ac:dyDescent="0.25">
      <c r="C35" s="219" t="s">
        <v>336</v>
      </c>
      <c r="D35" s="256"/>
      <c r="E35" s="257">
        <v>0</v>
      </c>
      <c r="F35" s="258">
        <v>4</v>
      </c>
      <c r="G35" s="117"/>
      <c r="H35" s="117"/>
    </row>
    <row r="36" spans="1:28" ht="30" x14ac:dyDescent="0.25">
      <c r="C36" s="219" t="s">
        <v>337</v>
      </c>
      <c r="D36" s="256"/>
      <c r="E36" s="257"/>
      <c r="F36" s="258"/>
      <c r="G36" s="117"/>
      <c r="H36" s="117"/>
    </row>
    <row r="37" spans="1:28" x14ac:dyDescent="0.25">
      <c r="C37" s="219" t="s">
        <v>338</v>
      </c>
      <c r="D37" s="256"/>
      <c r="E37" s="257"/>
      <c r="F37" s="258"/>
      <c r="G37" s="117"/>
    </row>
    <row r="38" spans="1:28" ht="30" x14ac:dyDescent="0.25">
      <c r="C38" s="219" t="s">
        <v>339</v>
      </c>
      <c r="D38" s="256"/>
      <c r="E38" s="257"/>
      <c r="O38" s="117"/>
    </row>
    <row r="39" spans="1:28" ht="30" x14ac:dyDescent="0.25">
      <c r="C39" s="219" t="s">
        <v>340</v>
      </c>
      <c r="D39" s="256"/>
      <c r="E39" s="257"/>
      <c r="O39"/>
    </row>
    <row r="40" spans="1:28" ht="30" x14ac:dyDescent="0.25">
      <c r="C40" s="219" t="s">
        <v>341</v>
      </c>
      <c r="D40" s="256"/>
      <c r="E40" s="257"/>
      <c r="O40"/>
    </row>
    <row r="41" spans="1:28" ht="30" x14ac:dyDescent="0.25">
      <c r="C41" s="219" t="s">
        <v>342</v>
      </c>
      <c r="D41" s="256"/>
      <c r="E41" s="257"/>
      <c r="O41"/>
    </row>
    <row r="42" spans="1:28" ht="30" x14ac:dyDescent="0.25">
      <c r="C42" s="219" t="s">
        <v>343</v>
      </c>
      <c r="D42" s="256"/>
      <c r="E42" s="257"/>
    </row>
    <row r="43" spans="1:28" ht="30" x14ac:dyDescent="0.25">
      <c r="C43" s="255" t="s">
        <v>344</v>
      </c>
      <c r="D43" s="256"/>
      <c r="E43" s="257"/>
    </row>
    <row r="44" spans="1:28" ht="18.75" x14ac:dyDescent="0.3">
      <c r="A44" s="596" t="s">
        <v>346</v>
      </c>
      <c r="B44" s="379" t="s">
        <v>462</v>
      </c>
      <c r="C44" s="219" t="s">
        <v>26</v>
      </c>
      <c r="D44" s="220">
        <f>SUM(D18:D43)</f>
        <v>66</v>
      </c>
      <c r="E44" s="220" t="e">
        <f>SUM(E18:E43)</f>
        <v>#REF!</v>
      </c>
      <c r="F44" s="258"/>
      <c r="G44" s="117" t="s">
        <v>463</v>
      </c>
    </row>
    <row r="45" spans="1:28" ht="37.5" x14ac:dyDescent="0.3">
      <c r="A45" s="597"/>
      <c r="B45" s="380" t="s">
        <v>464</v>
      </c>
      <c r="C45" s="381" t="s">
        <v>465</v>
      </c>
      <c r="E45" s="320" t="e">
        <f>SUM(E44-E20-3)</f>
        <v>#REF!</v>
      </c>
      <c r="F45" s="258"/>
      <c r="G45" s="117" t="s">
        <v>412</v>
      </c>
    </row>
    <row r="46" spans="1:28" ht="18.75" x14ac:dyDescent="0.3">
      <c r="A46" s="598"/>
      <c r="B46" s="382" t="s">
        <v>466</v>
      </c>
      <c r="C46" s="219" t="s">
        <v>427</v>
      </c>
      <c r="D46" s="256"/>
      <c r="E46" s="383" t="e">
        <f>SUM(E45-D44)</f>
        <v>#REF!</v>
      </c>
      <c r="F46" s="258"/>
      <c r="G46" t="s">
        <v>467</v>
      </c>
      <c r="J46" s="117"/>
      <c r="K46" s="117"/>
      <c r="L46" s="117"/>
      <c r="M46" s="117"/>
      <c r="N46" s="117"/>
      <c r="O46" s="22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</row>
    <row r="47" spans="1:28" x14ac:dyDescent="0.25">
      <c r="D47" s="117"/>
      <c r="E47" s="117"/>
      <c r="F47" s="117"/>
      <c r="G47" s="117"/>
      <c r="J47" s="117"/>
      <c r="K47" s="117"/>
      <c r="L47" s="117"/>
      <c r="M47" s="117"/>
      <c r="N47" s="117"/>
      <c r="O47" s="22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</row>
    <row r="48" spans="1:28" s="15" customFormat="1" ht="61.5" customHeight="1" x14ac:dyDescent="0.9">
      <c r="A48" s="578" t="s">
        <v>252</v>
      </c>
      <c r="B48" s="578"/>
      <c r="C48" s="578"/>
      <c r="D48" s="578"/>
      <c r="E48" s="578"/>
      <c r="F48" s="578"/>
      <c r="G48" s="578"/>
      <c r="H48" s="578"/>
      <c r="I48" s="578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s="15" customFormat="1" x14ac:dyDescent="0.25">
      <c r="H49" s="22"/>
      <c r="I49" s="57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s="15" customFormat="1" ht="30" x14ac:dyDescent="0.25">
      <c r="A50" s="378" t="s">
        <v>461</v>
      </c>
      <c r="B50" s="13" t="s">
        <v>157</v>
      </c>
      <c r="C50" s="13" t="s">
        <v>11</v>
      </c>
      <c r="D50" s="13" t="s">
        <v>12</v>
      </c>
      <c r="E50" s="13" t="s">
        <v>13</v>
      </c>
      <c r="F50" s="13" t="s">
        <v>14</v>
      </c>
      <c r="G50" s="20" t="s">
        <v>0</v>
      </c>
      <c r="H50" s="22"/>
      <c r="I50" s="57"/>
      <c r="J50" s="22"/>
      <c r="K50" s="22"/>
      <c r="L50" s="22"/>
      <c r="M50" s="20"/>
      <c r="N50" s="20"/>
      <c r="O50" s="20"/>
      <c r="P50" s="20"/>
      <c r="Q50" s="20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s="15" customFormat="1" x14ac:dyDescent="0.25">
      <c r="A51" s="15">
        <v>2</v>
      </c>
      <c r="B51" s="21" t="s">
        <v>2</v>
      </c>
      <c r="C51" s="49"/>
      <c r="D51" s="49"/>
      <c r="E51" s="138"/>
      <c r="F51" s="23"/>
      <c r="G51" s="21"/>
      <c r="H51" s="22"/>
      <c r="I51" s="57"/>
      <c r="J51" s="22"/>
      <c r="K51" s="22"/>
      <c r="L51" s="22"/>
      <c r="M51" s="21"/>
      <c r="N51" s="49"/>
      <c r="O51" s="49"/>
      <c r="P51" s="138"/>
      <c r="Q51" s="23"/>
      <c r="R51" s="22"/>
      <c r="S51" s="21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s="15" customFormat="1" x14ac:dyDescent="0.25">
      <c r="A52" s="15">
        <v>3</v>
      </c>
      <c r="B52" s="21" t="s">
        <v>3</v>
      </c>
      <c r="C52" s="48"/>
      <c r="D52" s="49"/>
      <c r="E52" s="138"/>
      <c r="F52" s="23"/>
      <c r="H52" s="22"/>
      <c r="I52" s="57"/>
      <c r="J52" s="22"/>
      <c r="K52" s="22"/>
      <c r="L52" s="22"/>
      <c r="M52" s="21"/>
      <c r="N52" s="48"/>
      <c r="O52" s="49"/>
      <c r="P52" s="138"/>
      <c r="Q52" s="23"/>
      <c r="R52" s="22"/>
      <c r="S52" s="21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s="15" customFormat="1" x14ac:dyDescent="0.25">
      <c r="A53" s="15">
        <v>4</v>
      </c>
      <c r="B53" s="21" t="s">
        <v>4</v>
      </c>
      <c r="C53" s="51"/>
      <c r="D53" s="51"/>
      <c r="E53" s="138"/>
      <c r="F53" s="23"/>
      <c r="G53" s="22"/>
      <c r="H53" s="22"/>
      <c r="I53" s="57"/>
      <c r="J53" s="22"/>
      <c r="K53" s="22"/>
      <c r="L53" s="22"/>
      <c r="M53" s="21"/>
      <c r="N53" s="51"/>
      <c r="O53" s="51"/>
      <c r="P53" s="138"/>
      <c r="Q53" s="23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s="15" customFormat="1" x14ac:dyDescent="0.25">
      <c r="A54" s="15">
        <v>5</v>
      </c>
      <c r="B54" s="21" t="s">
        <v>5</v>
      </c>
      <c r="C54" s="384">
        <v>0.54166666666666663</v>
      </c>
      <c r="D54" s="384">
        <v>0.625</v>
      </c>
      <c r="E54" s="385">
        <v>2</v>
      </c>
      <c r="F54" s="22"/>
      <c r="G54" s="22" t="s">
        <v>468</v>
      </c>
      <c r="H54" s="22"/>
      <c r="I54" s="57"/>
      <c r="J54" s="22"/>
      <c r="K54" s="22"/>
      <c r="L54" s="22"/>
      <c r="M54" s="21"/>
      <c r="N54" s="51"/>
      <c r="O54" s="5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s="15" customFormat="1" x14ac:dyDescent="0.25">
      <c r="B55" s="21"/>
      <c r="C55" s="139"/>
      <c r="D55" s="139"/>
      <c r="E55" s="140"/>
      <c r="F55" s="135"/>
      <c r="G55" s="141"/>
      <c r="H55" s="22"/>
      <c r="I55" s="57"/>
      <c r="J55" s="22"/>
      <c r="K55" s="22"/>
      <c r="L55" s="22"/>
      <c r="M55" s="21"/>
      <c r="N55" s="139"/>
      <c r="O55" s="139"/>
      <c r="P55" s="140"/>
      <c r="Q55" s="135"/>
      <c r="R55" s="22"/>
      <c r="S55" s="141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s="15" customFormat="1" x14ac:dyDescent="0.25">
      <c r="A56" s="15">
        <v>6</v>
      </c>
      <c r="B56" s="21" t="s">
        <v>6</v>
      </c>
      <c r="C56" s="51"/>
      <c r="D56" s="51"/>
      <c r="E56" s="138"/>
      <c r="F56" s="23"/>
      <c r="G56" s="21"/>
      <c r="H56" s="22"/>
      <c r="I56" s="57"/>
      <c r="J56" s="22"/>
      <c r="K56" s="22"/>
      <c r="L56" s="22"/>
      <c r="M56" s="21"/>
      <c r="N56" s="51"/>
      <c r="O56" s="51"/>
      <c r="P56" s="138"/>
      <c r="Q56" s="23"/>
      <c r="R56" s="22"/>
      <c r="S56" s="21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s="15" customFormat="1" x14ac:dyDescent="0.25">
      <c r="A57" s="15">
        <v>7</v>
      </c>
      <c r="B57" s="21" t="s">
        <v>7</v>
      </c>
      <c r="C57" s="51"/>
      <c r="D57" s="51"/>
      <c r="E57" s="138"/>
      <c r="F57" s="23"/>
      <c r="G57" s="21"/>
      <c r="H57" s="22"/>
      <c r="I57" s="57"/>
      <c r="J57" s="22"/>
      <c r="K57" s="22"/>
      <c r="L57" s="22"/>
      <c r="M57" s="21"/>
      <c r="N57" s="51"/>
      <c r="O57" s="51"/>
      <c r="P57" s="138"/>
      <c r="Q57" s="23"/>
      <c r="R57" s="22"/>
      <c r="S57" s="21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s="15" customFormat="1" x14ac:dyDescent="0.25">
      <c r="A58" s="15">
        <v>8</v>
      </c>
      <c r="B58" s="21" t="s">
        <v>8</v>
      </c>
      <c r="C58" s="49"/>
      <c r="D58" s="49"/>
      <c r="E58" s="138"/>
      <c r="F58" s="23"/>
      <c r="G58" s="21"/>
      <c r="H58" s="22"/>
      <c r="I58" s="57"/>
      <c r="J58" s="22"/>
      <c r="K58" s="22"/>
      <c r="L58" s="22"/>
      <c r="M58" s="21"/>
      <c r="N58" s="49"/>
      <c r="O58" s="49"/>
      <c r="P58" s="138"/>
      <c r="Q58" s="23"/>
      <c r="R58" s="22"/>
      <c r="S58" s="21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s="15" customFormat="1" x14ac:dyDescent="0.25">
      <c r="B59" s="13" t="s">
        <v>26</v>
      </c>
      <c r="C59" s="32"/>
      <c r="D59" s="32"/>
      <c r="E59" s="32">
        <f>SUM(E51:E58)</f>
        <v>2</v>
      </c>
      <c r="F59" s="115" t="s">
        <v>393</v>
      </c>
      <c r="G59" s="145" t="s">
        <v>397</v>
      </c>
      <c r="H59" s="22"/>
      <c r="I59" s="57"/>
      <c r="J59" s="22"/>
      <c r="K59" s="22"/>
      <c r="L59" s="22"/>
      <c r="M59" s="21"/>
      <c r="N59" s="49"/>
      <c r="O59" s="49"/>
      <c r="P59" s="138"/>
      <c r="Q59" s="23"/>
      <c r="R59" s="22"/>
      <c r="S59" s="21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s="15" customFormat="1" ht="45" x14ac:dyDescent="0.25">
      <c r="A60" s="313" t="s">
        <v>407</v>
      </c>
      <c r="B60" s="35" t="s">
        <v>227</v>
      </c>
      <c r="C60" s="60"/>
      <c r="D60" s="61"/>
      <c r="E60" s="35">
        <v>2</v>
      </c>
      <c r="F60" s="320" t="e">
        <f>SUM(#REF!)</f>
        <v>#REF!</v>
      </c>
      <c r="G60" s="386" t="e">
        <f>SUM(E60-F60)-4</f>
        <v>#REF!</v>
      </c>
      <c r="H60" s="43" t="s">
        <v>469</v>
      </c>
      <c r="I60" s="57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s="15" customFormat="1" x14ac:dyDescent="0.25">
      <c r="G61" s="387" t="e">
        <f>SUM(E60-F60)+1</f>
        <v>#REF!</v>
      </c>
      <c r="H61" s="22"/>
      <c r="I61" s="57"/>
      <c r="J61" s="22"/>
      <c r="K61" s="22"/>
      <c r="L61" s="22"/>
      <c r="M61" s="20"/>
      <c r="N61" s="20"/>
      <c r="O61" s="20"/>
      <c r="P61" s="20"/>
      <c r="Q61" s="20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s="15" customFormat="1" x14ac:dyDescent="0.25">
      <c r="B62" s="13" t="s">
        <v>158</v>
      </c>
      <c r="C62" s="13" t="s">
        <v>11</v>
      </c>
      <c r="D62" s="13" t="s">
        <v>12</v>
      </c>
      <c r="E62" s="13" t="s">
        <v>13</v>
      </c>
      <c r="F62" s="13" t="s">
        <v>14</v>
      </c>
      <c r="G62" s="20" t="s">
        <v>0</v>
      </c>
      <c r="H62" s="22"/>
      <c r="I62" s="57"/>
      <c r="J62" s="22"/>
      <c r="K62" s="22"/>
      <c r="L62" s="22"/>
      <c r="M62" s="21"/>
      <c r="N62" s="49"/>
      <c r="O62" s="49"/>
      <c r="P62" s="138"/>
      <c r="Q62" s="23"/>
      <c r="R62" s="22"/>
      <c r="S62" s="21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s="15" customFormat="1" x14ac:dyDescent="0.25">
      <c r="A63" s="15">
        <v>9</v>
      </c>
      <c r="B63" s="21" t="s">
        <v>2</v>
      </c>
      <c r="C63" s="49"/>
      <c r="D63" s="49"/>
      <c r="E63" s="138"/>
      <c r="F63" s="23"/>
      <c r="G63" s="21"/>
      <c r="H63" s="22"/>
      <c r="I63" s="57"/>
      <c r="J63" s="22"/>
      <c r="K63" s="22"/>
      <c r="L63" s="22"/>
      <c r="M63" s="21"/>
      <c r="N63" s="48"/>
      <c r="O63" s="49"/>
      <c r="P63" s="138"/>
      <c r="Q63" s="23"/>
      <c r="R63" s="22"/>
      <c r="S63" s="21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s="15" customFormat="1" x14ac:dyDescent="0.25">
      <c r="A64" s="15">
        <v>10</v>
      </c>
      <c r="B64" s="21" t="s">
        <v>3</v>
      </c>
      <c r="C64" s="48"/>
      <c r="D64" s="49"/>
      <c r="E64" s="138"/>
      <c r="F64" s="23"/>
      <c r="G64" s="21"/>
      <c r="H64" s="22"/>
      <c r="I64" s="57"/>
      <c r="J64" s="22"/>
      <c r="K64" s="22"/>
      <c r="L64" s="22"/>
      <c r="M64" s="21"/>
      <c r="N64" s="51"/>
      <c r="O64" s="51"/>
      <c r="P64" s="138"/>
      <c r="Q64" s="23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s="15" customFormat="1" x14ac:dyDescent="0.25">
      <c r="A65" s="15">
        <v>11</v>
      </c>
      <c r="B65" s="21" t="s">
        <v>4</v>
      </c>
      <c r="C65" s="51"/>
      <c r="D65" s="51"/>
      <c r="E65" s="138"/>
      <c r="F65" s="23"/>
      <c r="G65" s="22"/>
      <c r="H65" s="22"/>
      <c r="I65" s="57"/>
      <c r="J65" s="22"/>
      <c r="K65" s="22"/>
      <c r="L65" s="22"/>
      <c r="M65" s="21"/>
      <c r="N65" s="51"/>
      <c r="O65" s="51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s="15" customFormat="1" x14ac:dyDescent="0.25">
      <c r="A66" s="15">
        <v>12</v>
      </c>
      <c r="B66" s="21" t="s">
        <v>5</v>
      </c>
      <c r="C66" s="384">
        <v>0.54166666666666663</v>
      </c>
      <c r="D66" s="384">
        <v>0.625</v>
      </c>
      <c r="E66" s="385">
        <v>2</v>
      </c>
      <c r="F66" s="22"/>
      <c r="G66" s="22" t="s">
        <v>468</v>
      </c>
      <c r="H66" s="22"/>
      <c r="I66" s="57"/>
      <c r="J66" s="22"/>
      <c r="K66" s="22"/>
      <c r="L66" s="22"/>
      <c r="M66" s="21"/>
      <c r="N66" s="51"/>
      <c r="O66" s="51"/>
      <c r="P66" s="138"/>
      <c r="Q66" s="23"/>
      <c r="R66" s="22"/>
      <c r="S66" s="21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s="15" customFormat="1" x14ac:dyDescent="0.25">
      <c r="A67" s="15">
        <v>13</v>
      </c>
      <c r="B67" s="21" t="s">
        <v>6</v>
      </c>
      <c r="C67" s="51"/>
      <c r="D67" s="51"/>
      <c r="E67" s="138"/>
      <c r="F67" s="23"/>
      <c r="G67" s="21"/>
      <c r="H67" s="22"/>
      <c r="I67" s="57"/>
      <c r="J67" s="22"/>
      <c r="K67" s="22"/>
      <c r="L67" s="22"/>
      <c r="M67" s="21"/>
      <c r="N67" s="51"/>
      <c r="O67" s="51"/>
      <c r="P67" s="138"/>
      <c r="Q67" s="23"/>
      <c r="R67" s="22"/>
      <c r="S67" s="21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s="15" customFormat="1" x14ac:dyDescent="0.25">
      <c r="A68" s="15">
        <v>14</v>
      </c>
      <c r="B68" s="21" t="s">
        <v>7</v>
      </c>
      <c r="C68" s="51"/>
      <c r="D68" s="51"/>
      <c r="E68" s="138"/>
      <c r="F68" s="23"/>
      <c r="G68" s="21"/>
      <c r="H68" s="22"/>
      <c r="I68" s="57"/>
      <c r="J68" s="22"/>
      <c r="K68" s="22"/>
      <c r="L68" s="22"/>
      <c r="M68" s="21"/>
      <c r="N68" s="49"/>
      <c r="O68" s="49"/>
      <c r="P68" s="138"/>
      <c r="Q68" s="23"/>
      <c r="R68" s="22"/>
      <c r="S68" s="21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s="15" customFormat="1" x14ac:dyDescent="0.25">
      <c r="A69" s="15">
        <v>15</v>
      </c>
      <c r="B69" s="21" t="s">
        <v>8</v>
      </c>
      <c r="C69" s="49"/>
      <c r="D69" s="49"/>
      <c r="E69" s="138"/>
      <c r="F69" s="23"/>
      <c r="G69" s="21"/>
      <c r="H69" s="22"/>
      <c r="I69" s="57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s="15" customFormat="1" x14ac:dyDescent="0.25">
      <c r="B70" s="13" t="s">
        <v>26</v>
      </c>
      <c r="C70" s="32"/>
      <c r="D70" s="32"/>
      <c r="E70" s="32">
        <v>2</v>
      </c>
      <c r="G70" s="22"/>
      <c r="H70" s="22"/>
      <c r="I70" s="57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s="15" customFormat="1" x14ac:dyDescent="0.25">
      <c r="G71" s="22"/>
      <c r="H71" s="22"/>
      <c r="I71" s="57"/>
      <c r="J71" s="22"/>
      <c r="K71" s="22"/>
      <c r="L71" s="22"/>
      <c r="M71" s="20"/>
      <c r="N71" s="20"/>
      <c r="O71" s="20"/>
      <c r="P71" s="20"/>
      <c r="Q71" s="20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s="15" customFormat="1" x14ac:dyDescent="0.25">
      <c r="B72" s="13" t="s">
        <v>159</v>
      </c>
      <c r="C72" s="13" t="s">
        <v>11</v>
      </c>
      <c r="D72" s="13" t="s">
        <v>12</v>
      </c>
      <c r="E72" s="13" t="s">
        <v>13</v>
      </c>
      <c r="F72" s="13" t="s">
        <v>14</v>
      </c>
      <c r="G72" s="20" t="s">
        <v>0</v>
      </c>
      <c r="H72" s="22"/>
      <c r="I72" s="57"/>
      <c r="J72" s="22"/>
      <c r="K72" s="22"/>
      <c r="L72" s="22"/>
      <c r="M72" s="21"/>
      <c r="N72" s="49"/>
      <c r="O72" s="49"/>
      <c r="P72" s="138"/>
      <c r="Q72" s="23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s="15" customFormat="1" x14ac:dyDescent="0.25">
      <c r="B73" s="14" t="s">
        <v>2</v>
      </c>
      <c r="C73" s="33"/>
      <c r="D73" s="25"/>
      <c r="E73" s="14"/>
      <c r="F73" s="24"/>
      <c r="G73" s="21"/>
      <c r="H73" s="22"/>
      <c r="I73" s="57"/>
      <c r="J73" s="22"/>
      <c r="K73" s="22"/>
      <c r="L73" s="22"/>
      <c r="M73" s="21"/>
      <c r="N73" s="48"/>
      <c r="O73" s="49"/>
      <c r="P73" s="138"/>
      <c r="Q73" s="23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s="15" customFormat="1" x14ac:dyDescent="0.25">
      <c r="B74" s="14" t="s">
        <v>3</v>
      </c>
      <c r="C74" s="26"/>
      <c r="D74" s="26"/>
      <c r="G74" s="22"/>
      <c r="H74" s="22"/>
      <c r="I74" s="57"/>
      <c r="J74" s="22"/>
      <c r="K74" s="22"/>
      <c r="L74" s="22"/>
      <c r="M74" s="21"/>
      <c r="N74" s="51"/>
      <c r="O74" s="51"/>
      <c r="P74" s="138"/>
      <c r="Q74" s="23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s="15" customFormat="1" x14ac:dyDescent="0.25">
      <c r="B75" s="14" t="s">
        <v>4</v>
      </c>
      <c r="C75" s="26"/>
      <c r="D75" s="26"/>
      <c r="G75" s="21"/>
      <c r="H75" s="22"/>
      <c r="I75" s="57"/>
      <c r="J75" s="22"/>
      <c r="K75" s="22"/>
      <c r="L75" s="22"/>
      <c r="M75" s="21"/>
      <c r="N75" s="51"/>
      <c r="O75" s="51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s="15" customFormat="1" x14ac:dyDescent="0.25">
      <c r="B76" s="14" t="s">
        <v>5</v>
      </c>
      <c r="C76" s="384">
        <v>0.54166666666666663</v>
      </c>
      <c r="D76" s="384">
        <v>0.625</v>
      </c>
      <c r="E76" s="385">
        <v>2</v>
      </c>
      <c r="F76" s="22"/>
      <c r="G76" s="22" t="s">
        <v>468</v>
      </c>
      <c r="H76" s="22"/>
      <c r="I76" s="57"/>
      <c r="J76" s="22"/>
      <c r="K76" s="22"/>
      <c r="L76" s="22"/>
      <c r="M76" s="21"/>
      <c r="N76" s="51"/>
      <c r="O76" s="51"/>
      <c r="P76" s="138"/>
      <c r="Q76" s="23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s="15" customFormat="1" x14ac:dyDescent="0.25">
      <c r="B77" s="14" t="s">
        <v>6</v>
      </c>
      <c r="C77" s="42"/>
      <c r="D77" s="42"/>
      <c r="E77" s="14"/>
      <c r="G77" s="23"/>
      <c r="H77" s="22"/>
      <c r="I77" s="57"/>
      <c r="J77" s="22"/>
      <c r="K77" s="22"/>
      <c r="L77" s="22"/>
      <c r="M77" s="21"/>
      <c r="N77" s="51"/>
      <c r="O77" s="51"/>
      <c r="P77" s="138"/>
      <c r="Q77" s="23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s="15" customFormat="1" x14ac:dyDescent="0.25">
      <c r="B78" s="14" t="s">
        <v>7</v>
      </c>
      <c r="C78" s="42"/>
      <c r="D78" s="42"/>
      <c r="E78" s="14"/>
      <c r="F78" s="24"/>
      <c r="G78" s="21"/>
      <c r="H78" s="22"/>
      <c r="I78" s="57"/>
      <c r="J78" s="22"/>
      <c r="K78" s="22"/>
      <c r="L78" s="22"/>
      <c r="M78" s="21"/>
      <c r="N78" s="49"/>
      <c r="O78" s="49"/>
      <c r="P78" s="138"/>
      <c r="Q78" s="23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s="15" customFormat="1" x14ac:dyDescent="0.25">
      <c r="A79" s="21"/>
      <c r="B79" s="14" t="s">
        <v>8</v>
      </c>
      <c r="C79" s="25"/>
      <c r="D79" s="25"/>
      <c r="E79" s="14"/>
      <c r="F79" s="24"/>
      <c r="G79" s="21"/>
      <c r="H79" s="22"/>
      <c r="I79" s="57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s="15" customFormat="1" x14ac:dyDescent="0.25">
      <c r="A80" s="61" t="s">
        <v>396</v>
      </c>
      <c r="B80" s="13" t="s">
        <v>26</v>
      </c>
      <c r="C80" s="32"/>
      <c r="D80" s="32"/>
      <c r="E80" s="32">
        <f>SUM(E72:E79)</f>
        <v>2</v>
      </c>
      <c r="F80" s="115" t="s">
        <v>393</v>
      </c>
      <c r="G80" s="145" t="s">
        <v>397</v>
      </c>
      <c r="H80" s="22"/>
      <c r="I80" s="57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s="15" customFormat="1" x14ac:dyDescent="0.25">
      <c r="A81" s="144"/>
      <c r="B81" s="35" t="s">
        <v>227</v>
      </c>
      <c r="C81" s="60"/>
      <c r="D81" s="61" t="s">
        <v>396</v>
      </c>
      <c r="E81" s="35">
        <v>4</v>
      </c>
      <c r="F81" s="115">
        <v>0</v>
      </c>
      <c r="G81" s="388" t="e">
        <f>SUM(E81+G61)-F81</f>
        <v>#REF!</v>
      </c>
      <c r="H81" s="43" t="s">
        <v>470</v>
      </c>
      <c r="I81" s="57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s="15" customFormat="1" x14ac:dyDescent="0.25">
      <c r="H82" s="22"/>
      <c r="I82" s="57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s="15" customFormat="1" x14ac:dyDescent="0.25">
      <c r="B83" s="13" t="s">
        <v>160</v>
      </c>
      <c r="C83" s="13" t="s">
        <v>11</v>
      </c>
      <c r="D83" s="13" t="s">
        <v>12</v>
      </c>
      <c r="E83" s="13" t="s">
        <v>13</v>
      </c>
      <c r="F83" s="13" t="s">
        <v>14</v>
      </c>
      <c r="G83" s="13" t="s">
        <v>0</v>
      </c>
      <c r="H83" s="22"/>
      <c r="I83" s="57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s="15" customFormat="1" x14ac:dyDescent="0.25">
      <c r="B84" s="14" t="s">
        <v>2</v>
      </c>
      <c r="C84" s="33"/>
      <c r="D84" s="25"/>
      <c r="E84" s="14"/>
      <c r="F84" s="24"/>
      <c r="G84" s="14"/>
      <c r="H84" s="22"/>
      <c r="I84" s="57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s="15" customFormat="1" x14ac:dyDescent="0.25">
      <c r="B85" s="14" t="s">
        <v>3</v>
      </c>
      <c r="C85" s="26"/>
      <c r="D85" s="26"/>
      <c r="H85" s="22"/>
      <c r="I85" s="57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s="15" customFormat="1" x14ac:dyDescent="0.25">
      <c r="B86" s="14" t="s">
        <v>4</v>
      </c>
      <c r="C86" s="26"/>
      <c r="D86" s="26"/>
      <c r="G86" s="14"/>
      <c r="H86" s="22"/>
      <c r="I86" s="57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s="15" customFormat="1" x14ac:dyDescent="0.25">
      <c r="B87" s="14" t="s">
        <v>5</v>
      </c>
      <c r="C87" s="384">
        <v>0.54166666666666663</v>
      </c>
      <c r="D87" s="384">
        <v>0.625</v>
      </c>
      <c r="E87" s="385">
        <v>2</v>
      </c>
      <c r="F87" s="22"/>
      <c r="G87" s="22" t="s">
        <v>468</v>
      </c>
      <c r="H87" s="22"/>
      <c r="I87" s="57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s="15" customFormat="1" x14ac:dyDescent="0.25">
      <c r="B88" s="14" t="s">
        <v>6</v>
      </c>
      <c r="C88" s="42"/>
      <c r="D88" s="42"/>
      <c r="E88" s="14"/>
      <c r="G88" s="24"/>
      <c r="H88" s="22"/>
      <c r="I88" s="57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s="15" customFormat="1" x14ac:dyDescent="0.25">
      <c r="B89" s="14" t="s">
        <v>7</v>
      </c>
      <c r="C89" s="42"/>
      <c r="D89" s="42"/>
      <c r="E89" s="14"/>
      <c r="F89" s="24"/>
      <c r="G89" s="14"/>
      <c r="H89" s="22"/>
      <c r="I89" s="57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s="15" customFormat="1" x14ac:dyDescent="0.25">
      <c r="B90" s="14" t="s">
        <v>8</v>
      </c>
      <c r="C90" s="25"/>
      <c r="D90" s="25"/>
      <c r="E90" s="14"/>
      <c r="F90" s="24"/>
      <c r="G90" s="14"/>
      <c r="H90" s="22"/>
      <c r="I90" s="57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s="15" customFormat="1" x14ac:dyDescent="0.25">
      <c r="B91" s="13" t="s">
        <v>26</v>
      </c>
      <c r="C91" s="32"/>
      <c r="D91" s="32"/>
      <c r="E91" s="32">
        <f>SUM(E83:E90)</f>
        <v>2</v>
      </c>
      <c r="H91" s="22"/>
      <c r="I91" s="57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s="15" customFormat="1" x14ac:dyDescent="0.25">
      <c r="H92" s="22"/>
      <c r="I92" s="57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s="15" customFormat="1" x14ac:dyDescent="0.25">
      <c r="B93" s="13" t="s">
        <v>162</v>
      </c>
      <c r="C93" s="13" t="s">
        <v>11</v>
      </c>
      <c r="D93" s="13" t="s">
        <v>12</v>
      </c>
      <c r="E93" s="13" t="s">
        <v>13</v>
      </c>
      <c r="F93" s="13" t="s">
        <v>14</v>
      </c>
      <c r="G93" s="13" t="s">
        <v>0</v>
      </c>
      <c r="H93" s="22"/>
      <c r="I93" s="57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s="15" customFormat="1" x14ac:dyDescent="0.25">
      <c r="B94" s="14" t="s">
        <v>2</v>
      </c>
      <c r="C94" s="33"/>
      <c r="D94" s="25"/>
      <c r="E94" s="14"/>
      <c r="F94" s="24"/>
      <c r="G94" s="14"/>
      <c r="H94" s="22"/>
      <c r="I94" s="57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s="15" customFormat="1" ht="30" x14ac:dyDescent="0.25">
      <c r="A95" s="43" t="s">
        <v>422</v>
      </c>
      <c r="B95" s="14" t="s">
        <v>3</v>
      </c>
      <c r="C95" s="26"/>
      <c r="D95" s="26"/>
      <c r="H95" s="22"/>
      <c r="I95" s="57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s="15" customFormat="1" x14ac:dyDescent="0.25">
      <c r="B96" s="14" t="s">
        <v>4</v>
      </c>
      <c r="C96" s="26"/>
      <c r="D96" s="26"/>
      <c r="G96" s="14"/>
      <c r="H96" s="22"/>
      <c r="I96" s="57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s="15" customFormat="1" x14ac:dyDescent="0.25">
      <c r="B97" s="14" t="s">
        <v>5</v>
      </c>
      <c r="C97" s="384">
        <v>0.54166666666666663</v>
      </c>
      <c r="D97" s="384">
        <v>0.625</v>
      </c>
      <c r="E97" s="385">
        <v>2</v>
      </c>
      <c r="F97" s="22"/>
      <c r="G97" s="22" t="s">
        <v>468</v>
      </c>
      <c r="H97" s="22"/>
      <c r="I97" s="57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s="15" customFormat="1" x14ac:dyDescent="0.25">
      <c r="B98" s="14" t="s">
        <v>6</v>
      </c>
      <c r="C98" s="42"/>
      <c r="D98" s="42"/>
      <c r="E98" s="14"/>
      <c r="G98" s="24"/>
      <c r="H98" s="22"/>
      <c r="I98" s="57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s="15" customFormat="1" x14ac:dyDescent="0.25">
      <c r="B99" s="14" t="s">
        <v>7</v>
      </c>
      <c r="C99" s="42"/>
      <c r="D99" s="42"/>
      <c r="E99" s="14"/>
      <c r="F99" s="24"/>
      <c r="G99" s="14"/>
      <c r="H99" s="22"/>
      <c r="I99" s="57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s="15" customFormat="1" x14ac:dyDescent="0.25">
      <c r="A100" s="21"/>
      <c r="B100" s="14" t="s">
        <v>8</v>
      </c>
      <c r="C100" s="25"/>
      <c r="D100" s="25"/>
      <c r="E100" s="14"/>
      <c r="F100" s="24"/>
      <c r="G100" s="14"/>
      <c r="H100" s="22"/>
      <c r="I100" s="57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s="15" customFormat="1" x14ac:dyDescent="0.25">
      <c r="B101" s="13" t="s">
        <v>26</v>
      </c>
      <c r="C101" s="32"/>
      <c r="D101" s="32"/>
      <c r="E101" s="32">
        <f>SUM(E93:E100)</f>
        <v>2</v>
      </c>
      <c r="F101" s="115" t="s">
        <v>393</v>
      </c>
      <c r="G101" s="145" t="s">
        <v>397</v>
      </c>
      <c r="H101" s="22"/>
      <c r="I101" s="57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s="15" customFormat="1" ht="30" x14ac:dyDescent="0.25">
      <c r="A102" s="313" t="s">
        <v>334</v>
      </c>
      <c r="B102" s="35" t="s">
        <v>227</v>
      </c>
      <c r="C102" s="40"/>
      <c r="D102" s="41"/>
      <c r="E102" s="18">
        <v>4</v>
      </c>
      <c r="F102" s="118"/>
      <c r="G102" s="389" t="e">
        <f>SUM(E102+G81)-F102</f>
        <v>#REF!</v>
      </c>
      <c r="H102" s="43" t="s">
        <v>422</v>
      </c>
      <c r="I102" s="57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s="15" customFormat="1" x14ac:dyDescent="0.25">
      <c r="H103" s="22"/>
      <c r="I103" s="57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s="15" customFormat="1" x14ac:dyDescent="0.25">
      <c r="B104" s="13" t="s">
        <v>161</v>
      </c>
      <c r="C104" s="13" t="s">
        <v>11</v>
      </c>
      <c r="D104" s="13" t="s">
        <v>12</v>
      </c>
      <c r="E104" s="13" t="s">
        <v>13</v>
      </c>
      <c r="F104" s="13" t="s">
        <v>14</v>
      </c>
      <c r="G104" s="13" t="s">
        <v>0</v>
      </c>
      <c r="H104" s="22"/>
      <c r="I104" s="57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s="15" customFormat="1" x14ac:dyDescent="0.25">
      <c r="B105" s="14" t="s">
        <v>2</v>
      </c>
      <c r="C105" s="33"/>
      <c r="D105" s="25"/>
      <c r="E105" s="14"/>
      <c r="F105" s="24"/>
      <c r="G105" s="14"/>
      <c r="H105" s="22"/>
      <c r="I105" s="57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s="15" customFormat="1" x14ac:dyDescent="0.25">
      <c r="B106" s="14" t="s">
        <v>3</v>
      </c>
      <c r="C106" s="26"/>
      <c r="D106" s="26"/>
      <c r="H106" s="22"/>
      <c r="I106" s="57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s="15" customFormat="1" x14ac:dyDescent="0.25">
      <c r="B107" s="14" t="s">
        <v>4</v>
      </c>
      <c r="C107" s="26"/>
      <c r="D107" s="26"/>
      <c r="G107" s="14"/>
      <c r="H107" s="22"/>
      <c r="I107" s="57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s="15" customFormat="1" x14ac:dyDescent="0.25">
      <c r="B108" s="14" t="s">
        <v>5</v>
      </c>
      <c r="C108" s="384">
        <v>0.54166666666666663</v>
      </c>
      <c r="D108" s="384">
        <v>0.625</v>
      </c>
      <c r="E108" s="385">
        <v>2</v>
      </c>
      <c r="F108" s="22"/>
      <c r="G108" s="22" t="s">
        <v>468</v>
      </c>
      <c r="H108" s="22"/>
      <c r="I108" s="57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s="15" customFormat="1" x14ac:dyDescent="0.25">
      <c r="B109" s="14" t="s">
        <v>6</v>
      </c>
      <c r="C109" s="42"/>
      <c r="D109" s="42"/>
      <c r="E109" s="14"/>
      <c r="G109" s="24"/>
      <c r="H109" s="22"/>
      <c r="I109" s="57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s="15" customFormat="1" x14ac:dyDescent="0.25">
      <c r="B110" s="14" t="s">
        <v>7</v>
      </c>
      <c r="C110" s="42"/>
      <c r="D110" s="42"/>
      <c r="E110" s="14"/>
      <c r="F110" s="24"/>
      <c r="G110" s="14"/>
      <c r="H110" s="22"/>
      <c r="I110" s="57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s="15" customFormat="1" x14ac:dyDescent="0.25">
      <c r="B111" s="14" t="s">
        <v>8</v>
      </c>
      <c r="C111" s="25"/>
      <c r="D111" s="25"/>
      <c r="E111" s="14"/>
      <c r="F111" s="24"/>
      <c r="G111" s="14"/>
      <c r="H111" s="22"/>
      <c r="I111" s="57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s="15" customFormat="1" x14ac:dyDescent="0.25">
      <c r="B112" s="13" t="s">
        <v>26</v>
      </c>
      <c r="C112" s="32"/>
      <c r="D112" s="32"/>
      <c r="E112" s="32">
        <f>SUM(E104:E111)</f>
        <v>2</v>
      </c>
      <c r="H112" s="22"/>
      <c r="I112" s="57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s="15" customFormat="1" x14ac:dyDescent="0.25">
      <c r="H113" s="22"/>
      <c r="I113" s="57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s="15" customFormat="1" x14ac:dyDescent="0.25">
      <c r="B114" s="13" t="s">
        <v>163</v>
      </c>
      <c r="C114" s="13" t="s">
        <v>11</v>
      </c>
      <c r="D114" s="13" t="s">
        <v>12</v>
      </c>
      <c r="E114" s="13" t="s">
        <v>13</v>
      </c>
      <c r="F114" s="13" t="s">
        <v>14</v>
      </c>
      <c r="G114" s="13" t="s">
        <v>0</v>
      </c>
      <c r="H114" s="22"/>
      <c r="I114" s="57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s="15" customFormat="1" x14ac:dyDescent="0.25">
      <c r="B115" s="14" t="s">
        <v>2</v>
      </c>
      <c r="C115" s="33"/>
      <c r="D115" s="25"/>
      <c r="E115" s="14"/>
      <c r="F115" s="24"/>
      <c r="G115" s="14"/>
      <c r="H115" s="22"/>
      <c r="I115" s="57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s="15" customFormat="1" x14ac:dyDescent="0.25">
      <c r="B116" s="14" t="s">
        <v>3</v>
      </c>
      <c r="C116" s="26"/>
      <c r="D116" s="26"/>
      <c r="H116" s="22"/>
      <c r="I116" s="57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s="15" customFormat="1" x14ac:dyDescent="0.25">
      <c r="B117" s="14" t="s">
        <v>4</v>
      </c>
      <c r="C117" s="26"/>
      <c r="D117" s="26"/>
      <c r="G117" s="14"/>
      <c r="H117" s="22"/>
      <c r="I117" s="57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s="15" customFormat="1" x14ac:dyDescent="0.25">
      <c r="B118" s="14" t="s">
        <v>5</v>
      </c>
      <c r="C118" s="384">
        <v>0.54166666666666663</v>
      </c>
      <c r="D118" s="384">
        <v>0.625</v>
      </c>
      <c r="E118" s="385">
        <v>2</v>
      </c>
      <c r="F118" s="22"/>
      <c r="G118" s="22" t="s">
        <v>468</v>
      </c>
      <c r="H118" s="22"/>
      <c r="I118" s="57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s="15" customFormat="1" x14ac:dyDescent="0.25">
      <c r="B119" s="14" t="s">
        <v>6</v>
      </c>
      <c r="C119" s="42"/>
      <c r="D119" s="42"/>
      <c r="E119" s="14"/>
      <c r="G119" s="24"/>
      <c r="H119" s="22"/>
      <c r="I119" s="57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s="15" customFormat="1" x14ac:dyDescent="0.25">
      <c r="B120" s="14" t="s">
        <v>7</v>
      </c>
      <c r="C120" s="42"/>
      <c r="D120" s="42"/>
      <c r="E120" s="14"/>
      <c r="F120" s="24"/>
      <c r="G120" s="14"/>
      <c r="H120" s="22"/>
      <c r="I120" s="57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s="15" customFormat="1" x14ac:dyDescent="0.25">
      <c r="A121" s="21"/>
      <c r="B121" s="14" t="s">
        <v>8</v>
      </c>
      <c r="C121" s="25"/>
      <c r="D121" s="25"/>
      <c r="E121" s="14"/>
      <c r="F121" s="24"/>
      <c r="G121" s="14"/>
      <c r="H121" s="22"/>
      <c r="I121" s="57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s="15" customFormat="1" x14ac:dyDescent="0.25">
      <c r="B122" s="13" t="s">
        <v>26</v>
      </c>
      <c r="C122" s="32"/>
      <c r="D122" s="32"/>
      <c r="E122" s="32">
        <f>SUM(E114:E121)</f>
        <v>2</v>
      </c>
      <c r="F122" s="115" t="s">
        <v>393</v>
      </c>
      <c r="G122" s="145" t="s">
        <v>397</v>
      </c>
      <c r="H122" s="22"/>
      <c r="I122" s="57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s="15" customFormat="1" ht="30" x14ac:dyDescent="0.25">
      <c r="A123" s="313" t="s">
        <v>335</v>
      </c>
      <c r="B123" s="35" t="s">
        <v>227</v>
      </c>
      <c r="C123" s="40"/>
      <c r="D123" s="41"/>
      <c r="E123" s="18">
        <v>4</v>
      </c>
      <c r="F123" s="118"/>
      <c r="G123" s="309" t="e">
        <f>SUM(E123+G102)-F123</f>
        <v>#REF!</v>
      </c>
      <c r="H123" s="43" t="s">
        <v>422</v>
      </c>
      <c r="I123" s="57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s="15" customFormat="1" x14ac:dyDescent="0.25">
      <c r="H124" s="22"/>
      <c r="I124" s="57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s="15" customFormat="1" x14ac:dyDescent="0.25">
      <c r="B125" s="13" t="s">
        <v>164</v>
      </c>
      <c r="C125" s="13" t="s">
        <v>11</v>
      </c>
      <c r="D125" s="13" t="s">
        <v>12</v>
      </c>
      <c r="E125" s="13" t="s">
        <v>13</v>
      </c>
      <c r="F125" s="13" t="s">
        <v>14</v>
      </c>
      <c r="G125" s="13" t="s">
        <v>0</v>
      </c>
      <c r="H125" s="22"/>
      <c r="I125" s="57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s="15" customFormat="1" x14ac:dyDescent="0.25">
      <c r="B126" s="14" t="s">
        <v>2</v>
      </c>
      <c r="C126" s="33"/>
      <c r="D126" s="25"/>
      <c r="E126" s="14"/>
      <c r="F126" s="24"/>
      <c r="G126" s="14"/>
      <c r="H126" s="22"/>
      <c r="I126" s="57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s="15" customFormat="1" x14ac:dyDescent="0.25">
      <c r="B127" s="14" t="s">
        <v>3</v>
      </c>
      <c r="C127" s="26"/>
      <c r="D127" s="26"/>
      <c r="H127" s="22"/>
      <c r="I127" s="57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s="15" customFormat="1" x14ac:dyDescent="0.25">
      <c r="B128" s="14" t="s">
        <v>4</v>
      </c>
      <c r="C128" s="26"/>
      <c r="D128" s="26"/>
      <c r="G128" s="14"/>
      <c r="H128" s="22"/>
      <c r="I128" s="57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 s="15" customFormat="1" x14ac:dyDescent="0.25">
      <c r="B129" s="14" t="s">
        <v>5</v>
      </c>
      <c r="C129" s="384">
        <v>0.54166666666666663</v>
      </c>
      <c r="D129" s="384">
        <v>0.625</v>
      </c>
      <c r="E129" s="385">
        <v>2</v>
      </c>
      <c r="F129" s="22"/>
      <c r="G129" s="22" t="s">
        <v>468</v>
      </c>
      <c r="H129" s="22"/>
      <c r="I129" s="57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 s="15" customFormat="1" x14ac:dyDescent="0.25">
      <c r="B130" s="14" t="s">
        <v>6</v>
      </c>
      <c r="C130" s="42"/>
      <c r="D130" s="42"/>
      <c r="E130" s="14"/>
      <c r="G130" s="24"/>
      <c r="H130" s="22"/>
      <c r="I130" s="57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 s="15" customFormat="1" x14ac:dyDescent="0.25">
      <c r="B131" s="14" t="s">
        <v>7</v>
      </c>
      <c r="C131" s="42"/>
      <c r="D131" s="42"/>
      <c r="E131" s="14"/>
      <c r="F131" s="24"/>
      <c r="G131" s="14"/>
      <c r="H131" s="22"/>
      <c r="I131" s="57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 s="15" customFormat="1" x14ac:dyDescent="0.25">
      <c r="B132" s="14" t="s">
        <v>8</v>
      </c>
      <c r="C132" s="25"/>
      <c r="D132" s="25"/>
      <c r="E132" s="14"/>
      <c r="F132" s="24"/>
      <c r="G132" s="14"/>
      <c r="H132" s="22"/>
      <c r="I132" s="57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 s="15" customFormat="1" x14ac:dyDescent="0.25">
      <c r="B133" s="13" t="s">
        <v>26</v>
      </c>
      <c r="C133" s="32"/>
      <c r="D133" s="32"/>
      <c r="E133" s="32">
        <f>SUM(E125:E132)</f>
        <v>2</v>
      </c>
      <c r="H133" s="22"/>
      <c r="I133" s="57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 s="15" customFormat="1" x14ac:dyDescent="0.25">
      <c r="H134" s="22"/>
      <c r="I134" s="57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 s="15" customFormat="1" x14ac:dyDescent="0.25">
      <c r="B135" s="13" t="s">
        <v>165</v>
      </c>
      <c r="C135" s="13" t="s">
        <v>11</v>
      </c>
      <c r="D135" s="13" t="s">
        <v>12</v>
      </c>
      <c r="E135" s="13" t="s">
        <v>13</v>
      </c>
      <c r="F135" s="13" t="s">
        <v>14</v>
      </c>
      <c r="G135" s="13" t="s">
        <v>0</v>
      </c>
      <c r="H135" s="22"/>
      <c r="I135" s="57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 s="15" customFormat="1" x14ac:dyDescent="0.25">
      <c r="B136" s="14" t="s">
        <v>2</v>
      </c>
      <c r="C136" s="33"/>
      <c r="D136" s="25"/>
      <c r="E136" s="14"/>
      <c r="F136" s="24"/>
      <c r="G136" s="14"/>
      <c r="H136" s="22"/>
      <c r="I136" s="57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 s="15" customFormat="1" x14ac:dyDescent="0.25">
      <c r="B137" s="14" t="s">
        <v>3</v>
      </c>
      <c r="C137" s="26"/>
      <c r="D137" s="26"/>
      <c r="H137" s="22"/>
      <c r="I137" s="57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 s="15" customFormat="1" x14ac:dyDescent="0.25">
      <c r="B138" s="14" t="s">
        <v>4</v>
      </c>
      <c r="C138" s="26"/>
      <c r="D138" s="26"/>
      <c r="G138" s="14"/>
      <c r="H138" s="22"/>
      <c r="I138" s="57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 s="15" customFormat="1" x14ac:dyDescent="0.25">
      <c r="B139" s="14" t="s">
        <v>5</v>
      </c>
      <c r="C139" s="384">
        <v>0.54166666666666663</v>
      </c>
      <c r="D139" s="384">
        <v>0.625</v>
      </c>
      <c r="E139" s="385">
        <v>2</v>
      </c>
      <c r="F139" s="22"/>
      <c r="G139" s="22" t="s">
        <v>468</v>
      </c>
      <c r="H139" s="22"/>
      <c r="I139" s="57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 s="15" customFormat="1" x14ac:dyDescent="0.25">
      <c r="B140" s="14" t="s">
        <v>6</v>
      </c>
      <c r="C140" s="42"/>
      <c r="D140" s="42"/>
      <c r="E140" s="14"/>
      <c r="G140" s="24"/>
      <c r="H140" s="22"/>
      <c r="I140" s="57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 s="15" customFormat="1" x14ac:dyDescent="0.25">
      <c r="B141" s="14" t="s">
        <v>7</v>
      </c>
      <c r="C141" s="42"/>
      <c r="D141" s="42"/>
      <c r="E141" s="14"/>
      <c r="F141" s="24"/>
      <c r="G141" s="14"/>
      <c r="H141" s="22"/>
      <c r="I141" s="57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 s="15" customFormat="1" x14ac:dyDescent="0.25">
      <c r="A142" s="21"/>
      <c r="B142" s="14" t="s">
        <v>8</v>
      </c>
      <c r="C142" s="25"/>
      <c r="D142" s="25"/>
      <c r="E142" s="14"/>
      <c r="F142" s="24"/>
      <c r="G142" s="14"/>
      <c r="H142" s="22"/>
      <c r="I142" s="57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 s="15" customFormat="1" x14ac:dyDescent="0.25">
      <c r="B143" s="13" t="s">
        <v>26</v>
      </c>
      <c r="C143" s="32"/>
      <c r="D143" s="32"/>
      <c r="E143" s="32">
        <f>SUM(E135:E142)</f>
        <v>2</v>
      </c>
      <c r="F143" s="115" t="s">
        <v>393</v>
      </c>
      <c r="G143" s="145" t="s">
        <v>397</v>
      </c>
      <c r="H143" s="22"/>
      <c r="I143" s="57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 s="15" customFormat="1" ht="30" x14ac:dyDescent="0.25">
      <c r="A144" s="313" t="s">
        <v>336</v>
      </c>
      <c r="B144" s="35" t="s">
        <v>227</v>
      </c>
      <c r="C144" s="40"/>
      <c r="D144" s="41"/>
      <c r="E144" s="18">
        <v>4</v>
      </c>
      <c r="F144" s="118"/>
      <c r="G144" s="309" t="e">
        <f>SUM(E144+G123)-F144</f>
        <v>#REF!</v>
      </c>
      <c r="H144" s="43" t="s">
        <v>422</v>
      </c>
      <c r="I144" s="57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 s="15" customFormat="1" x14ac:dyDescent="0.25">
      <c r="H145" s="22"/>
      <c r="I145" s="57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 x14ac:dyDescent="0.25">
      <c r="I146" s="57"/>
      <c r="J146" s="117"/>
      <c r="K146" s="117"/>
      <c r="L146" s="117"/>
      <c r="M146" s="117"/>
      <c r="N146" s="117"/>
      <c r="O146" s="22"/>
      <c r="P146" s="117"/>
      <c r="Q146" s="117"/>
      <c r="R146" s="117"/>
      <c r="S146" s="22"/>
      <c r="T146" s="117"/>
      <c r="U146" s="117"/>
      <c r="V146" s="22"/>
      <c r="W146" s="22"/>
      <c r="X146" s="117"/>
      <c r="Y146" s="117"/>
      <c r="Z146" s="117"/>
      <c r="AA146" s="117"/>
      <c r="AB146" s="117"/>
    </row>
    <row r="147" spans="1:28" ht="61.5" customHeight="1" x14ac:dyDescent="0.9">
      <c r="A147" s="578" t="s">
        <v>252</v>
      </c>
      <c r="B147" s="578"/>
      <c r="C147" s="578"/>
      <c r="D147" s="578"/>
      <c r="E147" s="578"/>
      <c r="F147" s="578"/>
      <c r="G147" s="578"/>
      <c r="H147" s="578"/>
      <c r="I147" s="578"/>
      <c r="J147" s="423"/>
      <c r="K147" s="423"/>
      <c r="L147" s="423"/>
      <c r="M147" s="423"/>
      <c r="N147" s="423"/>
      <c r="O147" s="423"/>
      <c r="P147" s="423"/>
      <c r="Q147" s="423"/>
      <c r="R147" s="423"/>
      <c r="S147" s="423"/>
      <c r="T147" s="117"/>
      <c r="U147" s="117"/>
      <c r="V147" s="22"/>
      <c r="W147" s="22"/>
      <c r="X147" s="117"/>
      <c r="Y147" s="117"/>
      <c r="Z147" s="117"/>
      <c r="AA147" s="117"/>
      <c r="AB147" s="117"/>
    </row>
    <row r="148" spans="1:28" x14ac:dyDescent="0.25">
      <c r="J148" s="117"/>
      <c r="K148" s="117"/>
      <c r="L148" s="117"/>
      <c r="M148" s="117"/>
      <c r="N148" s="117"/>
      <c r="O148" s="22"/>
      <c r="P148" s="117"/>
      <c r="Q148" s="117"/>
      <c r="R148" s="117"/>
      <c r="S148" s="117"/>
      <c r="T148" s="117"/>
      <c r="U148" s="117"/>
      <c r="V148" s="22"/>
      <c r="W148" s="22"/>
      <c r="X148" s="117"/>
      <c r="Y148" s="117"/>
      <c r="Z148" s="117"/>
      <c r="AA148" s="117"/>
      <c r="AB148" s="117"/>
    </row>
    <row r="149" spans="1:28" x14ac:dyDescent="0.25">
      <c r="J149" s="117"/>
      <c r="K149" s="117"/>
      <c r="L149" s="117"/>
      <c r="M149" s="117"/>
      <c r="N149" s="117"/>
      <c r="O149" s="22"/>
      <c r="P149" s="117"/>
      <c r="Q149" s="117"/>
      <c r="R149" s="117"/>
      <c r="S149" s="117"/>
      <c r="T149" s="117"/>
      <c r="U149" s="117"/>
      <c r="V149" s="22"/>
      <c r="W149" s="22"/>
      <c r="X149" s="117"/>
      <c r="Y149" s="117"/>
      <c r="Z149" s="117"/>
      <c r="AA149" s="117"/>
      <c r="AB149" s="117"/>
    </row>
    <row r="150" spans="1:28" x14ac:dyDescent="0.25">
      <c r="J150" s="117"/>
      <c r="K150" s="117"/>
      <c r="L150" s="117"/>
      <c r="M150" s="117"/>
      <c r="N150" s="117"/>
      <c r="O150" s="22"/>
      <c r="P150" s="117"/>
      <c r="Q150" s="117"/>
      <c r="R150" s="117"/>
      <c r="S150" s="117"/>
      <c r="T150" s="117"/>
      <c r="U150" s="117"/>
      <c r="V150" s="22"/>
      <c r="W150" s="22"/>
      <c r="X150" s="117"/>
      <c r="Y150" s="117"/>
      <c r="Z150" s="117"/>
      <c r="AA150" s="117"/>
      <c r="AB150" s="117"/>
    </row>
    <row r="151" spans="1:28" x14ac:dyDescent="0.25">
      <c r="J151" s="117"/>
      <c r="K151" s="117"/>
      <c r="L151" s="117"/>
      <c r="M151" s="117"/>
      <c r="N151" s="117"/>
      <c r="O151" s="22"/>
      <c r="P151" s="117"/>
      <c r="Q151" s="117"/>
      <c r="R151" s="117"/>
      <c r="S151" s="117"/>
      <c r="T151" s="117"/>
      <c r="U151" s="117"/>
      <c r="V151" s="22"/>
      <c r="W151" s="22"/>
      <c r="X151" s="117"/>
      <c r="Y151" s="117"/>
      <c r="Z151" s="117"/>
      <c r="AA151" s="117"/>
      <c r="AB151" s="117"/>
    </row>
    <row r="152" spans="1:28" x14ac:dyDescent="0.25">
      <c r="J152" s="117"/>
      <c r="K152" s="117"/>
      <c r="L152" s="117"/>
      <c r="M152" s="117"/>
      <c r="N152" s="117"/>
      <c r="O152" s="22"/>
      <c r="P152" s="117"/>
      <c r="Q152" s="117"/>
      <c r="R152" s="117"/>
      <c r="S152" s="117"/>
      <c r="T152" s="117"/>
      <c r="U152" s="117"/>
      <c r="V152" s="22"/>
      <c r="W152" s="22"/>
      <c r="X152" s="117"/>
      <c r="Y152" s="117"/>
      <c r="Z152" s="117"/>
      <c r="AA152" s="117"/>
      <c r="AB152" s="117"/>
    </row>
    <row r="153" spans="1:28" ht="15.75" thickBot="1" x14ac:dyDescent="0.3">
      <c r="J153" s="117"/>
      <c r="K153" s="117"/>
      <c r="L153" s="117"/>
      <c r="M153" s="117"/>
      <c r="N153" s="117"/>
      <c r="O153" s="22"/>
      <c r="P153" s="117"/>
      <c r="Q153" s="117"/>
      <c r="R153" s="117"/>
      <c r="S153" s="117"/>
      <c r="T153" s="117"/>
      <c r="U153" s="117"/>
      <c r="V153" s="22"/>
      <c r="W153" s="22"/>
      <c r="X153" s="117"/>
      <c r="Y153" s="117"/>
      <c r="Z153" s="117"/>
      <c r="AA153" s="117"/>
      <c r="AB153" s="117"/>
    </row>
    <row r="154" spans="1:28" ht="15.75" thickBot="1" x14ac:dyDescent="0.3">
      <c r="B154" s="230" t="s">
        <v>148</v>
      </c>
      <c r="C154" s="231"/>
      <c r="D154" s="231"/>
      <c r="E154" s="232"/>
      <c r="F154" s="231"/>
      <c r="G154" s="231"/>
      <c r="H154" s="233"/>
      <c r="J154" s="117"/>
      <c r="K154" s="117"/>
      <c r="L154" s="117"/>
      <c r="M154" s="117"/>
      <c r="N154" s="117"/>
      <c r="O154" s="22"/>
      <c r="P154" s="117"/>
      <c r="Q154" s="117"/>
      <c r="R154" s="117"/>
      <c r="S154" s="117"/>
      <c r="T154" s="117"/>
      <c r="U154" s="117"/>
      <c r="V154" s="22"/>
      <c r="W154" s="22"/>
      <c r="X154" s="117"/>
      <c r="Y154" s="117"/>
      <c r="Z154" s="117"/>
      <c r="AA154" s="117"/>
      <c r="AB154" s="117"/>
    </row>
    <row r="155" spans="1:28" ht="15.75" thickBot="1" x14ac:dyDescent="0.3">
      <c r="B155" s="241"/>
      <c r="C155" s="242" t="s">
        <v>150</v>
      </c>
      <c r="D155" s="222" t="s">
        <v>155</v>
      </c>
      <c r="E155" s="243" t="s">
        <v>154</v>
      </c>
      <c r="F155" s="242" t="s">
        <v>156</v>
      </c>
      <c r="G155" s="242" t="s">
        <v>0</v>
      </c>
      <c r="H155" s="244"/>
      <c r="J155" s="117"/>
      <c r="K155" s="117"/>
      <c r="L155" s="117"/>
      <c r="M155" s="117"/>
      <c r="N155" s="117"/>
      <c r="O155" s="22"/>
      <c r="P155" s="117"/>
      <c r="Q155" s="117"/>
      <c r="R155" s="117"/>
      <c r="S155" s="117"/>
      <c r="T155" s="117"/>
      <c r="U155" s="117"/>
      <c r="V155" s="22"/>
      <c r="W155" s="22"/>
      <c r="X155" s="117"/>
      <c r="Y155" s="117"/>
      <c r="Z155" s="117"/>
      <c r="AA155" s="117"/>
      <c r="AB155" s="117"/>
    </row>
    <row r="156" spans="1:28" x14ac:dyDescent="0.25">
      <c r="B156" s="235" t="s">
        <v>151</v>
      </c>
      <c r="C156" s="226"/>
      <c r="D156" s="226"/>
      <c r="E156" s="225"/>
      <c r="F156" s="227"/>
      <c r="G156" s="227"/>
      <c r="H156" s="234"/>
      <c r="J156" s="117"/>
      <c r="K156" s="117"/>
      <c r="L156" s="117"/>
      <c r="M156" s="117"/>
      <c r="N156" s="117"/>
      <c r="O156" s="22"/>
      <c r="P156" s="117"/>
      <c r="Q156" s="117"/>
      <c r="R156" s="117"/>
      <c r="S156" s="117"/>
      <c r="T156" s="117"/>
      <c r="U156" s="117"/>
      <c r="V156" s="22"/>
      <c r="W156" s="22"/>
      <c r="X156" s="117"/>
      <c r="Y156" s="117"/>
      <c r="Z156" s="117"/>
      <c r="AA156" s="117"/>
      <c r="AB156" s="117"/>
    </row>
    <row r="157" spans="1:28" x14ac:dyDescent="0.25">
      <c r="B157" s="235" t="s">
        <v>152</v>
      </c>
      <c r="C157" s="226"/>
      <c r="D157" s="226"/>
      <c r="E157" s="228"/>
      <c r="F157" s="227"/>
      <c r="G157" s="227"/>
      <c r="H157" s="234"/>
      <c r="J157" s="117"/>
      <c r="K157" s="117"/>
      <c r="L157" s="117"/>
      <c r="M157" s="117"/>
      <c r="N157" s="117"/>
      <c r="O157" s="22"/>
      <c r="P157" s="117"/>
      <c r="Q157" s="117"/>
      <c r="R157" s="117"/>
      <c r="S157" s="117"/>
      <c r="T157" s="117"/>
      <c r="U157" s="117"/>
      <c r="V157" s="22"/>
      <c r="W157" s="22"/>
      <c r="X157" s="117"/>
      <c r="Y157" s="117"/>
      <c r="Z157" s="117"/>
      <c r="AA157" s="117"/>
      <c r="AB157" s="117"/>
    </row>
    <row r="158" spans="1:28" x14ac:dyDescent="0.25">
      <c r="B158" s="235" t="s">
        <v>153</v>
      </c>
      <c r="C158" s="226"/>
      <c r="D158" s="226"/>
      <c r="E158" s="228"/>
      <c r="F158" s="227"/>
      <c r="G158" s="207"/>
      <c r="H158" s="234"/>
      <c r="J158" s="117"/>
      <c r="K158" s="117"/>
      <c r="L158" s="117"/>
      <c r="M158" s="117"/>
      <c r="N158" s="117"/>
      <c r="O158" s="22"/>
      <c r="P158" s="117"/>
      <c r="Q158" s="117"/>
      <c r="R158" s="117"/>
      <c r="S158" s="117"/>
      <c r="T158" s="117"/>
      <c r="U158" s="117"/>
      <c r="V158" s="22"/>
      <c r="W158" s="22"/>
      <c r="X158" s="117"/>
      <c r="Y158" s="117"/>
      <c r="Z158" s="117"/>
      <c r="AA158" s="117"/>
      <c r="AB158" s="117"/>
    </row>
    <row r="159" spans="1:28" ht="15.75" thickBot="1" x14ac:dyDescent="0.3">
      <c r="B159" s="236" t="s">
        <v>149</v>
      </c>
      <c r="C159" s="237"/>
      <c r="D159" s="237"/>
      <c r="E159" s="238"/>
      <c r="F159" s="237"/>
      <c r="G159" s="239"/>
      <c r="H159" s="240"/>
      <c r="J159" s="117"/>
      <c r="K159" s="117"/>
      <c r="L159" s="117"/>
      <c r="M159" s="117"/>
      <c r="N159" s="117"/>
      <c r="O159" s="22"/>
      <c r="P159" s="117"/>
      <c r="Q159" s="117"/>
      <c r="R159" s="117"/>
      <c r="S159" s="117"/>
      <c r="T159" s="117"/>
      <c r="U159" s="117"/>
      <c r="V159" s="22"/>
      <c r="W159" s="22"/>
      <c r="X159" s="117"/>
      <c r="Y159" s="117"/>
      <c r="Z159" s="117"/>
      <c r="AA159" s="117"/>
      <c r="AB159" s="117"/>
    </row>
    <row r="160" spans="1:28" x14ac:dyDescent="0.25">
      <c r="J160" s="117"/>
      <c r="K160" s="117"/>
      <c r="L160" s="117"/>
      <c r="M160" s="117"/>
      <c r="N160" s="117"/>
      <c r="O160" s="22"/>
      <c r="P160" s="117"/>
      <c r="Q160" s="117"/>
      <c r="R160" s="117"/>
      <c r="S160" s="117"/>
      <c r="T160" s="117"/>
      <c r="U160" s="117"/>
      <c r="V160" s="22"/>
      <c r="W160" s="22"/>
      <c r="X160" s="117"/>
      <c r="Y160" s="117"/>
      <c r="Z160" s="117"/>
      <c r="AA160" s="117"/>
      <c r="AB160" s="117"/>
    </row>
    <row r="161" spans="10:28" x14ac:dyDescent="0.25">
      <c r="J161" s="117"/>
      <c r="K161" s="117"/>
      <c r="L161" s="117"/>
      <c r="M161" s="117"/>
      <c r="N161" s="117"/>
      <c r="O161" s="22"/>
      <c r="P161" s="117"/>
      <c r="Q161" s="117"/>
      <c r="R161" s="117"/>
      <c r="S161" s="117"/>
      <c r="T161" s="117"/>
      <c r="U161" s="117"/>
      <c r="V161" s="22"/>
      <c r="W161" s="22"/>
      <c r="X161" s="117"/>
      <c r="Y161" s="117"/>
      <c r="Z161" s="117"/>
      <c r="AA161" s="117"/>
      <c r="AB161" s="117"/>
    </row>
    <row r="162" spans="10:28" x14ac:dyDescent="0.25">
      <c r="J162" s="117"/>
      <c r="K162" s="117"/>
      <c r="L162" s="117"/>
      <c r="M162" s="117"/>
      <c r="N162" s="117"/>
      <c r="O162" s="22"/>
      <c r="P162" s="117"/>
      <c r="Q162" s="117"/>
      <c r="R162" s="117"/>
      <c r="S162" s="117"/>
      <c r="T162" s="117"/>
      <c r="U162" s="117"/>
      <c r="V162" s="22"/>
      <c r="W162" s="22"/>
      <c r="X162" s="117"/>
      <c r="Y162" s="117"/>
      <c r="Z162" s="117"/>
      <c r="AA162" s="117"/>
      <c r="AB162" s="117"/>
    </row>
    <row r="163" spans="10:28" x14ac:dyDescent="0.25">
      <c r="J163" s="117"/>
      <c r="K163" s="117"/>
      <c r="L163" s="117"/>
      <c r="M163" s="117"/>
      <c r="N163" s="117"/>
      <c r="O163" s="22"/>
      <c r="P163" s="117"/>
      <c r="Q163" s="117"/>
      <c r="R163" s="117"/>
      <c r="S163" s="117"/>
      <c r="T163" s="117"/>
      <c r="U163" s="117"/>
      <c r="V163" s="22"/>
      <c r="W163" s="22"/>
      <c r="X163" s="117"/>
      <c r="Y163" s="117"/>
      <c r="Z163" s="117"/>
      <c r="AA163" s="117"/>
      <c r="AB163" s="117"/>
    </row>
    <row r="164" spans="10:28" x14ac:dyDescent="0.25">
      <c r="J164" s="117"/>
      <c r="K164" s="117"/>
      <c r="L164" s="117"/>
      <c r="M164" s="117"/>
      <c r="N164" s="117"/>
      <c r="O164" s="22"/>
      <c r="P164" s="117"/>
      <c r="Q164" s="117"/>
      <c r="R164" s="117"/>
      <c r="S164" s="117"/>
      <c r="T164" s="117"/>
      <c r="U164" s="117"/>
      <c r="V164" s="22"/>
      <c r="W164" s="22"/>
      <c r="X164" s="117"/>
      <c r="Y164" s="117"/>
      <c r="Z164" s="117"/>
      <c r="AA164" s="117"/>
      <c r="AB164" s="117"/>
    </row>
    <row r="165" spans="10:28" x14ac:dyDescent="0.25">
      <c r="J165" s="117"/>
      <c r="K165" s="117"/>
      <c r="L165" s="117"/>
      <c r="M165" s="117"/>
      <c r="N165" s="117"/>
      <c r="O165" s="22"/>
      <c r="P165" s="117"/>
      <c r="Q165" s="117"/>
      <c r="R165" s="117"/>
      <c r="S165" s="117"/>
      <c r="T165" s="117"/>
      <c r="U165" s="117"/>
      <c r="V165" s="22"/>
      <c r="W165" s="22"/>
      <c r="X165" s="117"/>
      <c r="Y165" s="117"/>
      <c r="Z165" s="117"/>
      <c r="AA165" s="117"/>
      <c r="AB165" s="117"/>
    </row>
    <row r="166" spans="10:28" x14ac:dyDescent="0.25">
      <c r="J166" s="117"/>
      <c r="K166" s="117"/>
      <c r="L166" s="117"/>
      <c r="M166" s="117"/>
      <c r="N166" s="117"/>
      <c r="O166" s="22"/>
      <c r="P166" s="117"/>
      <c r="Q166" s="117"/>
      <c r="R166" s="117"/>
      <c r="S166" s="117"/>
      <c r="T166" s="117"/>
      <c r="U166" s="117"/>
      <c r="V166" s="22"/>
      <c r="W166" s="22"/>
      <c r="X166" s="117"/>
      <c r="Y166" s="117"/>
      <c r="Z166" s="117"/>
      <c r="AA166" s="117"/>
      <c r="AB166" s="117"/>
    </row>
    <row r="167" spans="10:28" x14ac:dyDescent="0.25">
      <c r="J167" s="117"/>
      <c r="K167" s="117"/>
      <c r="L167" s="117"/>
      <c r="M167" s="117"/>
      <c r="N167" s="117"/>
      <c r="O167" s="22"/>
      <c r="P167" s="117"/>
      <c r="Q167" s="117"/>
      <c r="R167" s="117"/>
      <c r="S167" s="117"/>
      <c r="T167" s="117"/>
      <c r="U167" s="117"/>
      <c r="V167" s="22"/>
      <c r="W167" s="22"/>
      <c r="X167" s="117"/>
      <c r="Y167" s="117"/>
      <c r="Z167" s="117"/>
      <c r="AA167" s="117"/>
      <c r="AB167" s="117"/>
    </row>
    <row r="168" spans="10:28" x14ac:dyDescent="0.25">
      <c r="J168" s="117"/>
      <c r="K168" s="117"/>
      <c r="L168" s="117"/>
      <c r="M168" s="117"/>
      <c r="N168" s="117"/>
      <c r="O168" s="22"/>
      <c r="P168" s="117"/>
      <c r="Q168" s="117"/>
      <c r="R168" s="117"/>
      <c r="S168" s="117"/>
      <c r="T168" s="117"/>
      <c r="U168" s="117"/>
      <c r="V168" s="22"/>
      <c r="W168" s="22"/>
      <c r="X168" s="117"/>
      <c r="Y168" s="117"/>
      <c r="Z168" s="117"/>
      <c r="AA168" s="117"/>
      <c r="AB168" s="117"/>
    </row>
    <row r="169" spans="10:28" x14ac:dyDescent="0.25">
      <c r="J169" s="117"/>
      <c r="K169" s="117"/>
      <c r="L169" s="117"/>
      <c r="M169" s="117"/>
      <c r="N169" s="117"/>
      <c r="O169" s="22"/>
      <c r="P169" s="117"/>
      <c r="Q169" s="117"/>
      <c r="R169" s="117"/>
      <c r="S169" s="117"/>
      <c r="T169" s="117"/>
      <c r="U169" s="117"/>
      <c r="V169" s="22"/>
      <c r="W169" s="22"/>
      <c r="X169" s="117"/>
      <c r="Y169" s="117"/>
      <c r="Z169" s="117"/>
      <c r="AA169" s="117"/>
      <c r="AB169" s="117"/>
    </row>
    <row r="170" spans="10:28" x14ac:dyDescent="0.25">
      <c r="J170" s="117"/>
      <c r="K170" s="117"/>
      <c r="L170" s="117"/>
      <c r="M170" s="117"/>
      <c r="N170" s="117"/>
      <c r="O170" s="22"/>
      <c r="P170" s="117"/>
      <c r="Q170" s="117"/>
      <c r="R170" s="117"/>
      <c r="S170" s="117"/>
      <c r="T170" s="117"/>
      <c r="U170" s="117"/>
      <c r="V170" s="22"/>
      <c r="W170" s="22"/>
      <c r="X170" s="117"/>
      <c r="Y170" s="117"/>
      <c r="Z170" s="117"/>
      <c r="AA170" s="117"/>
      <c r="AB170" s="117"/>
    </row>
    <row r="171" spans="10:28" x14ac:dyDescent="0.25">
      <c r="J171" s="117"/>
      <c r="K171" s="117"/>
      <c r="L171" s="117"/>
      <c r="M171" s="117"/>
      <c r="N171" s="117"/>
      <c r="O171" s="22"/>
      <c r="P171" s="117"/>
      <c r="Q171" s="117"/>
      <c r="R171" s="117"/>
      <c r="S171" s="117"/>
      <c r="T171" s="117"/>
      <c r="U171" s="117"/>
      <c r="V171" s="22"/>
      <c r="W171" s="22"/>
      <c r="X171" s="117"/>
      <c r="Y171" s="117"/>
      <c r="Z171" s="117"/>
      <c r="AA171" s="117"/>
      <c r="AB171" s="117"/>
    </row>
    <row r="172" spans="10:28" x14ac:dyDescent="0.25">
      <c r="J172" s="117"/>
      <c r="K172" s="117"/>
      <c r="L172" s="117"/>
      <c r="M172" s="117"/>
      <c r="N172" s="117"/>
      <c r="O172" s="22"/>
      <c r="P172" s="117"/>
      <c r="Q172" s="117"/>
      <c r="R172" s="117"/>
      <c r="S172" s="117"/>
      <c r="T172" s="117"/>
      <c r="U172" s="117"/>
      <c r="V172" s="22"/>
      <c r="W172" s="22"/>
      <c r="X172" s="117"/>
      <c r="Y172" s="117"/>
      <c r="Z172" s="117"/>
      <c r="AA172" s="117"/>
      <c r="AB172" s="117"/>
    </row>
    <row r="173" spans="10:28" x14ac:dyDescent="0.25">
      <c r="J173" s="117"/>
      <c r="K173" s="117"/>
      <c r="L173" s="117"/>
      <c r="M173" s="117"/>
      <c r="N173" s="117"/>
      <c r="O173" s="22"/>
      <c r="P173" s="117"/>
      <c r="Q173" s="117"/>
      <c r="R173" s="117"/>
      <c r="S173" s="117"/>
      <c r="T173" s="117"/>
      <c r="U173" s="117"/>
      <c r="V173" s="22"/>
      <c r="W173" s="22"/>
      <c r="X173" s="117"/>
      <c r="Y173" s="117"/>
      <c r="Z173" s="117"/>
      <c r="AA173" s="117"/>
      <c r="AB173" s="117"/>
    </row>
    <row r="174" spans="10:28" x14ac:dyDescent="0.25">
      <c r="J174" s="117"/>
      <c r="K174" s="117"/>
      <c r="L174" s="117"/>
      <c r="M174" s="117"/>
      <c r="N174" s="117"/>
      <c r="O174" s="22"/>
      <c r="P174" s="117"/>
      <c r="Q174" s="117"/>
      <c r="R174" s="117"/>
      <c r="S174" s="117"/>
      <c r="T174" s="117"/>
      <c r="U174" s="117"/>
      <c r="V174" s="22"/>
      <c r="W174" s="22"/>
      <c r="X174" s="117"/>
      <c r="Y174" s="117"/>
      <c r="Z174" s="117"/>
      <c r="AA174" s="117"/>
      <c r="AB174" s="117"/>
    </row>
    <row r="175" spans="10:28" x14ac:dyDescent="0.25">
      <c r="J175" s="117"/>
      <c r="K175" s="117"/>
      <c r="L175" s="117"/>
      <c r="M175" s="117"/>
      <c r="N175" s="117"/>
      <c r="O175" s="22"/>
      <c r="P175" s="117"/>
      <c r="Q175" s="117"/>
      <c r="R175" s="117"/>
      <c r="S175" s="117"/>
      <c r="T175" s="117"/>
      <c r="U175" s="117"/>
      <c r="V175" s="22"/>
      <c r="W175" s="22"/>
      <c r="X175" s="117"/>
      <c r="Y175" s="117"/>
      <c r="Z175" s="117"/>
      <c r="AA175" s="117"/>
      <c r="AB175" s="117"/>
    </row>
    <row r="176" spans="10:28" x14ac:dyDescent="0.25">
      <c r="J176" s="117"/>
      <c r="K176" s="117"/>
      <c r="L176" s="117"/>
      <c r="M176" s="117"/>
      <c r="N176" s="117"/>
      <c r="O176" s="22"/>
      <c r="P176" s="117"/>
      <c r="Q176" s="117"/>
      <c r="R176" s="117"/>
      <c r="S176" s="117"/>
      <c r="T176" s="117"/>
      <c r="U176" s="117"/>
      <c r="V176" s="22"/>
      <c r="W176" s="22"/>
      <c r="X176" s="117"/>
      <c r="Y176" s="117"/>
      <c r="Z176" s="117"/>
      <c r="AA176" s="117"/>
      <c r="AB176" s="117"/>
    </row>
    <row r="177" spans="10:28" x14ac:dyDescent="0.25">
      <c r="J177" s="117"/>
      <c r="K177" s="117"/>
      <c r="L177" s="117"/>
      <c r="M177" s="117"/>
      <c r="N177" s="117"/>
      <c r="O177" s="22"/>
      <c r="P177" s="117"/>
      <c r="Q177" s="117"/>
      <c r="R177" s="117"/>
      <c r="S177" s="117"/>
      <c r="T177" s="117"/>
      <c r="U177" s="117"/>
      <c r="V177" s="22"/>
      <c r="W177" s="22"/>
      <c r="X177" s="117"/>
      <c r="Y177" s="117"/>
      <c r="Z177" s="117"/>
      <c r="AA177" s="117"/>
      <c r="AB177" s="117"/>
    </row>
    <row r="178" spans="10:28" x14ac:dyDescent="0.25">
      <c r="J178" s="117"/>
      <c r="K178" s="117"/>
      <c r="L178" s="117"/>
      <c r="M178" s="117"/>
      <c r="N178" s="117"/>
      <c r="O178" s="22"/>
      <c r="P178" s="117"/>
      <c r="Q178" s="117"/>
      <c r="R178" s="117"/>
      <c r="S178" s="117"/>
      <c r="T178" s="117"/>
      <c r="U178" s="117"/>
      <c r="V178" s="22"/>
      <c r="W178" s="22"/>
      <c r="X178" s="117"/>
      <c r="Y178" s="117"/>
      <c r="Z178" s="117"/>
      <c r="AA178" s="117"/>
      <c r="AB178" s="117"/>
    </row>
    <row r="179" spans="10:28" x14ac:dyDescent="0.25">
      <c r="J179" s="117"/>
      <c r="K179" s="117"/>
      <c r="L179" s="117"/>
      <c r="M179" s="117"/>
      <c r="N179" s="117"/>
      <c r="O179" s="22"/>
      <c r="P179" s="117"/>
      <c r="Q179" s="117"/>
      <c r="R179" s="117"/>
      <c r="S179" s="117"/>
      <c r="T179" s="117"/>
      <c r="U179" s="117"/>
      <c r="V179" s="22"/>
      <c r="W179" s="22"/>
      <c r="X179" s="117"/>
      <c r="Y179" s="117"/>
      <c r="Z179" s="117"/>
      <c r="AA179" s="117"/>
      <c r="AB179" s="117"/>
    </row>
    <row r="180" spans="10:28" x14ac:dyDescent="0.25">
      <c r="J180" s="117"/>
      <c r="K180" s="117"/>
      <c r="L180" s="117"/>
      <c r="M180" s="117"/>
      <c r="N180" s="117"/>
      <c r="O180" s="22"/>
      <c r="P180" s="117"/>
      <c r="Q180" s="117"/>
      <c r="R180" s="117"/>
      <c r="S180" s="117"/>
      <c r="T180" s="117"/>
      <c r="U180" s="117"/>
      <c r="V180" s="22"/>
      <c r="W180" s="22"/>
      <c r="X180" s="117"/>
      <c r="Y180" s="117"/>
      <c r="Z180" s="117"/>
      <c r="AA180" s="117"/>
      <c r="AB180" s="117"/>
    </row>
    <row r="181" spans="10:28" x14ac:dyDescent="0.25">
      <c r="J181" s="117"/>
      <c r="K181" s="117"/>
      <c r="L181" s="117"/>
      <c r="M181" s="117"/>
      <c r="N181" s="117"/>
      <c r="O181" s="22"/>
      <c r="P181" s="117"/>
      <c r="Q181" s="117"/>
      <c r="R181" s="117"/>
      <c r="S181" s="117"/>
      <c r="T181" s="117"/>
      <c r="U181" s="117"/>
      <c r="V181" s="22"/>
      <c r="W181" s="22"/>
      <c r="X181" s="117"/>
      <c r="Y181" s="117"/>
      <c r="Z181" s="117"/>
      <c r="AA181" s="117"/>
      <c r="AB181" s="117"/>
    </row>
    <row r="182" spans="10:28" x14ac:dyDescent="0.25">
      <c r="J182" s="117"/>
      <c r="K182" s="117"/>
      <c r="L182" s="117"/>
      <c r="M182" s="117"/>
      <c r="N182" s="117"/>
      <c r="O182" s="22"/>
      <c r="P182" s="117"/>
      <c r="Q182" s="117"/>
      <c r="R182" s="117"/>
      <c r="S182" s="117"/>
      <c r="T182" s="117"/>
      <c r="U182" s="117"/>
      <c r="V182" s="22"/>
      <c r="W182" s="22"/>
      <c r="X182" s="117"/>
      <c r="Y182" s="117"/>
      <c r="Z182" s="117"/>
      <c r="AA182" s="117"/>
      <c r="AB182" s="117"/>
    </row>
    <row r="183" spans="10:28" x14ac:dyDescent="0.25">
      <c r="J183" s="117"/>
      <c r="K183" s="117"/>
      <c r="L183" s="117"/>
      <c r="M183" s="117"/>
      <c r="N183" s="117"/>
      <c r="O183" s="22"/>
      <c r="P183" s="117"/>
      <c r="Q183" s="117"/>
      <c r="R183" s="117"/>
      <c r="S183" s="117"/>
      <c r="T183" s="117"/>
      <c r="U183" s="117"/>
      <c r="V183" s="22"/>
      <c r="W183" s="22"/>
      <c r="X183" s="117"/>
      <c r="Y183" s="117"/>
      <c r="Z183" s="117"/>
      <c r="AA183" s="117"/>
      <c r="AB183" s="117"/>
    </row>
    <row r="184" spans="10:28" x14ac:dyDescent="0.25">
      <c r="J184" s="117"/>
      <c r="K184" s="117"/>
      <c r="L184" s="117"/>
      <c r="M184" s="117"/>
      <c r="N184" s="117"/>
      <c r="O184" s="22"/>
      <c r="P184" s="117"/>
      <c r="Q184" s="117"/>
      <c r="R184" s="117"/>
      <c r="S184" s="117"/>
      <c r="T184" s="117"/>
      <c r="U184" s="117"/>
      <c r="V184" s="22"/>
      <c r="W184" s="22"/>
      <c r="X184" s="117"/>
      <c r="Y184" s="117"/>
      <c r="Z184" s="117"/>
      <c r="AA184" s="117"/>
      <c r="AB184" s="117"/>
    </row>
    <row r="185" spans="10:28" x14ac:dyDescent="0.25">
      <c r="J185" s="117"/>
      <c r="K185" s="117"/>
      <c r="L185" s="117"/>
      <c r="M185" s="117"/>
      <c r="N185" s="117"/>
      <c r="O185" s="22"/>
      <c r="P185" s="117"/>
      <c r="Q185" s="117"/>
      <c r="R185" s="117"/>
      <c r="S185" s="117"/>
      <c r="T185" s="117"/>
      <c r="U185" s="117"/>
      <c r="V185" s="22"/>
      <c r="W185" s="22"/>
      <c r="X185" s="117"/>
      <c r="Y185" s="117"/>
      <c r="Z185" s="117"/>
      <c r="AA185" s="117"/>
      <c r="AB185" s="117"/>
    </row>
    <row r="186" spans="10:28" x14ac:dyDescent="0.25">
      <c r="J186" s="117"/>
      <c r="K186" s="117"/>
      <c r="L186" s="117"/>
      <c r="M186" s="117"/>
      <c r="N186" s="117"/>
      <c r="O186" s="22"/>
      <c r="P186" s="117"/>
      <c r="Q186" s="117"/>
      <c r="R186" s="117"/>
      <c r="S186" s="117"/>
      <c r="T186" s="117"/>
      <c r="U186" s="117"/>
      <c r="V186" s="22"/>
      <c r="W186" s="22"/>
      <c r="X186" s="117"/>
      <c r="Y186" s="117"/>
      <c r="Z186" s="117"/>
      <c r="AA186" s="117"/>
      <c r="AB186" s="117"/>
    </row>
    <row r="187" spans="10:28" x14ac:dyDescent="0.25">
      <c r="J187" s="117"/>
      <c r="K187" s="117"/>
      <c r="L187" s="117"/>
      <c r="M187" s="117"/>
      <c r="N187" s="117"/>
      <c r="O187" s="22"/>
      <c r="P187" s="117"/>
      <c r="Q187" s="117"/>
      <c r="R187" s="117"/>
      <c r="S187" s="117"/>
      <c r="T187" s="117"/>
      <c r="U187" s="117"/>
      <c r="V187" s="22"/>
      <c r="W187" s="22"/>
      <c r="X187" s="117"/>
      <c r="Y187" s="117"/>
      <c r="Z187" s="117"/>
      <c r="AA187" s="117"/>
      <c r="AB187" s="117"/>
    </row>
    <row r="188" spans="10:28" x14ac:dyDescent="0.25">
      <c r="J188" s="117"/>
      <c r="K188" s="117"/>
      <c r="L188" s="117"/>
      <c r="M188" s="117"/>
      <c r="N188" s="117"/>
      <c r="O188" s="22"/>
      <c r="P188" s="117"/>
      <c r="Q188" s="117"/>
      <c r="R188" s="117"/>
      <c r="S188" s="117"/>
      <c r="T188" s="117"/>
      <c r="U188" s="117"/>
      <c r="V188" s="22"/>
      <c r="W188" s="22"/>
      <c r="X188" s="117"/>
      <c r="Y188" s="117"/>
      <c r="Z188" s="117"/>
      <c r="AA188" s="117"/>
      <c r="AB188" s="117"/>
    </row>
    <row r="189" spans="10:28" x14ac:dyDescent="0.25">
      <c r="J189" s="117"/>
      <c r="K189" s="117"/>
      <c r="L189" s="117"/>
      <c r="M189" s="117"/>
      <c r="N189" s="117"/>
      <c r="O189" s="22"/>
      <c r="P189" s="117"/>
      <c r="Q189" s="117"/>
      <c r="R189" s="117"/>
      <c r="S189" s="117"/>
      <c r="T189" s="117"/>
      <c r="U189" s="117"/>
      <c r="V189" s="22"/>
      <c r="W189" s="22"/>
      <c r="X189" s="117"/>
      <c r="Y189" s="117"/>
      <c r="Z189" s="117"/>
      <c r="AA189" s="117"/>
      <c r="AB189" s="117"/>
    </row>
    <row r="190" spans="10:28" x14ac:dyDescent="0.25">
      <c r="V190" s="15"/>
      <c r="W190" s="22"/>
    </row>
    <row r="191" spans="10:28" x14ac:dyDescent="0.25">
      <c r="V191" s="22"/>
      <c r="W191" s="22"/>
    </row>
    <row r="192" spans="10:28" x14ac:dyDescent="0.25">
      <c r="V192" s="22"/>
      <c r="W192" s="22"/>
    </row>
    <row r="193" spans="22:23" x14ac:dyDescent="0.25">
      <c r="V193" s="22"/>
      <c r="W193" s="22"/>
    </row>
    <row r="194" spans="22:23" x14ac:dyDescent="0.25">
      <c r="V194" s="22"/>
      <c r="W194" s="22"/>
    </row>
    <row r="195" spans="22:23" x14ac:dyDescent="0.25">
      <c r="V195" s="22"/>
      <c r="W195" s="22"/>
    </row>
    <row r="196" spans="22:23" x14ac:dyDescent="0.25">
      <c r="V196" s="22"/>
      <c r="W196" s="22"/>
    </row>
    <row r="197" spans="22:23" x14ac:dyDescent="0.25">
      <c r="V197" s="22"/>
      <c r="W197" s="22"/>
    </row>
    <row r="198" spans="22:23" x14ac:dyDescent="0.25">
      <c r="V198" s="22"/>
      <c r="W198" s="22"/>
    </row>
    <row r="199" spans="22:23" x14ac:dyDescent="0.25">
      <c r="V199" s="22"/>
      <c r="W199" s="22"/>
    </row>
    <row r="200" spans="22:23" x14ac:dyDescent="0.25">
      <c r="V200" s="22"/>
      <c r="W200" s="22"/>
    </row>
    <row r="201" spans="22:23" x14ac:dyDescent="0.25">
      <c r="V201" s="22"/>
      <c r="W201" s="22"/>
    </row>
    <row r="202" spans="22:23" x14ac:dyDescent="0.25">
      <c r="V202" s="22"/>
      <c r="W202" s="22"/>
    </row>
    <row r="203" spans="22:23" x14ac:dyDescent="0.25">
      <c r="V203" s="22"/>
      <c r="W203" s="22"/>
    </row>
    <row r="204" spans="22:23" x14ac:dyDescent="0.25">
      <c r="V204" s="22"/>
      <c r="W204" s="22"/>
    </row>
    <row r="205" spans="22:23" x14ac:dyDescent="0.25">
      <c r="V205" s="22"/>
      <c r="W205" s="22"/>
    </row>
    <row r="206" spans="22:23" x14ac:dyDescent="0.25">
      <c r="V206" s="22"/>
      <c r="W206" s="22"/>
    </row>
    <row r="207" spans="22:23" x14ac:dyDescent="0.25">
      <c r="V207" s="22"/>
      <c r="W207" s="22"/>
    </row>
    <row r="208" spans="22:23" x14ac:dyDescent="0.25">
      <c r="V208" s="22"/>
      <c r="W208" s="22"/>
    </row>
    <row r="209" spans="22:23" x14ac:dyDescent="0.25">
      <c r="V209" s="22"/>
      <c r="W209" s="22"/>
    </row>
    <row r="210" spans="22:23" x14ac:dyDescent="0.25">
      <c r="V210" s="22"/>
      <c r="W210" s="22"/>
    </row>
    <row r="211" spans="22:23" x14ac:dyDescent="0.25">
      <c r="V211" s="22"/>
      <c r="W211" s="22"/>
    </row>
    <row r="212" spans="22:23" x14ac:dyDescent="0.25">
      <c r="V212" s="22"/>
      <c r="W212" s="22"/>
    </row>
    <row r="213" spans="22:23" x14ac:dyDescent="0.25">
      <c r="V213" s="22"/>
      <c r="W213" s="22"/>
    </row>
    <row r="214" spans="22:23" x14ac:dyDescent="0.25">
      <c r="V214" s="22"/>
      <c r="W214" s="22"/>
    </row>
    <row r="215" spans="22:23" x14ac:dyDescent="0.25">
      <c r="V215" s="22"/>
      <c r="W215" s="22"/>
    </row>
    <row r="216" spans="22:23" x14ac:dyDescent="0.25">
      <c r="V216" s="22"/>
      <c r="W216" s="22"/>
    </row>
    <row r="217" spans="22:23" x14ac:dyDescent="0.25">
      <c r="V217" s="22"/>
      <c r="W217" s="22"/>
    </row>
    <row r="218" spans="22:23" x14ac:dyDescent="0.25">
      <c r="V218" s="22"/>
      <c r="W218" s="22"/>
    </row>
    <row r="219" spans="22:23" x14ac:dyDescent="0.25">
      <c r="V219" s="22"/>
      <c r="W219" s="22"/>
    </row>
    <row r="220" spans="22:23" x14ac:dyDescent="0.25">
      <c r="V220" s="22"/>
      <c r="W220" s="22"/>
    </row>
    <row r="221" spans="22:23" x14ac:dyDescent="0.25">
      <c r="V221" s="22"/>
      <c r="W221" s="22"/>
    </row>
    <row r="222" spans="22:23" x14ac:dyDescent="0.25">
      <c r="V222" s="22"/>
      <c r="W222" s="22"/>
    </row>
    <row r="223" spans="22:23" x14ac:dyDescent="0.25">
      <c r="V223" s="22"/>
      <c r="W223" s="22"/>
    </row>
    <row r="224" spans="22:23" x14ac:dyDescent="0.25">
      <c r="V224" s="22"/>
      <c r="W224" s="22"/>
    </row>
    <row r="225" spans="22:23" x14ac:dyDescent="0.25">
      <c r="V225" s="22"/>
      <c r="W225" s="22"/>
    </row>
    <row r="226" spans="22:23" x14ac:dyDescent="0.25">
      <c r="V226" s="22"/>
      <c r="W226" s="22"/>
    </row>
    <row r="227" spans="22:23" x14ac:dyDescent="0.25">
      <c r="V227" s="22"/>
      <c r="W227" s="22"/>
    </row>
    <row r="228" spans="22:23" x14ac:dyDescent="0.25">
      <c r="V228" s="22"/>
      <c r="W228" s="22"/>
    </row>
  </sheetData>
  <mergeCells count="5">
    <mergeCell ref="G4:J10"/>
    <mergeCell ref="A15:F17"/>
    <mergeCell ref="A44:A46"/>
    <mergeCell ref="A48:I48"/>
    <mergeCell ref="A147:I14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485"/>
  <sheetViews>
    <sheetView workbookViewId="0">
      <selection sqref="A1:L2"/>
    </sheetView>
  </sheetViews>
  <sheetFormatPr defaultRowHeight="15" x14ac:dyDescent="0.25"/>
  <cols>
    <col min="1" max="1" width="24.5703125" bestFit="1" customWidth="1"/>
    <col min="2" max="2" width="13.85546875" bestFit="1" customWidth="1"/>
    <col min="3" max="3" width="11" bestFit="1" customWidth="1"/>
    <col min="4" max="4" width="13.85546875" bestFit="1" customWidth="1"/>
    <col min="5" max="5" width="15.7109375" bestFit="1" customWidth="1"/>
    <col min="6" max="6" width="16.5703125" bestFit="1" customWidth="1"/>
    <col min="7" max="7" width="31.28515625" bestFit="1" customWidth="1"/>
    <col min="8" max="8" width="12.5703125" bestFit="1" customWidth="1"/>
    <col min="9" max="9" width="9.28515625" bestFit="1" customWidth="1"/>
    <col min="10" max="10" width="10.85546875" bestFit="1" customWidth="1"/>
    <col min="11" max="11" width="5.85546875" customWidth="1"/>
    <col min="12" max="12" width="5.7109375" customWidth="1"/>
    <col min="14" max="14" width="5.28515625" bestFit="1" customWidth="1"/>
    <col min="15" max="15" width="27.140625" bestFit="1" customWidth="1"/>
    <col min="16" max="16" width="11" bestFit="1" customWidth="1"/>
    <col min="17" max="17" width="10.85546875" bestFit="1" customWidth="1"/>
    <col min="18" max="18" width="15.42578125" bestFit="1" customWidth="1"/>
    <col min="19" max="19" width="32.28515625" bestFit="1" customWidth="1"/>
    <col min="20" max="20" width="46.85546875" bestFit="1" customWidth="1"/>
    <col min="21" max="21" width="37.5703125" bestFit="1" customWidth="1"/>
  </cols>
  <sheetData>
    <row r="1" spans="1:21" ht="15" customHeight="1" x14ac:dyDescent="0.25">
      <c r="A1" s="530" t="s">
        <v>266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O1" s="3" t="s">
        <v>2</v>
      </c>
      <c r="P1" s="4"/>
      <c r="Q1" s="4"/>
      <c r="R1" s="3"/>
      <c r="S1" s="5"/>
      <c r="T1" s="3"/>
    </row>
    <row r="2" spans="1:21" ht="15" customHeight="1" x14ac:dyDescent="0.25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O2" s="3" t="s">
        <v>3</v>
      </c>
      <c r="P2" s="4"/>
      <c r="Q2" s="4"/>
      <c r="R2" s="3"/>
      <c r="S2" s="5"/>
      <c r="T2" s="3"/>
    </row>
    <row r="3" spans="1:21" ht="45" x14ac:dyDescent="0.25">
      <c r="A3" s="137" t="s">
        <v>252</v>
      </c>
      <c r="B3" s="13" t="s">
        <v>15</v>
      </c>
      <c r="C3" s="13" t="s">
        <v>11</v>
      </c>
      <c r="D3" s="13" t="s">
        <v>12</v>
      </c>
      <c r="E3" s="13" t="s">
        <v>13</v>
      </c>
      <c r="F3" s="13" t="s">
        <v>14</v>
      </c>
      <c r="G3" s="13" t="s">
        <v>0</v>
      </c>
      <c r="H3" s="22"/>
      <c r="I3" s="15" t="s">
        <v>187</v>
      </c>
      <c r="J3" s="15" t="s">
        <v>186</v>
      </c>
      <c r="K3" s="57"/>
      <c r="L3" s="57"/>
      <c r="O3" s="3" t="s">
        <v>4</v>
      </c>
      <c r="P3" s="4"/>
      <c r="Q3" s="4"/>
      <c r="R3" s="3"/>
      <c r="S3" s="5"/>
      <c r="T3" s="3"/>
    </row>
    <row r="4" spans="1:21" ht="30" x14ac:dyDescent="0.25">
      <c r="A4" s="32">
        <v>4</v>
      </c>
      <c r="B4" s="14" t="s">
        <v>2</v>
      </c>
      <c r="C4" s="25">
        <v>0.625</v>
      </c>
      <c r="D4" s="25">
        <v>0.66666666666666696</v>
      </c>
      <c r="E4" s="14">
        <v>1</v>
      </c>
      <c r="F4" s="24"/>
      <c r="G4" s="14" t="s">
        <v>101</v>
      </c>
      <c r="H4" s="22"/>
      <c r="I4" s="57" t="s">
        <v>182</v>
      </c>
      <c r="J4" s="57" t="s">
        <v>181</v>
      </c>
      <c r="K4" s="57"/>
      <c r="L4" s="57"/>
      <c r="O4" s="3" t="s">
        <v>5</v>
      </c>
      <c r="P4" s="4">
        <v>0.54166666666666663</v>
      </c>
      <c r="Q4" s="4">
        <v>0.625</v>
      </c>
      <c r="R4" s="3">
        <v>2</v>
      </c>
      <c r="S4" s="5"/>
      <c r="T4" s="3" t="s">
        <v>77</v>
      </c>
    </row>
    <row r="5" spans="1:21" ht="60" x14ac:dyDescent="0.25">
      <c r="A5" s="32">
        <v>5</v>
      </c>
      <c r="B5" s="14" t="s">
        <v>3</v>
      </c>
      <c r="C5" s="25"/>
      <c r="D5" s="25"/>
      <c r="E5" s="14"/>
      <c r="F5" s="24"/>
      <c r="G5" s="14"/>
      <c r="H5" s="22"/>
      <c r="I5" s="57" t="s">
        <v>180</v>
      </c>
      <c r="J5" s="57" t="s">
        <v>179</v>
      </c>
      <c r="K5" s="57"/>
      <c r="L5" s="57"/>
      <c r="O5" s="3"/>
      <c r="P5" s="4">
        <v>0.625</v>
      </c>
      <c r="Q5" s="4">
        <v>0.66666666666666663</v>
      </c>
      <c r="R5" s="3">
        <v>1</v>
      </c>
      <c r="S5" s="5"/>
      <c r="T5" s="3" t="s">
        <v>78</v>
      </c>
    </row>
    <row r="6" spans="1:21" x14ac:dyDescent="0.25">
      <c r="A6" s="32">
        <v>6</v>
      </c>
      <c r="B6" s="14" t="s">
        <v>4</v>
      </c>
      <c r="C6" s="25">
        <v>0.625</v>
      </c>
      <c r="D6" s="25">
        <v>0.66666666666666696</v>
      </c>
      <c r="E6" s="14">
        <v>1</v>
      </c>
      <c r="F6" s="24"/>
      <c r="G6" s="14" t="s">
        <v>102</v>
      </c>
      <c r="H6" s="22"/>
      <c r="I6" s="57"/>
      <c r="J6" s="57"/>
      <c r="K6" s="57"/>
      <c r="L6" s="57"/>
      <c r="O6" s="3" t="s">
        <v>6</v>
      </c>
      <c r="P6" s="4">
        <v>0.54166666666666663</v>
      </c>
      <c r="Q6" s="4">
        <v>0.625</v>
      </c>
      <c r="R6" s="3">
        <v>2</v>
      </c>
      <c r="S6" s="5"/>
      <c r="T6" s="3" t="s">
        <v>79</v>
      </c>
    </row>
    <row r="7" spans="1:21" x14ac:dyDescent="0.25">
      <c r="A7" s="32">
        <v>7</v>
      </c>
      <c r="B7" s="14" t="s">
        <v>5</v>
      </c>
      <c r="C7" s="26"/>
      <c r="D7" s="26"/>
      <c r="E7" s="15"/>
      <c r="F7" s="24"/>
      <c r="G7" s="14"/>
      <c r="H7" s="22"/>
      <c r="I7" s="57"/>
      <c r="J7" s="57"/>
      <c r="K7" s="57"/>
      <c r="L7" s="57"/>
      <c r="O7" s="3" t="s">
        <v>7</v>
      </c>
      <c r="P7" s="4">
        <v>0.54166666666666663</v>
      </c>
      <c r="Q7" s="4">
        <v>0.58333333333333337</v>
      </c>
      <c r="R7" s="3">
        <v>1</v>
      </c>
      <c r="S7" s="5"/>
      <c r="T7" s="3" t="s">
        <v>80</v>
      </c>
      <c r="U7" t="s">
        <v>81</v>
      </c>
    </row>
    <row r="8" spans="1:21" x14ac:dyDescent="0.25">
      <c r="A8" s="32">
        <v>8</v>
      </c>
      <c r="B8" s="14"/>
      <c r="C8" s="25"/>
      <c r="D8" s="25"/>
      <c r="E8" s="14"/>
      <c r="F8" s="24"/>
      <c r="G8" s="14"/>
      <c r="H8" s="22"/>
      <c r="I8" s="57"/>
      <c r="J8" s="57"/>
      <c r="K8" s="57"/>
      <c r="L8" s="57"/>
      <c r="O8" s="3" t="s">
        <v>8</v>
      </c>
      <c r="P8" s="4">
        <v>0.375</v>
      </c>
      <c r="Q8" s="4">
        <v>0.625</v>
      </c>
      <c r="R8" s="3">
        <v>6</v>
      </c>
      <c r="S8" s="5"/>
      <c r="T8" s="3" t="s">
        <v>82</v>
      </c>
      <c r="U8" t="s">
        <v>83</v>
      </c>
    </row>
    <row r="9" spans="1:21" x14ac:dyDescent="0.25">
      <c r="A9" s="32">
        <v>9</v>
      </c>
      <c r="B9" s="14" t="s">
        <v>6</v>
      </c>
      <c r="C9" s="14"/>
      <c r="D9" s="14"/>
      <c r="E9" s="14"/>
      <c r="F9" s="24"/>
      <c r="G9" s="14"/>
      <c r="H9" s="22"/>
      <c r="I9" s="57"/>
      <c r="J9" s="57"/>
      <c r="K9" s="57"/>
      <c r="L9" s="57"/>
      <c r="O9" s="2" t="s">
        <v>26</v>
      </c>
      <c r="P9" s="1"/>
      <c r="Q9" s="1"/>
      <c r="R9" s="1">
        <f>SUM(R1:R8)</f>
        <v>12</v>
      </c>
    </row>
    <row r="10" spans="1:21" x14ac:dyDescent="0.25">
      <c r="A10" s="32">
        <v>10</v>
      </c>
      <c r="B10" s="14" t="s">
        <v>7</v>
      </c>
      <c r="C10" s="14"/>
      <c r="D10" s="14"/>
      <c r="E10" s="14"/>
      <c r="F10" s="24"/>
      <c r="G10" s="14"/>
      <c r="H10" s="22"/>
      <c r="I10" s="57"/>
      <c r="J10" s="57"/>
      <c r="K10" s="57"/>
      <c r="L10" s="57"/>
    </row>
    <row r="11" spans="1:21" x14ac:dyDescent="0.25">
      <c r="A11" s="32">
        <v>11</v>
      </c>
      <c r="B11" s="14" t="s">
        <v>8</v>
      </c>
      <c r="C11" s="25"/>
      <c r="D11" s="25"/>
      <c r="E11" s="14"/>
      <c r="F11" s="24"/>
      <c r="G11" s="14"/>
      <c r="H11" s="22"/>
      <c r="I11" s="57"/>
      <c r="J11" s="57"/>
      <c r="K11" s="57"/>
      <c r="L11" s="57"/>
    </row>
    <row r="12" spans="1:21" x14ac:dyDescent="0.25">
      <c r="A12" s="15"/>
      <c r="B12" s="13" t="s">
        <v>26</v>
      </c>
      <c r="C12" s="15"/>
      <c r="D12" s="15"/>
      <c r="E12" s="32">
        <f>SUM(E4:E11)</f>
        <v>2</v>
      </c>
      <c r="F12" s="15"/>
      <c r="G12" s="145" t="s">
        <v>265</v>
      </c>
      <c r="H12" s="22"/>
      <c r="I12" s="57"/>
      <c r="J12" s="57"/>
      <c r="K12" s="57"/>
      <c r="L12" s="57"/>
      <c r="O12" s="2" t="s">
        <v>15</v>
      </c>
      <c r="P12" s="2" t="s">
        <v>11</v>
      </c>
      <c r="Q12" s="2" t="s">
        <v>12</v>
      </c>
      <c r="R12" s="2" t="s">
        <v>13</v>
      </c>
      <c r="S12" s="2" t="s">
        <v>14</v>
      </c>
      <c r="T12" s="2" t="s">
        <v>0</v>
      </c>
    </row>
    <row r="13" spans="1:21" x14ac:dyDescent="0.25">
      <c r="A13" s="22"/>
      <c r="B13" s="22"/>
      <c r="C13" s="22"/>
      <c r="D13" s="22"/>
      <c r="E13" s="22"/>
      <c r="F13" s="22"/>
      <c r="G13" s="22"/>
      <c r="H13" s="22"/>
      <c r="I13" s="57"/>
      <c r="J13" s="57"/>
      <c r="K13" s="57"/>
      <c r="L13" s="57"/>
      <c r="O13" s="3" t="s">
        <v>2</v>
      </c>
      <c r="P13" s="4">
        <v>0.41666666666666669</v>
      </c>
      <c r="Q13" s="4">
        <v>0.45833333333333331</v>
      </c>
      <c r="R13" s="3">
        <v>1</v>
      </c>
      <c r="T13" s="5" t="s">
        <v>84</v>
      </c>
    </row>
    <row r="14" spans="1:21" ht="30" x14ac:dyDescent="0.25">
      <c r="A14" s="15"/>
      <c r="B14" s="13" t="s">
        <v>42</v>
      </c>
      <c r="C14" s="13" t="s">
        <v>11</v>
      </c>
      <c r="D14" s="13" t="s">
        <v>12</v>
      </c>
      <c r="E14" s="13" t="s">
        <v>13</v>
      </c>
      <c r="F14" s="32" t="s">
        <v>150</v>
      </c>
      <c r="G14" s="13" t="s">
        <v>0</v>
      </c>
      <c r="H14" s="13" t="s">
        <v>43</v>
      </c>
      <c r="I14" s="57"/>
      <c r="J14" s="57"/>
      <c r="K14" s="57"/>
      <c r="L14" s="57"/>
      <c r="O14" s="3" t="s">
        <v>3</v>
      </c>
      <c r="P14" s="6">
        <v>0.41666666666666669</v>
      </c>
      <c r="Q14" s="4">
        <v>0.45833333333333331</v>
      </c>
      <c r="R14" s="3">
        <v>1</v>
      </c>
      <c r="T14" s="5" t="s">
        <v>84</v>
      </c>
    </row>
    <row r="15" spans="1:21" x14ac:dyDescent="0.25">
      <c r="A15" s="32">
        <v>12</v>
      </c>
      <c r="B15" s="14" t="s">
        <v>2</v>
      </c>
      <c r="C15" s="15"/>
      <c r="D15" s="15"/>
      <c r="E15" s="15"/>
      <c r="F15" s="15"/>
      <c r="G15" s="15"/>
      <c r="H15" s="22"/>
      <c r="I15" s="57"/>
      <c r="J15" s="57"/>
      <c r="K15" s="57"/>
      <c r="L15" s="57"/>
      <c r="O15" s="3"/>
      <c r="P15" s="4">
        <v>0.52083333333333337</v>
      </c>
      <c r="Q15" s="4">
        <v>0.54166666666666663</v>
      </c>
      <c r="R15" s="3">
        <v>0.5</v>
      </c>
      <c r="T15" s="5" t="s">
        <v>85</v>
      </c>
    </row>
    <row r="16" spans="1:21" x14ac:dyDescent="0.25">
      <c r="A16" s="32">
        <v>13</v>
      </c>
      <c r="B16" s="14" t="s">
        <v>3</v>
      </c>
      <c r="C16" s="26"/>
      <c r="D16" s="26"/>
      <c r="E16" s="15"/>
      <c r="F16" s="15"/>
      <c r="G16" s="15"/>
      <c r="H16" s="22"/>
      <c r="I16" s="57"/>
      <c r="J16" s="57"/>
      <c r="K16" s="57"/>
      <c r="L16" s="57"/>
      <c r="O16" s="3"/>
      <c r="P16" s="4">
        <v>0.64583333333333337</v>
      </c>
      <c r="Q16" s="4">
        <v>0.6875</v>
      </c>
      <c r="R16" s="3">
        <v>1</v>
      </c>
      <c r="T16" s="5" t="s">
        <v>86</v>
      </c>
    </row>
    <row r="17" spans="1:21" x14ac:dyDescent="0.25">
      <c r="A17" s="32">
        <v>14</v>
      </c>
      <c r="B17" s="14" t="s">
        <v>4</v>
      </c>
      <c r="C17" s="15"/>
      <c r="D17" s="15"/>
      <c r="E17" s="15"/>
      <c r="F17" s="15"/>
      <c r="G17" s="15"/>
      <c r="H17" s="22"/>
      <c r="I17" s="57"/>
      <c r="J17" s="57"/>
      <c r="K17" s="57"/>
      <c r="L17" s="57"/>
      <c r="O17" s="3" t="s">
        <v>4</v>
      </c>
      <c r="P17" s="7">
        <v>0.5625</v>
      </c>
      <c r="Q17" s="7">
        <v>0.66666666666666663</v>
      </c>
      <c r="R17" s="3">
        <v>3.5</v>
      </c>
      <c r="T17" s="5" t="s">
        <v>87</v>
      </c>
    </row>
    <row r="18" spans="1:21" x14ac:dyDescent="0.25">
      <c r="A18" s="32">
        <v>15</v>
      </c>
      <c r="B18" s="14" t="s">
        <v>5</v>
      </c>
      <c r="C18" s="25"/>
      <c r="D18" s="25"/>
      <c r="E18" s="15"/>
      <c r="F18" s="15"/>
      <c r="G18" s="15"/>
      <c r="H18" s="22"/>
      <c r="I18" s="57"/>
      <c r="J18" s="57"/>
      <c r="K18" s="57"/>
      <c r="L18" s="57"/>
      <c r="O18" s="3"/>
      <c r="P18" s="4">
        <v>0.72916666666666663</v>
      </c>
      <c r="Q18" s="4">
        <v>0.9375</v>
      </c>
      <c r="R18" s="3">
        <v>5</v>
      </c>
      <c r="T18" s="5" t="s">
        <v>88</v>
      </c>
    </row>
    <row r="19" spans="1:21" x14ac:dyDescent="0.25">
      <c r="A19" s="32">
        <v>16</v>
      </c>
      <c r="B19" s="14" t="s">
        <v>6</v>
      </c>
      <c r="C19" s="26"/>
      <c r="D19" s="26"/>
      <c r="E19" s="15"/>
      <c r="F19" s="15"/>
      <c r="G19" s="15"/>
      <c r="H19" s="22"/>
      <c r="I19" s="57"/>
      <c r="J19" s="57"/>
      <c r="K19" s="57"/>
      <c r="L19" s="57"/>
      <c r="O19" s="3"/>
      <c r="P19" s="4">
        <v>0.97916666666666663</v>
      </c>
      <c r="Q19" s="4">
        <v>5.2083333333333336E-2</v>
      </c>
      <c r="R19" s="3">
        <v>1.75</v>
      </c>
      <c r="T19" s="5" t="s">
        <v>84</v>
      </c>
    </row>
    <row r="20" spans="1:21" x14ac:dyDescent="0.25">
      <c r="A20" s="32">
        <v>17</v>
      </c>
      <c r="B20" s="14" t="s">
        <v>7</v>
      </c>
      <c r="C20" s="15"/>
      <c r="D20" s="15"/>
      <c r="E20" s="15"/>
      <c r="F20" s="15"/>
      <c r="G20" s="15"/>
      <c r="H20" s="22"/>
      <c r="I20" s="57"/>
      <c r="J20" s="57"/>
      <c r="K20" s="57"/>
      <c r="L20" s="57"/>
      <c r="O20" s="3" t="s">
        <v>5</v>
      </c>
      <c r="P20" s="4">
        <v>0.45833333333333331</v>
      </c>
      <c r="Q20" s="4">
        <v>0.5</v>
      </c>
      <c r="R20" s="3">
        <v>1</v>
      </c>
      <c r="T20" s="5" t="s">
        <v>89</v>
      </c>
    </row>
    <row r="21" spans="1:21" x14ac:dyDescent="0.25">
      <c r="A21" s="32">
        <v>18</v>
      </c>
      <c r="B21" s="14" t="s">
        <v>8</v>
      </c>
      <c r="C21" s="15"/>
      <c r="D21" s="15"/>
      <c r="E21" s="15"/>
      <c r="F21" s="15"/>
      <c r="G21" s="15"/>
      <c r="H21" s="22"/>
      <c r="I21" s="57"/>
      <c r="J21" s="57"/>
      <c r="K21" s="57"/>
      <c r="L21" s="57"/>
      <c r="O21" s="3"/>
      <c r="P21" s="4">
        <v>0.5</v>
      </c>
      <c r="Q21" s="4">
        <v>0.625</v>
      </c>
      <c r="R21" s="3">
        <v>3</v>
      </c>
      <c r="T21" s="5" t="s">
        <v>90</v>
      </c>
    </row>
    <row r="22" spans="1:21" x14ac:dyDescent="0.25">
      <c r="A22" s="15"/>
      <c r="B22" s="13" t="s">
        <v>26</v>
      </c>
      <c r="C22" s="32"/>
      <c r="D22" s="32"/>
      <c r="E22" s="32">
        <f>SUM(E15:E21)</f>
        <v>0</v>
      </c>
      <c r="F22" s="15"/>
      <c r="G22" s="145" t="s">
        <v>265</v>
      </c>
      <c r="H22" s="22"/>
      <c r="I22" s="57"/>
      <c r="J22" s="57"/>
      <c r="K22" s="57"/>
      <c r="L22" s="57"/>
      <c r="O22" s="3"/>
      <c r="P22" s="4">
        <v>0.625</v>
      </c>
      <c r="Q22" s="4">
        <v>0.66666666666666663</v>
      </c>
      <c r="R22" s="3">
        <v>1</v>
      </c>
      <c r="T22" s="5" t="s">
        <v>91</v>
      </c>
    </row>
    <row r="23" spans="1:21" x14ac:dyDescent="0.25">
      <c r="A23" s="144" t="s">
        <v>230</v>
      </c>
      <c r="B23" s="35" t="s">
        <v>227</v>
      </c>
      <c r="C23" s="17"/>
      <c r="D23" s="17"/>
      <c r="E23" s="17">
        <f>SUM(E15:E19, E4:E11)</f>
        <v>2</v>
      </c>
      <c r="F23" s="115" t="s">
        <v>28</v>
      </c>
      <c r="G23" s="144" t="s">
        <v>259</v>
      </c>
      <c r="H23" s="151" t="s">
        <v>103</v>
      </c>
      <c r="I23" s="57"/>
      <c r="J23" s="57"/>
      <c r="K23" s="57"/>
      <c r="L23" s="57"/>
      <c r="O23" s="3" t="s">
        <v>6</v>
      </c>
      <c r="P23" s="3"/>
      <c r="Q23" s="3"/>
      <c r="R23" s="3">
        <f t="shared" ref="R23:R25" si="0">SUM(Q23-P23)</f>
        <v>0</v>
      </c>
      <c r="S23" s="5"/>
      <c r="T23" s="3"/>
    </row>
    <row r="24" spans="1:21" x14ac:dyDescent="0.25">
      <c r="A24" s="32"/>
      <c r="B24" s="15"/>
      <c r="C24" s="15"/>
      <c r="D24" s="15"/>
      <c r="E24" s="15"/>
      <c r="F24" s="15"/>
      <c r="G24" s="15"/>
      <c r="H24" s="22"/>
      <c r="I24" s="57"/>
      <c r="J24" s="57"/>
      <c r="K24" s="57"/>
      <c r="L24" s="57"/>
      <c r="O24" s="3" t="s">
        <v>7</v>
      </c>
      <c r="P24" s="3"/>
      <c r="Q24" s="3"/>
      <c r="R24" s="3">
        <f t="shared" si="0"/>
        <v>0</v>
      </c>
      <c r="S24" s="5"/>
      <c r="T24" s="3"/>
    </row>
    <row r="25" spans="1:21" x14ac:dyDescent="0.25">
      <c r="A25" s="32"/>
      <c r="B25" s="15"/>
      <c r="C25" s="15"/>
      <c r="D25" s="15"/>
      <c r="E25" s="15"/>
      <c r="F25" s="15"/>
      <c r="G25" s="15"/>
      <c r="H25" s="22"/>
      <c r="I25" s="57"/>
      <c r="J25" s="57"/>
      <c r="K25" s="57"/>
      <c r="L25" s="57"/>
      <c r="O25" s="3" t="s">
        <v>8</v>
      </c>
      <c r="P25" s="4"/>
      <c r="Q25" s="4"/>
      <c r="R25" s="3">
        <f t="shared" si="0"/>
        <v>0</v>
      </c>
      <c r="S25" s="5"/>
      <c r="T25" s="3"/>
    </row>
    <row r="26" spans="1:21" ht="30" x14ac:dyDescent="0.25">
      <c r="A26" s="32"/>
      <c r="B26" s="13" t="s">
        <v>46</v>
      </c>
      <c r="C26" s="13" t="s">
        <v>11</v>
      </c>
      <c r="D26" s="13" t="s">
        <v>12</v>
      </c>
      <c r="E26" s="13" t="s">
        <v>13</v>
      </c>
      <c r="F26" s="32" t="s">
        <v>150</v>
      </c>
      <c r="G26" s="13" t="s">
        <v>0</v>
      </c>
      <c r="H26" s="13" t="s">
        <v>43</v>
      </c>
      <c r="I26" s="57"/>
      <c r="J26" s="57"/>
      <c r="K26" s="57"/>
      <c r="L26" s="57"/>
      <c r="O26" s="2" t="s">
        <v>26</v>
      </c>
      <c r="P26" s="1"/>
      <c r="Q26" s="1"/>
      <c r="R26" s="1">
        <f>SUM(R13:R25)</f>
        <v>18.75</v>
      </c>
    </row>
    <row r="27" spans="1:21" s="10" customFormat="1" x14ac:dyDescent="0.25">
      <c r="A27" s="32">
        <v>19</v>
      </c>
      <c r="B27" s="14" t="s">
        <v>2</v>
      </c>
      <c r="C27" s="15"/>
      <c r="D27" s="15"/>
      <c r="E27" s="15"/>
      <c r="F27" s="15"/>
      <c r="G27" s="15"/>
      <c r="H27" s="22"/>
      <c r="I27" s="57"/>
      <c r="J27" s="57"/>
      <c r="K27" s="57"/>
      <c r="L27" s="57"/>
      <c r="O27" s="9" t="s">
        <v>27</v>
      </c>
      <c r="P27" s="9"/>
      <c r="Q27" s="9"/>
      <c r="S27" s="9" t="s">
        <v>92</v>
      </c>
      <c r="T27" s="9"/>
      <c r="U27" s="12"/>
    </row>
    <row r="28" spans="1:21" x14ac:dyDescent="0.25">
      <c r="A28" s="32">
        <v>20</v>
      </c>
      <c r="B28" s="14" t="s">
        <v>3</v>
      </c>
      <c r="C28" s="15"/>
      <c r="D28" s="15"/>
      <c r="E28" s="15"/>
      <c r="F28" s="15"/>
      <c r="G28" s="15"/>
      <c r="H28" s="22"/>
      <c r="I28" s="57"/>
      <c r="J28" s="57"/>
      <c r="K28" s="57"/>
      <c r="L28" s="57"/>
    </row>
    <row r="29" spans="1:21" x14ac:dyDescent="0.25">
      <c r="A29" s="32">
        <v>21</v>
      </c>
      <c r="B29" s="14" t="s">
        <v>4</v>
      </c>
      <c r="C29" s="15"/>
      <c r="D29" s="15"/>
      <c r="E29" s="15"/>
      <c r="F29" s="15"/>
      <c r="G29" s="15"/>
      <c r="H29" s="22"/>
      <c r="I29" s="57"/>
      <c r="J29" s="57"/>
      <c r="K29" s="57"/>
      <c r="L29" s="57"/>
    </row>
    <row r="30" spans="1:21" x14ac:dyDescent="0.25">
      <c r="A30" s="32">
        <v>22</v>
      </c>
      <c r="B30" s="14" t="s">
        <v>5</v>
      </c>
      <c r="C30" s="25"/>
      <c r="D30" s="25"/>
      <c r="E30" s="15"/>
      <c r="F30" s="15"/>
      <c r="G30" s="15"/>
      <c r="H30" s="22"/>
      <c r="I30" s="57"/>
      <c r="J30" s="57"/>
      <c r="K30" s="57"/>
      <c r="L30" s="57"/>
      <c r="O30" s="2" t="s">
        <v>42</v>
      </c>
      <c r="P30" s="2" t="s">
        <v>11</v>
      </c>
      <c r="Q30" s="2" t="s">
        <v>12</v>
      </c>
      <c r="R30" s="2" t="s">
        <v>13</v>
      </c>
      <c r="S30" s="2" t="s">
        <v>14</v>
      </c>
      <c r="T30" s="2" t="s">
        <v>0</v>
      </c>
    </row>
    <row r="31" spans="1:21" x14ac:dyDescent="0.25">
      <c r="A31" s="32">
        <v>23</v>
      </c>
      <c r="B31" s="14" t="s">
        <v>6</v>
      </c>
      <c r="C31" s="26"/>
      <c r="D31" s="26"/>
      <c r="E31" s="15"/>
      <c r="F31" s="15"/>
      <c r="G31" s="15"/>
      <c r="H31" s="22"/>
      <c r="I31" s="57"/>
      <c r="J31" s="57"/>
      <c r="K31" s="57"/>
      <c r="L31" s="57"/>
      <c r="O31" s="3" t="s">
        <v>2</v>
      </c>
      <c r="P31" s="4"/>
      <c r="Q31" s="4"/>
      <c r="R31" s="3"/>
      <c r="S31" s="5"/>
      <c r="T31" s="3"/>
    </row>
    <row r="32" spans="1:21" x14ac:dyDescent="0.25">
      <c r="A32" s="32">
        <v>24</v>
      </c>
      <c r="B32" s="14" t="s">
        <v>7</v>
      </c>
      <c r="C32" s="15"/>
      <c r="D32" s="15"/>
      <c r="E32" s="15"/>
      <c r="F32" s="15"/>
      <c r="G32" s="15"/>
      <c r="H32" s="22"/>
      <c r="I32" s="57"/>
      <c r="J32" s="57"/>
      <c r="K32" s="57"/>
      <c r="L32" s="57"/>
      <c r="O32" s="3" t="s">
        <v>3</v>
      </c>
      <c r="P32" s="6"/>
      <c r="Q32" s="4"/>
      <c r="R32" s="3"/>
      <c r="S32" s="5"/>
      <c r="T32" s="3"/>
    </row>
    <row r="33" spans="1:20" x14ac:dyDescent="0.25">
      <c r="A33" s="32">
        <v>25</v>
      </c>
      <c r="B33" s="14" t="s">
        <v>8</v>
      </c>
      <c r="C33" s="15"/>
      <c r="D33" s="15"/>
      <c r="E33" s="15"/>
      <c r="F33" s="15"/>
      <c r="G33" s="15"/>
      <c r="H33" s="22"/>
      <c r="I33" s="57"/>
      <c r="J33" s="57"/>
      <c r="K33" s="57"/>
      <c r="L33" s="57"/>
      <c r="O33" s="3" t="s">
        <v>4</v>
      </c>
      <c r="P33" s="7"/>
      <c r="Q33" s="7"/>
      <c r="R33" s="3"/>
      <c r="S33" s="5"/>
      <c r="T33" s="3"/>
    </row>
    <row r="34" spans="1:20" x14ac:dyDescent="0.25">
      <c r="A34" s="32"/>
      <c r="B34" s="13" t="s">
        <v>26</v>
      </c>
      <c r="C34" s="32"/>
      <c r="D34" s="32"/>
      <c r="E34" s="32">
        <f>SUM(E26:E33)</f>
        <v>0</v>
      </c>
      <c r="F34" s="15"/>
      <c r="G34" s="144" t="s">
        <v>259</v>
      </c>
      <c r="H34" s="22"/>
      <c r="I34" s="57"/>
      <c r="J34" s="57"/>
      <c r="K34" s="57"/>
      <c r="L34" s="57"/>
      <c r="O34" s="3" t="s">
        <v>5</v>
      </c>
      <c r="P34" s="4"/>
      <c r="Q34" s="4"/>
      <c r="R34" s="3"/>
      <c r="S34" s="5"/>
      <c r="T34" s="3"/>
    </row>
    <row r="35" spans="1:20" x14ac:dyDescent="0.25">
      <c r="A35" s="32"/>
      <c r="B35" s="14"/>
      <c r="C35" s="15"/>
      <c r="D35" s="15"/>
      <c r="E35" s="15"/>
      <c r="F35" s="15"/>
      <c r="G35" s="15"/>
      <c r="H35" s="22"/>
      <c r="I35" s="57"/>
      <c r="J35" s="57"/>
      <c r="K35" s="57"/>
      <c r="L35" s="57"/>
      <c r="O35" s="3" t="s">
        <v>6</v>
      </c>
      <c r="P35" s="3"/>
      <c r="Q35" s="3"/>
      <c r="R35" s="3"/>
      <c r="S35" s="5"/>
      <c r="T35" s="3"/>
    </row>
    <row r="36" spans="1:20" ht="30" x14ac:dyDescent="0.25">
      <c r="A36" s="32"/>
      <c r="B36" s="13" t="s">
        <v>10</v>
      </c>
      <c r="C36" s="13" t="s">
        <v>11</v>
      </c>
      <c r="D36" s="13" t="s">
        <v>12</v>
      </c>
      <c r="E36" s="13" t="s">
        <v>13</v>
      </c>
      <c r="F36" s="13" t="s">
        <v>14</v>
      </c>
      <c r="G36" s="13" t="s">
        <v>0</v>
      </c>
      <c r="H36" s="22"/>
      <c r="I36" s="57"/>
      <c r="J36" s="57"/>
      <c r="K36" s="57"/>
      <c r="L36" s="57"/>
      <c r="O36" s="3" t="s">
        <v>7</v>
      </c>
      <c r="P36" s="3"/>
      <c r="Q36" s="3"/>
      <c r="R36" s="3"/>
      <c r="S36" s="5"/>
      <c r="T36" s="3"/>
    </row>
    <row r="37" spans="1:20" x14ac:dyDescent="0.25">
      <c r="A37" s="32">
        <v>26</v>
      </c>
      <c r="B37" s="14" t="s">
        <v>2</v>
      </c>
      <c r="C37" s="26"/>
      <c r="D37" s="26"/>
      <c r="E37" s="15"/>
      <c r="F37" s="15"/>
      <c r="G37" s="15"/>
      <c r="H37" s="22"/>
      <c r="I37" s="57"/>
      <c r="J37" s="57"/>
      <c r="K37" s="57"/>
      <c r="L37" s="57"/>
      <c r="O37" s="3" t="s">
        <v>8</v>
      </c>
      <c r="P37" s="4"/>
      <c r="Q37" s="4"/>
      <c r="R37" s="3"/>
      <c r="S37" s="5"/>
      <c r="T37" s="3"/>
    </row>
    <row r="38" spans="1:20" x14ac:dyDescent="0.25">
      <c r="A38" s="32">
        <v>27</v>
      </c>
      <c r="B38" s="14" t="s">
        <v>3</v>
      </c>
      <c r="C38" s="15"/>
      <c r="D38" s="15"/>
      <c r="E38" s="15"/>
      <c r="F38" s="15"/>
      <c r="G38" s="15"/>
      <c r="H38" s="22"/>
      <c r="I38" s="57"/>
      <c r="J38" s="57"/>
      <c r="K38" s="57"/>
      <c r="L38" s="57"/>
      <c r="O38" s="2" t="s">
        <v>26</v>
      </c>
      <c r="P38" s="1"/>
      <c r="Q38" s="1"/>
      <c r="R38" s="1">
        <v>7</v>
      </c>
    </row>
    <row r="39" spans="1:20" ht="30" x14ac:dyDescent="0.25">
      <c r="A39" s="32">
        <v>28</v>
      </c>
      <c r="B39" s="14" t="s">
        <v>21</v>
      </c>
      <c r="C39" s="15"/>
      <c r="D39" s="15"/>
      <c r="E39" s="15"/>
      <c r="F39" s="15"/>
      <c r="G39" s="15"/>
      <c r="H39" s="22"/>
      <c r="I39" s="57"/>
      <c r="J39" s="57"/>
      <c r="K39" s="57"/>
      <c r="L39" s="57"/>
    </row>
    <row r="40" spans="1:20" x14ac:dyDescent="0.25">
      <c r="A40" s="32">
        <v>29</v>
      </c>
      <c r="B40" s="14" t="s">
        <v>5</v>
      </c>
      <c r="C40" s="33">
        <v>0.5</v>
      </c>
      <c r="D40" s="33">
        <v>0.66666666666666663</v>
      </c>
      <c r="E40" s="15">
        <v>4</v>
      </c>
      <c r="F40" s="15"/>
      <c r="G40" s="15" t="s">
        <v>105</v>
      </c>
      <c r="H40" s="22"/>
      <c r="I40" s="57"/>
      <c r="J40" s="57"/>
      <c r="K40" s="57"/>
      <c r="L40" s="57"/>
    </row>
    <row r="41" spans="1:20" x14ac:dyDescent="0.25">
      <c r="A41" s="32">
        <v>30</v>
      </c>
      <c r="B41" s="14" t="s">
        <v>6</v>
      </c>
      <c r="C41" s="26"/>
      <c r="D41" s="26"/>
      <c r="E41" s="15"/>
      <c r="F41" s="15"/>
      <c r="G41" s="15"/>
      <c r="H41" s="22"/>
      <c r="I41" s="57"/>
      <c r="J41" s="57"/>
      <c r="K41" s="57"/>
      <c r="L41" s="57"/>
    </row>
    <row r="42" spans="1:20" x14ac:dyDescent="0.25">
      <c r="A42" s="32">
        <v>31</v>
      </c>
      <c r="B42" s="14" t="s">
        <v>7</v>
      </c>
      <c r="C42" s="15"/>
      <c r="D42" s="15"/>
      <c r="E42" s="15"/>
      <c r="F42" s="15"/>
      <c r="G42" s="15"/>
      <c r="H42" s="22"/>
      <c r="I42" s="58"/>
      <c r="J42" s="58"/>
      <c r="K42" s="58"/>
      <c r="L42" s="58"/>
      <c r="O42" s="2" t="s">
        <v>46</v>
      </c>
      <c r="P42" s="2" t="s">
        <v>11</v>
      </c>
      <c r="Q42" s="2" t="s">
        <v>12</v>
      </c>
      <c r="R42" s="2" t="s">
        <v>13</v>
      </c>
      <c r="S42" s="2" t="s">
        <v>14</v>
      </c>
      <c r="T42" s="2" t="s">
        <v>0</v>
      </c>
    </row>
    <row r="43" spans="1:20" x14ac:dyDescent="0.25">
      <c r="A43" s="32">
        <v>1</v>
      </c>
      <c r="B43" s="14" t="s">
        <v>8</v>
      </c>
      <c r="C43" s="15"/>
      <c r="D43" s="15"/>
      <c r="E43" s="15"/>
      <c r="F43" s="15"/>
      <c r="G43" s="15"/>
      <c r="H43" s="22"/>
      <c r="I43" s="57"/>
      <c r="J43" s="57"/>
      <c r="K43" s="57"/>
      <c r="L43" s="57"/>
      <c r="O43" s="3" t="s">
        <v>2</v>
      </c>
      <c r="P43" s="4"/>
      <c r="Q43" s="4"/>
      <c r="R43" s="3"/>
      <c r="S43" s="5"/>
      <c r="T43" s="3"/>
    </row>
    <row r="44" spans="1:20" x14ac:dyDescent="0.25">
      <c r="A44" s="15"/>
      <c r="B44" s="13" t="s">
        <v>26</v>
      </c>
      <c r="C44" s="32"/>
      <c r="D44" s="32"/>
      <c r="E44" s="32">
        <f>SUM(E36:E43)</f>
        <v>4</v>
      </c>
      <c r="F44" s="22"/>
      <c r="G44" s="144" t="s">
        <v>260</v>
      </c>
      <c r="H44" s="22"/>
      <c r="I44" s="59" t="s">
        <v>23</v>
      </c>
      <c r="J44" s="59"/>
      <c r="K44" s="59"/>
      <c r="L44" s="59"/>
      <c r="O44" s="3" t="s">
        <v>3</v>
      </c>
      <c r="P44" s="6"/>
      <c r="Q44" s="4"/>
      <c r="R44" s="3"/>
      <c r="S44" s="5"/>
      <c r="T44" s="3"/>
    </row>
    <row r="45" spans="1:20" x14ac:dyDescent="0.25">
      <c r="A45" s="144" t="s">
        <v>229</v>
      </c>
      <c r="B45" s="35" t="s">
        <v>227</v>
      </c>
      <c r="C45" s="60"/>
      <c r="D45" s="61"/>
      <c r="E45" s="35">
        <f>SUM(E37:E43,E27:E33)</f>
        <v>4</v>
      </c>
      <c r="F45" s="115" t="s">
        <v>28</v>
      </c>
      <c r="G45" s="144" t="s">
        <v>258</v>
      </c>
      <c r="H45" s="151" t="s">
        <v>103</v>
      </c>
      <c r="I45" s="59"/>
      <c r="J45" s="59"/>
      <c r="K45" s="59"/>
      <c r="L45" s="59"/>
      <c r="O45" s="3" t="s">
        <v>4</v>
      </c>
      <c r="P45" s="7"/>
      <c r="Q45" s="7"/>
      <c r="R45" s="3"/>
      <c r="S45" s="5"/>
      <c r="T45" s="3"/>
    </row>
    <row r="46" spans="1:20" x14ac:dyDescent="0.25">
      <c r="A46" s="15"/>
      <c r="B46" s="15"/>
      <c r="C46" s="15"/>
      <c r="D46" s="15"/>
      <c r="E46" s="15"/>
      <c r="F46" s="15"/>
      <c r="G46" s="15"/>
      <c r="H46" s="22"/>
      <c r="I46" s="59"/>
      <c r="J46" s="59"/>
      <c r="K46" s="59"/>
      <c r="L46" s="59"/>
      <c r="O46" s="3" t="s">
        <v>5</v>
      </c>
      <c r="P46" s="4"/>
      <c r="Q46" s="4"/>
      <c r="R46" s="3"/>
      <c r="S46" s="5"/>
      <c r="T46" s="3"/>
    </row>
    <row r="47" spans="1:20" ht="30" x14ac:dyDescent="0.25">
      <c r="A47" s="22"/>
      <c r="B47" s="13" t="s">
        <v>29</v>
      </c>
      <c r="C47" s="13" t="s">
        <v>11</v>
      </c>
      <c r="D47" s="13" t="s">
        <v>12</v>
      </c>
      <c r="E47" s="13" t="s">
        <v>13</v>
      </c>
      <c r="F47" s="13" t="s">
        <v>14</v>
      </c>
      <c r="G47" s="13" t="s">
        <v>0</v>
      </c>
      <c r="H47" s="22"/>
      <c r="I47" s="57"/>
      <c r="J47" s="57"/>
      <c r="K47" s="57"/>
      <c r="L47" s="57"/>
      <c r="O47" s="3" t="s">
        <v>6</v>
      </c>
      <c r="P47" s="8">
        <v>0.75</v>
      </c>
      <c r="Q47" s="8">
        <v>0.91666666666666663</v>
      </c>
      <c r="R47" s="3">
        <v>4</v>
      </c>
      <c r="S47" s="5"/>
      <c r="T47" s="3" t="s">
        <v>93</v>
      </c>
    </row>
    <row r="48" spans="1:20" x14ac:dyDescent="0.25">
      <c r="A48" s="53">
        <v>2</v>
      </c>
      <c r="B48" s="14" t="s">
        <v>2</v>
      </c>
      <c r="C48" s="25"/>
      <c r="D48" s="25"/>
      <c r="E48" s="14"/>
      <c r="F48" s="24"/>
      <c r="G48" s="14" t="s">
        <v>30</v>
      </c>
      <c r="H48" s="22"/>
      <c r="I48" s="57"/>
      <c r="J48" s="57"/>
      <c r="K48" s="57"/>
      <c r="L48" s="57"/>
      <c r="O48" s="3" t="s">
        <v>7</v>
      </c>
      <c r="P48" s="3"/>
      <c r="Q48" s="3"/>
      <c r="R48" s="3"/>
      <c r="S48" s="5"/>
      <c r="T48" s="3"/>
    </row>
    <row r="49" spans="1:20" x14ac:dyDescent="0.25">
      <c r="A49" s="53">
        <v>3</v>
      </c>
      <c r="B49" s="14" t="s">
        <v>3</v>
      </c>
      <c r="C49" s="33"/>
      <c r="D49" s="25"/>
      <c r="E49" s="14"/>
      <c r="F49" s="24"/>
      <c r="G49" s="14"/>
      <c r="H49" s="22"/>
      <c r="I49" s="57"/>
      <c r="J49" s="57"/>
      <c r="K49" s="57"/>
      <c r="L49" s="57"/>
      <c r="O49" s="3" t="s">
        <v>8</v>
      </c>
      <c r="P49" s="4"/>
      <c r="Q49" s="4"/>
      <c r="R49" s="3">
        <v>3</v>
      </c>
      <c r="S49" s="5"/>
      <c r="T49" s="3"/>
    </row>
    <row r="50" spans="1:20" x14ac:dyDescent="0.25">
      <c r="A50" s="53">
        <v>4</v>
      </c>
      <c r="B50" s="14" t="s">
        <v>4</v>
      </c>
      <c r="C50" s="26"/>
      <c r="D50" s="26"/>
      <c r="E50" s="14"/>
      <c r="F50" s="24"/>
      <c r="G50" s="14"/>
      <c r="H50" s="22"/>
      <c r="I50" s="57"/>
      <c r="J50" s="57"/>
      <c r="K50" s="57"/>
      <c r="L50" s="57"/>
      <c r="O50" s="2" t="s">
        <v>26</v>
      </c>
      <c r="P50" s="1"/>
      <c r="Q50" s="1"/>
      <c r="R50" s="1">
        <f>SUM(R43:R49)</f>
        <v>7</v>
      </c>
    </row>
    <row r="51" spans="1:20" x14ac:dyDescent="0.25">
      <c r="A51" s="53">
        <v>5</v>
      </c>
      <c r="B51" s="14" t="s">
        <v>5</v>
      </c>
      <c r="C51" s="25"/>
      <c r="D51" s="25"/>
      <c r="E51" s="14"/>
      <c r="F51" s="24"/>
      <c r="G51" s="14"/>
      <c r="H51" s="22"/>
      <c r="I51" s="57"/>
      <c r="J51" s="57"/>
      <c r="K51" s="57"/>
      <c r="L51" s="57"/>
    </row>
    <row r="52" spans="1:20" x14ac:dyDescent="0.25">
      <c r="A52" s="53">
        <v>6</v>
      </c>
      <c r="B52" s="14" t="s">
        <v>6</v>
      </c>
      <c r="C52" s="33">
        <v>0.39583333333333331</v>
      </c>
      <c r="D52" s="33">
        <v>0.47916666666666669</v>
      </c>
      <c r="E52" s="15">
        <v>2</v>
      </c>
      <c r="F52" s="15"/>
      <c r="G52" s="15" t="s">
        <v>105</v>
      </c>
      <c r="H52" s="22"/>
      <c r="I52" s="57"/>
      <c r="J52" s="57"/>
      <c r="K52" s="57"/>
      <c r="L52" s="57"/>
    </row>
    <row r="53" spans="1:20" x14ac:dyDescent="0.25">
      <c r="A53" s="53">
        <v>7</v>
      </c>
      <c r="B53" s="14" t="s">
        <v>7</v>
      </c>
      <c r="C53" s="33">
        <v>0.5</v>
      </c>
      <c r="D53" s="33">
        <v>0.54166666666666663</v>
      </c>
      <c r="E53" s="15">
        <v>1</v>
      </c>
      <c r="F53" s="15"/>
      <c r="G53" s="15" t="s">
        <v>106</v>
      </c>
      <c r="H53" s="22"/>
      <c r="I53" s="57"/>
      <c r="J53" s="57"/>
      <c r="K53" s="57"/>
      <c r="L53" s="57"/>
    </row>
    <row r="54" spans="1:20" x14ac:dyDescent="0.25">
      <c r="A54" s="53">
        <v>8</v>
      </c>
      <c r="B54" s="14" t="s">
        <v>8</v>
      </c>
      <c r="C54" s="33">
        <v>0.5</v>
      </c>
      <c r="D54" s="26">
        <v>0.58333333333333337</v>
      </c>
      <c r="E54" s="15">
        <v>2</v>
      </c>
      <c r="F54" s="15"/>
      <c r="G54" s="15" t="s">
        <v>107</v>
      </c>
      <c r="H54" s="22"/>
      <c r="I54" s="57"/>
      <c r="J54" s="57"/>
      <c r="K54" s="57"/>
      <c r="L54" s="57"/>
      <c r="O54" s="2" t="s">
        <v>10</v>
      </c>
      <c r="P54" s="2" t="s">
        <v>11</v>
      </c>
      <c r="Q54" s="2" t="s">
        <v>12</v>
      </c>
      <c r="R54" s="2" t="s">
        <v>13</v>
      </c>
      <c r="S54" s="2" t="s">
        <v>14</v>
      </c>
      <c r="T54" s="2" t="s">
        <v>0</v>
      </c>
    </row>
    <row r="55" spans="1:20" x14ac:dyDescent="0.25">
      <c r="A55" s="53"/>
      <c r="B55" s="13" t="s">
        <v>26</v>
      </c>
      <c r="C55" s="15"/>
      <c r="D55" s="15"/>
      <c r="E55" s="32">
        <f>SUM(E48:E54)</f>
        <v>5</v>
      </c>
      <c r="F55" s="15"/>
      <c r="G55" s="144" t="s">
        <v>261</v>
      </c>
      <c r="H55" s="15"/>
      <c r="I55" s="57"/>
      <c r="J55" s="57"/>
      <c r="K55" s="57"/>
      <c r="L55" s="57"/>
      <c r="O55" s="3" t="s">
        <v>2</v>
      </c>
      <c r="P55" s="4">
        <v>0.41666666666666669</v>
      </c>
      <c r="Q55" s="4">
        <v>0.5</v>
      </c>
      <c r="R55" s="3">
        <v>2</v>
      </c>
      <c r="S55" s="5"/>
      <c r="T55" s="3" t="s">
        <v>94</v>
      </c>
    </row>
    <row r="56" spans="1:20" x14ac:dyDescent="0.25">
      <c r="A56" s="22"/>
      <c r="B56" s="14"/>
      <c r="C56" s="25"/>
      <c r="D56" s="25"/>
      <c r="E56" s="14"/>
      <c r="F56" s="24"/>
      <c r="G56" s="14"/>
      <c r="H56" s="22"/>
      <c r="I56" s="57"/>
      <c r="J56" s="57"/>
      <c r="K56" s="57"/>
      <c r="L56" s="57"/>
      <c r="O56" s="3" t="s">
        <v>3</v>
      </c>
      <c r="P56" s="6">
        <v>0.66666666666666663</v>
      </c>
      <c r="Q56" s="4">
        <v>0.70833333333333337</v>
      </c>
      <c r="R56" s="3">
        <v>1</v>
      </c>
      <c r="S56" s="5"/>
      <c r="T56" s="3" t="s">
        <v>95</v>
      </c>
    </row>
    <row r="57" spans="1:20" x14ac:dyDescent="0.25">
      <c r="A57" s="22"/>
      <c r="B57" s="13"/>
      <c r="C57" s="32"/>
      <c r="D57" s="32"/>
      <c r="E57" s="32"/>
      <c r="F57" s="15"/>
      <c r="G57" s="15"/>
      <c r="H57" s="22"/>
      <c r="I57" s="57"/>
      <c r="J57" s="57"/>
      <c r="K57" s="57"/>
      <c r="L57" s="57"/>
      <c r="O57" s="3" t="s">
        <v>4</v>
      </c>
      <c r="P57" s="7"/>
      <c r="Q57" s="7"/>
      <c r="R57" s="3"/>
      <c r="S57" s="5"/>
      <c r="T57" s="3"/>
    </row>
    <row r="58" spans="1:20" x14ac:dyDescent="0.25">
      <c r="A58" s="15"/>
      <c r="B58" s="15"/>
      <c r="C58" s="15"/>
      <c r="D58" s="15"/>
      <c r="E58" s="15"/>
      <c r="F58" s="15"/>
      <c r="G58" s="15"/>
      <c r="H58" s="22"/>
      <c r="I58" s="57"/>
      <c r="J58" s="57"/>
      <c r="K58" s="57"/>
      <c r="L58" s="57"/>
      <c r="O58" s="3" t="s">
        <v>5</v>
      </c>
      <c r="P58" s="4"/>
      <c r="Q58" s="4"/>
      <c r="R58" s="3"/>
      <c r="S58" s="5"/>
      <c r="T58" s="3"/>
    </row>
    <row r="59" spans="1:20" x14ac:dyDescent="0.25">
      <c r="A59" s="15"/>
      <c r="B59" s="15"/>
      <c r="C59" s="15"/>
      <c r="D59" s="15"/>
      <c r="E59" s="15"/>
      <c r="F59" s="15"/>
      <c r="G59" s="15"/>
      <c r="H59" s="22"/>
      <c r="I59" s="57"/>
      <c r="J59" s="57"/>
      <c r="K59" s="57"/>
      <c r="L59" s="57"/>
      <c r="O59" s="3" t="s">
        <v>6</v>
      </c>
      <c r="P59" s="3"/>
      <c r="Q59" s="3"/>
      <c r="R59" s="3"/>
      <c r="S59" s="5"/>
      <c r="T59" s="3" t="s">
        <v>96</v>
      </c>
    </row>
    <row r="60" spans="1:20" ht="30" x14ac:dyDescent="0.25">
      <c r="A60" s="15"/>
      <c r="B60" s="13" t="s">
        <v>36</v>
      </c>
      <c r="C60" s="13" t="s">
        <v>11</v>
      </c>
      <c r="D60" s="13" t="s">
        <v>12</v>
      </c>
      <c r="E60" s="13" t="s">
        <v>13</v>
      </c>
      <c r="F60" s="13" t="s">
        <v>14</v>
      </c>
      <c r="G60" s="13" t="s">
        <v>0</v>
      </c>
      <c r="H60" s="22"/>
      <c r="I60" s="57"/>
      <c r="J60" s="57"/>
      <c r="K60" s="57"/>
      <c r="L60" s="57"/>
      <c r="O60" s="3" t="s">
        <v>7</v>
      </c>
      <c r="P60" s="3"/>
      <c r="Q60" s="3"/>
      <c r="R60" s="3"/>
      <c r="S60" s="5"/>
      <c r="T60" s="3"/>
    </row>
    <row r="61" spans="1:20" x14ac:dyDescent="0.25">
      <c r="A61" s="32">
        <v>9</v>
      </c>
      <c r="B61" s="14" t="s">
        <v>2</v>
      </c>
      <c r="C61" s="33"/>
      <c r="D61" s="25"/>
      <c r="E61" s="14"/>
      <c r="F61" s="24"/>
      <c r="G61" s="14"/>
      <c r="H61" s="22"/>
      <c r="I61" s="57"/>
      <c r="J61" s="57"/>
      <c r="K61" s="57"/>
      <c r="L61" s="57"/>
      <c r="O61" s="3" t="s">
        <v>8</v>
      </c>
      <c r="P61" s="4"/>
      <c r="Q61" s="4"/>
      <c r="R61" s="3">
        <v>4</v>
      </c>
      <c r="S61" s="5"/>
      <c r="T61" s="3"/>
    </row>
    <row r="62" spans="1:20" x14ac:dyDescent="0.25">
      <c r="A62" s="32">
        <v>10</v>
      </c>
      <c r="B62" s="14" t="s">
        <v>257</v>
      </c>
      <c r="C62" s="26">
        <v>0.60416666666666663</v>
      </c>
      <c r="D62" s="26">
        <v>0.625</v>
      </c>
      <c r="E62" s="15">
        <v>0.5</v>
      </c>
      <c r="F62" s="15"/>
      <c r="G62" s="15" t="s">
        <v>109</v>
      </c>
      <c r="H62" s="22"/>
      <c r="I62" s="57"/>
      <c r="J62" s="57"/>
      <c r="K62" s="57"/>
      <c r="L62" s="57"/>
      <c r="O62" s="2" t="s">
        <v>26</v>
      </c>
      <c r="P62" s="1"/>
      <c r="Q62" s="1"/>
      <c r="R62" s="1">
        <f>SUM(R55:R61)</f>
        <v>7</v>
      </c>
    </row>
    <row r="63" spans="1:20" x14ac:dyDescent="0.25">
      <c r="A63" s="32"/>
      <c r="B63" s="21"/>
      <c r="C63" s="26">
        <v>0.625</v>
      </c>
      <c r="D63" s="26">
        <v>0.64583333333333337</v>
      </c>
      <c r="E63" s="15">
        <v>0.5</v>
      </c>
      <c r="F63" s="15"/>
      <c r="G63" s="15" t="s">
        <v>110</v>
      </c>
      <c r="H63" s="22"/>
      <c r="I63" s="57"/>
      <c r="J63" s="57"/>
      <c r="K63" s="57"/>
      <c r="L63" s="57"/>
    </row>
    <row r="64" spans="1:20" x14ac:dyDescent="0.25">
      <c r="A64" s="32">
        <v>11</v>
      </c>
      <c r="B64" s="14" t="s">
        <v>4</v>
      </c>
      <c r="C64" s="26"/>
      <c r="D64" s="26"/>
      <c r="E64" s="14"/>
      <c r="F64" s="15"/>
      <c r="G64" s="24"/>
      <c r="H64" s="22"/>
      <c r="I64" s="57"/>
      <c r="J64" s="57"/>
      <c r="K64" s="57"/>
      <c r="L64" s="57"/>
    </row>
    <row r="65" spans="1:20" x14ac:dyDescent="0.25">
      <c r="A65" s="32">
        <v>12</v>
      </c>
      <c r="B65" s="14" t="s">
        <v>5</v>
      </c>
      <c r="C65" s="26">
        <v>0.41666666666666669</v>
      </c>
      <c r="D65" s="26">
        <v>0.4375</v>
      </c>
      <c r="E65" s="14">
        <v>0.5</v>
      </c>
      <c r="F65" s="15"/>
      <c r="G65" s="24" t="s">
        <v>111</v>
      </c>
      <c r="H65" s="22"/>
      <c r="I65" s="57"/>
      <c r="J65" s="57"/>
      <c r="K65" s="57"/>
      <c r="L65" s="57"/>
    </row>
    <row r="66" spans="1:20" x14ac:dyDescent="0.25">
      <c r="A66" s="32">
        <v>13</v>
      </c>
      <c r="B66" s="14" t="s">
        <v>6</v>
      </c>
      <c r="C66" s="25">
        <v>0.58333333333333337</v>
      </c>
      <c r="D66" s="25">
        <v>0.64583333333333337</v>
      </c>
      <c r="E66" s="14">
        <v>1.5</v>
      </c>
      <c r="F66" s="15"/>
      <c r="G66" s="24" t="s">
        <v>112</v>
      </c>
      <c r="H66" s="22"/>
      <c r="I66" s="57"/>
      <c r="J66" s="57"/>
      <c r="K66" s="57"/>
      <c r="L66" s="57"/>
      <c r="O66" s="2" t="s">
        <v>29</v>
      </c>
      <c r="P66" s="2" t="s">
        <v>11</v>
      </c>
      <c r="Q66" s="2" t="s">
        <v>12</v>
      </c>
      <c r="R66" s="2" t="s">
        <v>13</v>
      </c>
      <c r="S66" s="2" t="s">
        <v>14</v>
      </c>
      <c r="T66" s="2" t="s">
        <v>0</v>
      </c>
    </row>
    <row r="67" spans="1:20" x14ac:dyDescent="0.25">
      <c r="A67" s="32">
        <v>14</v>
      </c>
      <c r="B67" s="14" t="s">
        <v>7</v>
      </c>
      <c r="C67" s="14"/>
      <c r="D67" s="14"/>
      <c r="E67" s="14"/>
      <c r="F67" s="24"/>
      <c r="G67" s="14"/>
      <c r="H67" s="22"/>
      <c r="I67" s="57"/>
      <c r="J67" s="57"/>
      <c r="K67" s="57"/>
      <c r="L67" s="57"/>
      <c r="O67" s="3" t="s">
        <v>2</v>
      </c>
      <c r="P67" s="4"/>
      <c r="Q67" s="4"/>
      <c r="R67" s="3"/>
      <c r="S67" s="5"/>
      <c r="T67" s="3" t="s">
        <v>30</v>
      </c>
    </row>
    <row r="68" spans="1:20" x14ac:dyDescent="0.25">
      <c r="A68" s="32">
        <v>15</v>
      </c>
      <c r="B68" s="14" t="s">
        <v>8</v>
      </c>
      <c r="C68" s="14"/>
      <c r="D68" s="14"/>
      <c r="E68" s="14"/>
      <c r="F68" s="24"/>
      <c r="G68" s="14"/>
      <c r="H68" s="22"/>
      <c r="I68" s="57"/>
      <c r="J68" s="57"/>
      <c r="K68" s="57"/>
      <c r="L68" s="57"/>
      <c r="O68" s="3" t="s">
        <v>3</v>
      </c>
      <c r="P68" s="6"/>
      <c r="Q68" s="4"/>
      <c r="R68" s="3"/>
      <c r="S68" s="5"/>
      <c r="T68" s="3"/>
    </row>
    <row r="69" spans="1:20" x14ac:dyDescent="0.25">
      <c r="A69" s="15"/>
      <c r="B69" s="13" t="s">
        <v>26</v>
      </c>
      <c r="C69" s="25"/>
      <c r="D69" s="25"/>
      <c r="E69" s="32">
        <f>SUM(E61:E68)</f>
        <v>3</v>
      </c>
      <c r="F69" s="24"/>
      <c r="G69" s="144" t="s">
        <v>262</v>
      </c>
      <c r="H69" s="22"/>
      <c r="I69" s="57"/>
      <c r="J69" s="57"/>
      <c r="K69" s="57"/>
      <c r="L69" s="57"/>
      <c r="O69" s="3" t="s">
        <v>4</v>
      </c>
      <c r="P69" s="7"/>
      <c r="Q69" s="7"/>
      <c r="R69" s="3"/>
      <c r="S69" s="5"/>
      <c r="T69" s="3"/>
    </row>
    <row r="70" spans="1:20" x14ac:dyDescent="0.25">
      <c r="A70" s="15"/>
      <c r="B70" s="21"/>
      <c r="C70" s="32"/>
      <c r="D70" s="32"/>
      <c r="E70" s="15"/>
      <c r="F70" s="15"/>
      <c r="G70" s="15"/>
      <c r="H70" s="22"/>
      <c r="I70" s="57"/>
      <c r="J70" s="57"/>
      <c r="K70" s="57"/>
      <c r="L70" s="57"/>
      <c r="O70" s="3" t="s">
        <v>5</v>
      </c>
      <c r="P70" s="4"/>
      <c r="Q70" s="4"/>
      <c r="R70" s="3"/>
      <c r="S70" s="5"/>
      <c r="T70" s="3"/>
    </row>
    <row r="71" spans="1:20" x14ac:dyDescent="0.25">
      <c r="A71" s="144" t="s">
        <v>231</v>
      </c>
      <c r="B71" s="35" t="s">
        <v>227</v>
      </c>
      <c r="C71" s="60"/>
      <c r="D71" s="61"/>
      <c r="E71" s="35">
        <f>SUM(E48:E54,E61:E68)</f>
        <v>8</v>
      </c>
      <c r="F71" s="115" t="s">
        <v>28</v>
      </c>
      <c r="G71" s="144" t="s">
        <v>263</v>
      </c>
      <c r="H71" s="151" t="s">
        <v>103</v>
      </c>
      <c r="I71" s="57"/>
      <c r="J71" s="57"/>
      <c r="K71" s="57"/>
      <c r="L71" s="57"/>
      <c r="O71" s="3" t="s">
        <v>6</v>
      </c>
      <c r="P71" s="3"/>
      <c r="Q71" s="3"/>
      <c r="R71" s="3"/>
      <c r="S71" s="5"/>
      <c r="T71" s="3"/>
    </row>
    <row r="72" spans="1:20" x14ac:dyDescent="0.25">
      <c r="A72" s="15"/>
      <c r="B72" s="20"/>
      <c r="C72" s="146"/>
      <c r="D72" s="147"/>
      <c r="E72" s="20"/>
      <c r="F72" s="20"/>
      <c r="G72" s="53"/>
      <c r="H72" s="22"/>
      <c r="I72" s="57"/>
      <c r="J72" s="57"/>
      <c r="K72" s="57"/>
      <c r="L72" s="57"/>
      <c r="O72" s="3" t="s">
        <v>7</v>
      </c>
      <c r="P72" s="3"/>
      <c r="Q72" s="3"/>
      <c r="R72" s="3"/>
      <c r="S72" s="5"/>
      <c r="T72" s="3"/>
    </row>
    <row r="73" spans="1:20" ht="30" x14ac:dyDescent="0.25">
      <c r="A73" s="15"/>
      <c r="B73" s="13" t="s">
        <v>54</v>
      </c>
      <c r="C73" s="13" t="s">
        <v>11</v>
      </c>
      <c r="D73" s="13" t="s">
        <v>12</v>
      </c>
      <c r="E73" s="13" t="s">
        <v>13</v>
      </c>
      <c r="F73" s="13" t="s">
        <v>14</v>
      </c>
      <c r="G73" s="20" t="s">
        <v>0</v>
      </c>
      <c r="H73" s="22"/>
      <c r="I73" s="57"/>
      <c r="J73" s="57"/>
      <c r="K73" s="57"/>
      <c r="L73" s="57"/>
      <c r="O73" s="3" t="s">
        <v>8</v>
      </c>
      <c r="P73" s="4"/>
      <c r="Q73" s="4"/>
      <c r="R73" s="3">
        <v>7</v>
      </c>
      <c r="S73" s="5"/>
      <c r="T73" s="3"/>
    </row>
    <row r="74" spans="1:20" x14ac:dyDescent="0.25">
      <c r="A74" s="32">
        <v>16</v>
      </c>
      <c r="B74" s="14" t="s">
        <v>2</v>
      </c>
      <c r="C74" s="33">
        <v>0.29166666666666669</v>
      </c>
      <c r="D74" s="25" t="s">
        <v>117</v>
      </c>
      <c r="E74" s="14">
        <v>2</v>
      </c>
      <c r="F74" s="15"/>
      <c r="G74" s="24" t="s">
        <v>118</v>
      </c>
      <c r="H74" s="22"/>
      <c r="I74" s="57"/>
      <c r="J74" s="57"/>
      <c r="K74" s="57"/>
      <c r="L74" s="57"/>
      <c r="O74" s="2" t="s">
        <v>26</v>
      </c>
      <c r="P74" s="1"/>
      <c r="Q74" s="1"/>
      <c r="R74" s="1">
        <f>SUM(R67:R73)</f>
        <v>7</v>
      </c>
    </row>
    <row r="75" spans="1:20" x14ac:dyDescent="0.25">
      <c r="A75" s="32">
        <v>17</v>
      </c>
      <c r="B75" s="14" t="s">
        <v>3</v>
      </c>
      <c r="C75" s="15"/>
      <c r="D75" s="15"/>
      <c r="E75" s="15"/>
      <c r="F75" s="15"/>
      <c r="G75" s="15"/>
      <c r="H75" s="22"/>
      <c r="I75" s="57"/>
      <c r="J75" s="57"/>
      <c r="K75" s="57"/>
      <c r="L75" s="57"/>
    </row>
    <row r="76" spans="1:20" x14ac:dyDescent="0.25">
      <c r="A76" s="32">
        <v>18</v>
      </c>
      <c r="B76" s="14" t="s">
        <v>4</v>
      </c>
      <c r="C76" s="26"/>
      <c r="D76" s="26"/>
      <c r="E76" s="14"/>
      <c r="F76" s="15"/>
      <c r="G76" s="24"/>
      <c r="H76" s="22"/>
      <c r="I76" s="57"/>
      <c r="J76" s="57"/>
      <c r="K76" s="57"/>
      <c r="L76" s="57"/>
    </row>
    <row r="77" spans="1:20" x14ac:dyDescent="0.25">
      <c r="A77" s="32">
        <v>19</v>
      </c>
      <c r="B77" s="14" t="s">
        <v>5</v>
      </c>
      <c r="C77" s="25">
        <v>0.40277777777777773</v>
      </c>
      <c r="D77" s="25">
        <v>0.4861111111111111</v>
      </c>
      <c r="E77" s="14">
        <v>2</v>
      </c>
      <c r="F77" s="15"/>
      <c r="G77" s="24" t="s">
        <v>119</v>
      </c>
      <c r="H77" s="22"/>
      <c r="I77" s="57"/>
      <c r="J77" s="57"/>
      <c r="K77" s="57"/>
      <c r="L77" s="57"/>
      <c r="O77" s="2" t="s">
        <v>36</v>
      </c>
      <c r="P77" s="2" t="s">
        <v>11</v>
      </c>
      <c r="Q77" s="2" t="s">
        <v>12</v>
      </c>
      <c r="R77" s="2" t="s">
        <v>13</v>
      </c>
      <c r="S77" s="2" t="s">
        <v>14</v>
      </c>
      <c r="T77" s="2" t="s">
        <v>0</v>
      </c>
    </row>
    <row r="78" spans="1:20" x14ac:dyDescent="0.25">
      <c r="A78" s="32">
        <v>20</v>
      </c>
      <c r="B78" s="14" t="s">
        <v>6</v>
      </c>
      <c r="C78" s="14"/>
      <c r="D78" s="14"/>
      <c r="E78" s="14"/>
      <c r="F78" s="15"/>
      <c r="G78" s="24"/>
      <c r="H78" s="22"/>
      <c r="I78" s="57"/>
      <c r="J78" s="57"/>
      <c r="K78" s="57"/>
      <c r="L78" s="57"/>
      <c r="O78" s="3" t="s">
        <v>2</v>
      </c>
      <c r="P78" s="6">
        <v>0.75</v>
      </c>
      <c r="Q78" s="4">
        <v>0.89583333333333337</v>
      </c>
      <c r="R78" s="3">
        <v>3.5</v>
      </c>
      <c r="S78" s="5"/>
      <c r="T78" s="3" t="s">
        <v>97</v>
      </c>
    </row>
    <row r="79" spans="1:20" x14ac:dyDescent="0.25">
      <c r="A79" s="32">
        <v>21</v>
      </c>
      <c r="B79" s="14" t="s">
        <v>7</v>
      </c>
      <c r="C79" s="42">
        <v>0.41666666666666669</v>
      </c>
      <c r="D79" s="42">
        <v>0.45833333333333331</v>
      </c>
      <c r="E79" s="14">
        <v>1</v>
      </c>
      <c r="F79" s="15"/>
      <c r="G79" s="24" t="s">
        <v>120</v>
      </c>
      <c r="H79" s="22"/>
      <c r="I79" s="57"/>
      <c r="J79" s="57"/>
      <c r="K79" s="57"/>
      <c r="L79" s="57"/>
      <c r="O79" s="3" t="s">
        <v>3</v>
      </c>
    </row>
    <row r="80" spans="1:20" x14ac:dyDescent="0.25">
      <c r="A80" s="32">
        <v>22</v>
      </c>
      <c r="B80" s="14" t="s">
        <v>8</v>
      </c>
      <c r="C80" s="25"/>
      <c r="D80" s="25"/>
      <c r="E80" s="14"/>
      <c r="F80" s="24"/>
      <c r="G80" s="14"/>
      <c r="H80" s="22"/>
      <c r="I80" s="57"/>
      <c r="J80" s="57"/>
      <c r="K80" s="57"/>
      <c r="L80" s="57"/>
      <c r="O80" s="3" t="s">
        <v>4</v>
      </c>
      <c r="P80" s="7"/>
      <c r="Q80" s="7"/>
      <c r="R80" s="3"/>
      <c r="S80" s="5"/>
      <c r="T80" s="3"/>
    </row>
    <row r="81" spans="1:20" x14ac:dyDescent="0.25">
      <c r="A81" s="15"/>
      <c r="B81" s="13" t="s">
        <v>26</v>
      </c>
      <c r="C81" s="32"/>
      <c r="D81" s="32"/>
      <c r="E81" s="32">
        <f>SUM(E74:E80)</f>
        <v>5</v>
      </c>
      <c r="F81" s="15"/>
      <c r="G81" s="144" t="s">
        <v>264</v>
      </c>
      <c r="H81" s="22"/>
      <c r="I81" s="57"/>
      <c r="J81" s="57"/>
      <c r="K81" s="57"/>
      <c r="L81" s="57"/>
      <c r="O81" s="3" t="s">
        <v>5</v>
      </c>
      <c r="P81" s="4"/>
      <c r="Q81" s="4"/>
      <c r="R81" s="3"/>
      <c r="S81" s="5"/>
      <c r="T81" s="3"/>
    </row>
    <row r="82" spans="1:20" x14ac:dyDescent="0.25">
      <c r="A82" s="15"/>
      <c r="B82" s="13"/>
      <c r="C82" s="32"/>
      <c r="D82" s="32"/>
      <c r="E82" s="32"/>
      <c r="F82" s="15"/>
      <c r="G82" s="15"/>
      <c r="H82" s="22"/>
      <c r="I82" s="57"/>
      <c r="J82" s="57"/>
      <c r="K82" s="57"/>
      <c r="L82" s="57"/>
      <c r="O82" s="3" t="s">
        <v>6</v>
      </c>
      <c r="P82" s="3"/>
      <c r="Q82" s="3"/>
      <c r="R82" s="3"/>
      <c r="S82" s="5"/>
      <c r="T82" s="3"/>
    </row>
    <row r="83" spans="1:20" x14ac:dyDescent="0.25">
      <c r="A83" s="15"/>
      <c r="B83" s="15"/>
      <c r="C83" s="15"/>
      <c r="D83" s="15"/>
      <c r="E83" s="15"/>
      <c r="F83" s="15"/>
      <c r="G83" s="15"/>
      <c r="H83" s="22"/>
      <c r="I83" s="57"/>
      <c r="J83" s="57"/>
      <c r="K83" s="57"/>
      <c r="L83" s="57"/>
      <c r="O83" s="3" t="s">
        <v>7</v>
      </c>
      <c r="P83" s="3"/>
      <c r="Q83" s="3"/>
      <c r="R83" s="3"/>
      <c r="S83" s="5"/>
      <c r="T83" s="3"/>
    </row>
    <row r="84" spans="1:20" ht="30" x14ac:dyDescent="0.25">
      <c r="A84" s="15"/>
      <c r="B84" s="13" t="s">
        <v>60</v>
      </c>
      <c r="C84" s="13" t="s">
        <v>11</v>
      </c>
      <c r="D84" s="13" t="s">
        <v>12</v>
      </c>
      <c r="E84" s="13" t="s">
        <v>13</v>
      </c>
      <c r="F84" s="13" t="s">
        <v>14</v>
      </c>
      <c r="G84" s="20" t="s">
        <v>0</v>
      </c>
      <c r="H84" s="22"/>
      <c r="I84" s="57"/>
      <c r="J84" s="57"/>
      <c r="K84" s="57"/>
      <c r="L84" s="57"/>
      <c r="O84" s="3" t="s">
        <v>8</v>
      </c>
      <c r="P84" s="4"/>
      <c r="Q84" s="4"/>
      <c r="R84" s="3"/>
      <c r="S84" s="5"/>
      <c r="T84" s="3"/>
    </row>
    <row r="85" spans="1:20" x14ac:dyDescent="0.25">
      <c r="A85" s="32">
        <v>23</v>
      </c>
      <c r="B85" s="14" t="s">
        <v>2</v>
      </c>
      <c r="C85" s="33">
        <v>0.375</v>
      </c>
      <c r="D85" s="25">
        <v>0.45833333333333331</v>
      </c>
      <c r="E85" s="14">
        <v>2</v>
      </c>
      <c r="F85" s="15"/>
      <c r="G85" s="24" t="s">
        <v>121</v>
      </c>
      <c r="H85" s="22"/>
      <c r="I85" s="57"/>
      <c r="J85" s="57"/>
      <c r="K85" s="57"/>
      <c r="L85" s="57"/>
      <c r="O85" s="2" t="s">
        <v>26</v>
      </c>
      <c r="P85" s="1"/>
      <c r="Q85" s="1"/>
      <c r="R85" s="1">
        <f>SUM(R78:R84)</f>
        <v>3.5</v>
      </c>
    </row>
    <row r="86" spans="1:20" x14ac:dyDescent="0.25">
      <c r="A86" s="32">
        <v>24</v>
      </c>
      <c r="B86" s="14" t="s">
        <v>3</v>
      </c>
      <c r="C86" s="15"/>
      <c r="D86" s="15"/>
      <c r="E86" s="15"/>
      <c r="F86" s="15"/>
      <c r="G86" s="15"/>
      <c r="H86" s="22"/>
      <c r="I86" s="57"/>
      <c r="J86" s="57"/>
      <c r="K86" s="57"/>
      <c r="L86" s="57"/>
      <c r="R86" t="s">
        <v>98</v>
      </c>
      <c r="S86" t="s">
        <v>99</v>
      </c>
    </row>
    <row r="87" spans="1:20" x14ac:dyDescent="0.25">
      <c r="A87" s="32">
        <v>25</v>
      </c>
      <c r="B87" s="14" t="s">
        <v>4</v>
      </c>
      <c r="C87" s="26"/>
      <c r="D87" s="26"/>
      <c r="E87" s="14"/>
      <c r="F87" s="15"/>
      <c r="G87" s="24"/>
      <c r="H87" s="22"/>
      <c r="I87" s="57"/>
      <c r="J87" s="57"/>
      <c r="K87" s="57"/>
      <c r="L87" s="57"/>
      <c r="R87" t="s">
        <v>100</v>
      </c>
    </row>
    <row r="88" spans="1:20" x14ac:dyDescent="0.25">
      <c r="A88" s="32">
        <v>26</v>
      </c>
      <c r="B88" s="14" t="s">
        <v>5</v>
      </c>
      <c r="C88" s="25">
        <v>0.375</v>
      </c>
      <c r="D88" s="25">
        <v>0.41666666666666669</v>
      </c>
      <c r="E88" s="14">
        <v>1</v>
      </c>
      <c r="F88" s="15"/>
      <c r="G88" s="24" t="s">
        <v>122</v>
      </c>
      <c r="H88" s="22"/>
      <c r="I88" s="57"/>
      <c r="J88" s="57"/>
      <c r="K88" s="57"/>
      <c r="L88" s="57"/>
    </row>
    <row r="89" spans="1:20" x14ac:dyDescent="0.25">
      <c r="A89" s="32">
        <v>27</v>
      </c>
      <c r="B89" s="14" t="s">
        <v>6</v>
      </c>
      <c r="C89" s="14"/>
      <c r="D89" s="14"/>
      <c r="E89" s="14"/>
      <c r="F89" s="15"/>
      <c r="G89" s="24"/>
      <c r="H89" s="22"/>
      <c r="I89" s="57"/>
      <c r="J89" s="57"/>
      <c r="K89" s="57"/>
      <c r="L89" s="57"/>
    </row>
    <row r="90" spans="1:20" x14ac:dyDescent="0.25">
      <c r="A90" s="32">
        <v>28</v>
      </c>
      <c r="B90" s="14" t="s">
        <v>7</v>
      </c>
      <c r="C90" s="42">
        <v>0.41666666666666669</v>
      </c>
      <c r="D90" s="42">
        <v>0.45833333333333331</v>
      </c>
      <c r="E90" s="14">
        <v>1</v>
      </c>
      <c r="F90" s="15"/>
      <c r="G90" s="24" t="s">
        <v>112</v>
      </c>
      <c r="H90" s="22"/>
      <c r="I90" s="57"/>
      <c r="J90" s="57"/>
      <c r="K90" s="57"/>
      <c r="L90" s="57"/>
      <c r="O90" s="13" t="s">
        <v>54</v>
      </c>
      <c r="P90" s="13" t="s">
        <v>11</v>
      </c>
      <c r="Q90" s="13" t="s">
        <v>12</v>
      </c>
      <c r="R90" s="13" t="s">
        <v>13</v>
      </c>
      <c r="S90" s="13" t="s">
        <v>14</v>
      </c>
      <c r="T90" s="20" t="s">
        <v>0</v>
      </c>
    </row>
    <row r="91" spans="1:20" x14ac:dyDescent="0.25">
      <c r="A91" s="32">
        <v>29</v>
      </c>
      <c r="B91" s="14" t="s">
        <v>8</v>
      </c>
      <c r="C91" s="25"/>
      <c r="D91" s="25"/>
      <c r="E91" s="14"/>
      <c r="F91" s="24"/>
      <c r="G91" s="14"/>
      <c r="H91" s="22"/>
      <c r="I91" s="57"/>
      <c r="J91" s="57"/>
      <c r="K91" s="57"/>
      <c r="L91" s="57"/>
      <c r="O91" s="14" t="s">
        <v>2</v>
      </c>
      <c r="P91" s="33"/>
      <c r="Q91" s="25"/>
      <c r="R91" s="14"/>
      <c r="S91" s="24"/>
      <c r="T91" s="21"/>
    </row>
    <row r="92" spans="1:20" x14ac:dyDescent="0.25">
      <c r="A92" s="15"/>
      <c r="B92" s="13" t="s">
        <v>26</v>
      </c>
      <c r="C92" s="32"/>
      <c r="D92" s="32"/>
      <c r="E92" s="32">
        <f>SUM(E85:E91)</f>
        <v>4</v>
      </c>
      <c r="F92" s="24"/>
      <c r="G92" s="144" t="s">
        <v>267</v>
      </c>
      <c r="H92" s="22"/>
      <c r="I92" s="57"/>
      <c r="J92" s="57"/>
      <c r="K92" s="57"/>
      <c r="L92" s="57"/>
      <c r="O92" s="14" t="s">
        <v>3</v>
      </c>
      <c r="P92" s="15"/>
      <c r="Q92" s="15"/>
      <c r="R92" s="15"/>
      <c r="S92" s="15"/>
      <c r="T92" s="22"/>
    </row>
    <row r="93" spans="1:20" x14ac:dyDescent="0.25">
      <c r="A93" s="144" t="s">
        <v>231</v>
      </c>
      <c r="B93" s="35" t="s">
        <v>227</v>
      </c>
      <c r="C93" s="60"/>
      <c r="D93" s="61"/>
      <c r="E93" s="35">
        <f>SUM(E70:E76,E83:E90)</f>
        <v>14</v>
      </c>
      <c r="F93" s="115" t="s">
        <v>28</v>
      </c>
      <c r="G93" s="144" t="s">
        <v>268</v>
      </c>
      <c r="H93" s="151" t="s">
        <v>103</v>
      </c>
      <c r="I93" s="57"/>
      <c r="J93" s="57"/>
      <c r="K93" s="57"/>
      <c r="L93" s="57"/>
      <c r="O93" s="14" t="s">
        <v>4</v>
      </c>
      <c r="P93" s="26"/>
      <c r="Q93" s="26"/>
      <c r="R93" s="14"/>
      <c r="S93" s="24"/>
      <c r="T93" s="21"/>
    </row>
    <row r="94" spans="1:20" x14ac:dyDescent="0.25">
      <c r="A94" s="15"/>
      <c r="B94" s="20"/>
      <c r="C94" s="146"/>
      <c r="D94" s="147"/>
      <c r="E94" s="20"/>
      <c r="F94" s="20"/>
      <c r="G94" s="53"/>
      <c r="H94" s="22"/>
      <c r="I94" s="57"/>
      <c r="J94" s="57"/>
      <c r="K94" s="57"/>
      <c r="L94" s="57"/>
      <c r="O94" s="14" t="s">
        <v>5</v>
      </c>
      <c r="P94" s="25"/>
      <c r="Q94" s="25"/>
      <c r="R94" s="14"/>
      <c r="S94" s="24"/>
      <c r="T94" s="21"/>
    </row>
    <row r="95" spans="1:20" ht="45" x14ac:dyDescent="0.25">
      <c r="A95" s="63"/>
      <c r="B95" s="13" t="s">
        <v>70</v>
      </c>
      <c r="C95" s="13" t="s">
        <v>11</v>
      </c>
      <c r="D95" s="13" t="s">
        <v>12</v>
      </c>
      <c r="E95" s="13" t="s">
        <v>13</v>
      </c>
      <c r="F95" s="13" t="s">
        <v>14</v>
      </c>
      <c r="G95" s="20" t="s">
        <v>0</v>
      </c>
      <c r="H95" s="22"/>
      <c r="I95" s="57" t="s">
        <v>187</v>
      </c>
      <c r="J95" s="57" t="s">
        <v>186</v>
      </c>
      <c r="K95" s="57"/>
      <c r="L95" s="57"/>
      <c r="O95" s="14" t="s">
        <v>6</v>
      </c>
      <c r="P95" s="14"/>
      <c r="Q95" s="14"/>
      <c r="R95" s="14"/>
      <c r="S95" s="24"/>
      <c r="T95" s="21"/>
    </row>
    <row r="96" spans="1:20" ht="30" x14ac:dyDescent="0.25">
      <c r="A96" s="32">
        <v>30</v>
      </c>
      <c r="B96" s="14" t="s">
        <v>2</v>
      </c>
      <c r="C96" s="33"/>
      <c r="D96" s="25"/>
      <c r="E96" s="14"/>
      <c r="F96" s="24"/>
      <c r="G96" s="14"/>
      <c r="H96" s="22"/>
      <c r="I96" s="57" t="s">
        <v>182</v>
      </c>
      <c r="J96" s="57" t="s">
        <v>181</v>
      </c>
      <c r="K96" s="57"/>
      <c r="L96" s="57"/>
      <c r="O96" s="14" t="s">
        <v>7</v>
      </c>
      <c r="P96" s="42"/>
      <c r="Q96" s="42"/>
      <c r="R96" s="14"/>
      <c r="S96" s="24"/>
      <c r="T96" s="21"/>
    </row>
    <row r="97" spans="1:20" ht="60" x14ac:dyDescent="0.25">
      <c r="A97" s="32">
        <v>1</v>
      </c>
      <c r="B97" s="14" t="s">
        <v>3</v>
      </c>
      <c r="C97" s="26">
        <v>0.58333333333333337</v>
      </c>
      <c r="D97" s="26">
        <v>0.625</v>
      </c>
      <c r="E97" s="15">
        <v>1</v>
      </c>
      <c r="F97" s="15"/>
      <c r="G97" s="15" t="s">
        <v>124</v>
      </c>
      <c r="H97" s="63"/>
      <c r="I97" s="57" t="s">
        <v>180</v>
      </c>
      <c r="J97" s="57" t="s">
        <v>179</v>
      </c>
      <c r="K97" s="57"/>
      <c r="L97" s="57"/>
      <c r="O97" s="14" t="s">
        <v>8</v>
      </c>
      <c r="P97" s="25"/>
      <c r="Q97" s="25"/>
      <c r="R97" s="14"/>
      <c r="S97" s="24"/>
      <c r="T97" s="21"/>
    </row>
    <row r="98" spans="1:20" x14ac:dyDescent="0.25">
      <c r="A98" s="32">
        <v>2</v>
      </c>
      <c r="B98" s="14" t="s">
        <v>4</v>
      </c>
      <c r="C98" s="26"/>
      <c r="D98" s="26"/>
      <c r="E98" s="14"/>
      <c r="F98" s="15"/>
      <c r="G98" s="24"/>
      <c r="H98" s="22"/>
      <c r="I98" s="57"/>
      <c r="J98" s="57"/>
      <c r="K98" s="57"/>
      <c r="L98" s="57"/>
      <c r="O98" s="13" t="s">
        <v>26</v>
      </c>
      <c r="P98" s="32"/>
      <c r="Q98" s="32"/>
      <c r="R98" s="32">
        <v>5</v>
      </c>
      <c r="S98" s="15"/>
      <c r="T98" s="22"/>
    </row>
    <row r="99" spans="1:20" x14ac:dyDescent="0.25">
      <c r="A99" s="32">
        <v>3</v>
      </c>
      <c r="B99" s="14" t="s">
        <v>5</v>
      </c>
      <c r="C99" s="25"/>
      <c r="D99" s="25"/>
      <c r="E99" s="14"/>
      <c r="F99" s="15"/>
      <c r="G99" s="24"/>
      <c r="H99" s="22"/>
      <c r="I99" s="57"/>
      <c r="J99" s="57"/>
      <c r="K99" s="57"/>
      <c r="L99" s="57"/>
      <c r="O99" s="15"/>
      <c r="P99" s="15"/>
      <c r="Q99" s="15"/>
      <c r="R99" s="15"/>
      <c r="S99" s="15"/>
      <c r="T99" s="22"/>
    </row>
    <row r="100" spans="1:20" x14ac:dyDescent="0.25">
      <c r="A100" s="32">
        <v>4</v>
      </c>
      <c r="B100" s="14" t="s">
        <v>6</v>
      </c>
      <c r="C100" s="42">
        <v>0.41666666666666669</v>
      </c>
      <c r="D100" s="42">
        <v>0.45833333333333331</v>
      </c>
      <c r="E100" s="14">
        <v>1</v>
      </c>
      <c r="F100" s="15"/>
      <c r="G100" s="24" t="s">
        <v>125</v>
      </c>
      <c r="H100" s="22"/>
      <c r="I100" s="57"/>
      <c r="J100" s="57"/>
      <c r="K100" s="57"/>
      <c r="L100" s="57"/>
      <c r="O100" s="15"/>
      <c r="P100" s="15"/>
      <c r="Q100" s="15"/>
      <c r="R100" s="15"/>
      <c r="S100" s="15"/>
      <c r="T100" s="22"/>
    </row>
    <row r="101" spans="1:20" x14ac:dyDescent="0.25">
      <c r="A101" s="32">
        <v>5</v>
      </c>
      <c r="B101" s="14" t="s">
        <v>7</v>
      </c>
      <c r="C101" s="42"/>
      <c r="D101" s="42"/>
      <c r="E101" s="14"/>
      <c r="F101" s="24"/>
      <c r="G101" s="14"/>
      <c r="H101" s="22"/>
      <c r="I101" s="57"/>
      <c r="J101" s="57"/>
      <c r="K101" s="57"/>
      <c r="L101" s="57"/>
      <c r="O101" s="13" t="s">
        <v>60</v>
      </c>
      <c r="P101" s="13" t="s">
        <v>11</v>
      </c>
      <c r="Q101" s="13" t="s">
        <v>12</v>
      </c>
      <c r="R101" s="13" t="s">
        <v>13</v>
      </c>
      <c r="S101" s="13" t="s">
        <v>14</v>
      </c>
      <c r="T101" s="20" t="s">
        <v>0</v>
      </c>
    </row>
    <row r="102" spans="1:20" x14ac:dyDescent="0.25">
      <c r="A102" s="32">
        <v>6</v>
      </c>
      <c r="B102" s="14" t="s">
        <v>8</v>
      </c>
      <c r="C102" s="25"/>
      <c r="D102" s="25"/>
      <c r="E102" s="14"/>
      <c r="F102" s="24"/>
      <c r="G102" s="14"/>
      <c r="H102" s="22"/>
      <c r="I102" s="57"/>
      <c r="J102" s="57"/>
      <c r="K102" s="57"/>
      <c r="L102" s="57"/>
      <c r="O102" s="14" t="s">
        <v>2</v>
      </c>
      <c r="P102" s="48"/>
      <c r="Q102" s="49"/>
      <c r="R102" s="21"/>
      <c r="S102" s="23"/>
      <c r="T102" s="21"/>
    </row>
    <row r="103" spans="1:20" x14ac:dyDescent="0.25">
      <c r="A103" s="15"/>
      <c r="B103" s="13" t="s">
        <v>26</v>
      </c>
      <c r="C103" s="32"/>
      <c r="D103" s="32"/>
      <c r="E103" s="32">
        <v>2</v>
      </c>
      <c r="F103" s="15"/>
      <c r="G103" s="144" t="s">
        <v>269</v>
      </c>
      <c r="H103" s="22"/>
      <c r="I103" s="57"/>
      <c r="J103" s="57"/>
      <c r="K103" s="57"/>
      <c r="L103" s="57"/>
      <c r="O103" s="14" t="s">
        <v>3</v>
      </c>
      <c r="P103" s="22"/>
      <c r="Q103" s="22"/>
      <c r="R103" s="22"/>
      <c r="S103" s="22"/>
      <c r="T103" s="22"/>
    </row>
    <row r="104" spans="1:20" x14ac:dyDescent="0.25">
      <c r="A104" s="15"/>
      <c r="B104" s="13"/>
      <c r="C104" s="32"/>
      <c r="D104" s="32"/>
      <c r="E104" s="32"/>
      <c r="F104" s="15"/>
      <c r="G104" s="22"/>
      <c r="H104" s="22"/>
      <c r="I104" s="57"/>
      <c r="J104" s="57"/>
      <c r="K104" s="57"/>
      <c r="L104" s="57"/>
      <c r="O104" s="14" t="s">
        <v>4</v>
      </c>
      <c r="P104" s="51"/>
      <c r="Q104" s="51"/>
      <c r="R104" s="21"/>
      <c r="S104" s="23"/>
      <c r="T104" s="21"/>
    </row>
    <row r="105" spans="1:20" x14ac:dyDescent="0.25">
      <c r="A105" s="15"/>
      <c r="B105" s="15"/>
      <c r="C105" s="15"/>
      <c r="D105" s="15"/>
      <c r="E105" s="15"/>
      <c r="F105" s="15"/>
      <c r="G105" s="22"/>
      <c r="H105" s="22"/>
      <c r="I105" s="57"/>
      <c r="J105" s="57"/>
      <c r="K105" s="57"/>
      <c r="L105" s="57"/>
      <c r="O105" s="14" t="s">
        <v>5</v>
      </c>
      <c r="P105" s="49"/>
      <c r="Q105" s="49"/>
      <c r="R105" s="21"/>
      <c r="S105" s="23"/>
      <c r="T105" s="21"/>
    </row>
    <row r="106" spans="1:20" ht="30" x14ac:dyDescent="0.25">
      <c r="A106" s="15"/>
      <c r="B106" s="13" t="s">
        <v>74</v>
      </c>
      <c r="C106" s="13" t="s">
        <v>11</v>
      </c>
      <c r="D106" s="13" t="s">
        <v>12</v>
      </c>
      <c r="E106" s="13" t="s">
        <v>13</v>
      </c>
      <c r="F106" s="13" t="s">
        <v>14</v>
      </c>
      <c r="G106" s="20" t="s">
        <v>0</v>
      </c>
      <c r="H106" s="15"/>
      <c r="I106" s="57"/>
      <c r="J106" s="57"/>
      <c r="K106" s="57"/>
      <c r="L106" s="57"/>
      <c r="O106" s="14" t="s">
        <v>6</v>
      </c>
      <c r="P106" s="21"/>
      <c r="Q106" s="21"/>
      <c r="R106" s="21"/>
      <c r="S106" s="23"/>
      <c r="T106" s="21"/>
    </row>
    <row r="107" spans="1:20" x14ac:dyDescent="0.25">
      <c r="A107" s="53">
        <v>7</v>
      </c>
      <c r="B107" s="14" t="s">
        <v>2</v>
      </c>
      <c r="C107" s="25"/>
      <c r="D107" s="25"/>
      <c r="E107" s="14"/>
      <c r="F107" s="24"/>
      <c r="G107" s="14"/>
      <c r="H107" s="15"/>
      <c r="I107" s="57"/>
      <c r="J107" s="57"/>
      <c r="K107" s="57"/>
      <c r="L107" s="57"/>
      <c r="O107" s="14" t="s">
        <v>7</v>
      </c>
      <c r="P107" s="52"/>
      <c r="Q107" s="52"/>
      <c r="R107" s="21"/>
      <c r="S107" s="23"/>
      <c r="T107" s="21"/>
    </row>
    <row r="108" spans="1:20" x14ac:dyDescent="0.25">
      <c r="A108" s="32">
        <v>8</v>
      </c>
      <c r="B108" s="14" t="s">
        <v>3</v>
      </c>
      <c r="C108" s="33"/>
      <c r="D108" s="25"/>
      <c r="E108" s="14"/>
      <c r="F108" s="24"/>
      <c r="G108" s="14"/>
      <c r="H108" s="22"/>
      <c r="I108" s="57"/>
      <c r="J108" s="57"/>
      <c r="K108" s="57"/>
      <c r="L108" s="57"/>
      <c r="O108" s="14" t="s">
        <v>8</v>
      </c>
      <c r="P108" s="49"/>
      <c r="Q108" s="49"/>
      <c r="R108" s="21"/>
      <c r="S108" s="23"/>
      <c r="T108" s="21"/>
    </row>
    <row r="109" spans="1:20" x14ac:dyDescent="0.25">
      <c r="A109" s="32">
        <v>9</v>
      </c>
      <c r="B109" s="14" t="s">
        <v>4</v>
      </c>
      <c r="C109" s="26">
        <v>0.5625</v>
      </c>
      <c r="D109" s="26">
        <v>0.60416666666666663</v>
      </c>
      <c r="E109" s="15">
        <v>1</v>
      </c>
      <c r="F109" s="15"/>
      <c r="G109" s="15" t="s">
        <v>127</v>
      </c>
      <c r="H109" s="22"/>
      <c r="I109" s="57"/>
      <c r="J109" s="57"/>
      <c r="K109" s="57"/>
      <c r="L109" s="57"/>
      <c r="O109" s="13" t="s">
        <v>26</v>
      </c>
      <c r="P109" s="53"/>
      <c r="Q109" s="53"/>
      <c r="R109" s="53"/>
      <c r="S109" s="22"/>
      <c r="T109" s="22"/>
    </row>
    <row r="110" spans="1:20" x14ac:dyDescent="0.25">
      <c r="A110" s="32">
        <v>10</v>
      </c>
      <c r="B110" s="14" t="s">
        <v>5</v>
      </c>
      <c r="C110" s="25"/>
      <c r="D110" s="25"/>
      <c r="E110" s="14"/>
      <c r="F110" s="15"/>
      <c r="G110" s="24"/>
      <c r="H110" s="22"/>
      <c r="I110" s="57"/>
      <c r="J110" s="57"/>
      <c r="K110" s="57"/>
      <c r="L110" s="57"/>
      <c r="O110" s="15"/>
      <c r="P110" s="22"/>
      <c r="Q110" s="22"/>
      <c r="R110" s="22"/>
      <c r="S110" s="22"/>
      <c r="T110" s="22"/>
    </row>
    <row r="111" spans="1:20" x14ac:dyDescent="0.25">
      <c r="A111" s="32">
        <v>11</v>
      </c>
      <c r="B111" s="14" t="s">
        <v>6</v>
      </c>
      <c r="C111" s="42">
        <v>0.41666666666666669</v>
      </c>
      <c r="D111" s="42">
        <v>0.45833333333333331</v>
      </c>
      <c r="E111" s="14">
        <v>1</v>
      </c>
      <c r="F111" s="15"/>
      <c r="G111" s="24" t="s">
        <v>125</v>
      </c>
      <c r="H111" s="15"/>
      <c r="I111" s="57"/>
      <c r="J111" s="57"/>
      <c r="K111" s="57"/>
      <c r="L111" s="57"/>
      <c r="O111" s="15"/>
      <c r="P111" s="22"/>
      <c r="Q111" s="22"/>
      <c r="R111" s="22"/>
      <c r="S111" s="22"/>
      <c r="T111" s="22"/>
    </row>
    <row r="112" spans="1:20" x14ac:dyDescent="0.25">
      <c r="A112" s="32">
        <v>12</v>
      </c>
      <c r="B112" s="14" t="s">
        <v>7</v>
      </c>
      <c r="C112" s="42"/>
      <c r="D112" s="42"/>
      <c r="E112" s="14"/>
      <c r="F112" s="24"/>
      <c r="G112" s="14"/>
      <c r="H112" s="15"/>
      <c r="I112" s="57"/>
      <c r="J112" s="57"/>
      <c r="K112" s="57"/>
      <c r="L112" s="57"/>
      <c r="O112" s="15"/>
      <c r="P112" s="15"/>
      <c r="Q112" s="15"/>
      <c r="R112" s="15"/>
      <c r="S112" s="15"/>
      <c r="T112" s="15"/>
    </row>
    <row r="113" spans="1:20" x14ac:dyDescent="0.25">
      <c r="A113" s="32">
        <v>13</v>
      </c>
      <c r="B113" s="14" t="s">
        <v>8</v>
      </c>
      <c r="C113" s="14"/>
      <c r="D113" s="14"/>
      <c r="E113" s="14"/>
      <c r="F113" s="24"/>
      <c r="G113" s="14"/>
      <c r="H113" s="15"/>
      <c r="I113" s="57"/>
      <c r="J113" s="57"/>
      <c r="K113" s="57"/>
      <c r="L113" s="57"/>
      <c r="O113" s="15"/>
      <c r="P113" s="15"/>
      <c r="Q113" s="15"/>
      <c r="R113" s="15"/>
      <c r="S113" s="15"/>
      <c r="T113" s="15"/>
    </row>
    <row r="114" spans="1:20" x14ac:dyDescent="0.25">
      <c r="A114" s="15"/>
      <c r="B114" s="13" t="s">
        <v>26</v>
      </c>
      <c r="C114" s="32"/>
      <c r="D114" s="32"/>
      <c r="E114" s="32">
        <f>SUM(E107:E113)</f>
        <v>2</v>
      </c>
      <c r="F114" s="15"/>
      <c r="G114" s="144" t="s">
        <v>270</v>
      </c>
      <c r="H114" s="15"/>
      <c r="I114" s="57"/>
      <c r="J114" s="57"/>
      <c r="K114" s="57"/>
      <c r="L114" s="57"/>
      <c r="O114" s="15"/>
      <c r="P114" s="15"/>
      <c r="Q114" s="15"/>
      <c r="R114" s="15"/>
      <c r="S114" s="15"/>
      <c r="T114" s="15"/>
    </row>
    <row r="115" spans="1:20" x14ac:dyDescent="0.25">
      <c r="A115" s="144" t="s">
        <v>231</v>
      </c>
      <c r="B115" s="35" t="s">
        <v>227</v>
      </c>
      <c r="C115" s="60"/>
      <c r="D115" s="61"/>
      <c r="E115" s="35">
        <f>SUM(E96:E103,E107:E113)</f>
        <v>6</v>
      </c>
      <c r="F115" s="115" t="s">
        <v>28</v>
      </c>
      <c r="G115" s="144" t="s">
        <v>271</v>
      </c>
      <c r="H115" s="151" t="s">
        <v>103</v>
      </c>
      <c r="I115" s="57"/>
      <c r="J115" s="57"/>
      <c r="K115" s="57"/>
      <c r="L115" s="57"/>
      <c r="O115" s="13" t="s">
        <v>70</v>
      </c>
      <c r="P115" s="13" t="s">
        <v>11</v>
      </c>
      <c r="Q115" s="13" t="s">
        <v>12</v>
      </c>
      <c r="R115" s="13" t="s">
        <v>13</v>
      </c>
      <c r="S115" s="13" t="s">
        <v>14</v>
      </c>
      <c r="T115" s="20" t="s">
        <v>0</v>
      </c>
    </row>
    <row r="116" spans="1:20" x14ac:dyDescent="0.25">
      <c r="A116" s="53"/>
      <c r="B116" s="20"/>
      <c r="C116" s="146"/>
      <c r="D116" s="147"/>
      <c r="E116" s="20"/>
      <c r="F116" s="20"/>
      <c r="G116" s="53"/>
      <c r="H116" s="158"/>
      <c r="I116" s="57"/>
      <c r="J116" s="57"/>
      <c r="K116" s="57"/>
      <c r="L116" s="57"/>
      <c r="O116" s="14" t="s">
        <v>2</v>
      </c>
      <c r="P116" s="48"/>
      <c r="Q116" s="49"/>
      <c r="R116" s="21"/>
      <c r="S116" s="23"/>
      <c r="T116" s="21"/>
    </row>
    <row r="117" spans="1:20" ht="15" customHeight="1" x14ac:dyDescent="0.25">
      <c r="A117" s="530" t="s">
        <v>311</v>
      </c>
      <c r="B117" s="530"/>
      <c r="C117" s="530"/>
      <c r="D117" s="530"/>
      <c r="E117" s="530"/>
      <c r="F117" s="530"/>
      <c r="G117" s="530"/>
      <c r="H117" s="530"/>
      <c r="I117" s="530"/>
      <c r="J117" s="530"/>
      <c r="K117" s="530"/>
      <c r="L117" s="530"/>
      <c r="O117" s="14" t="s">
        <v>3</v>
      </c>
      <c r="P117" s="22"/>
      <c r="Q117" s="22"/>
      <c r="R117" s="22"/>
      <c r="S117" s="22"/>
      <c r="T117" s="22"/>
    </row>
    <row r="118" spans="1:20" ht="15" customHeight="1" x14ac:dyDescent="0.25">
      <c r="A118" s="530"/>
      <c r="B118" s="530"/>
      <c r="C118" s="530"/>
      <c r="D118" s="530"/>
      <c r="E118" s="530"/>
      <c r="F118" s="530"/>
      <c r="G118" s="530"/>
      <c r="H118" s="530"/>
      <c r="I118" s="530"/>
      <c r="J118" s="530"/>
      <c r="K118" s="530"/>
      <c r="L118" s="530"/>
      <c r="O118" s="14" t="s">
        <v>4</v>
      </c>
      <c r="P118" s="51"/>
      <c r="Q118" s="51"/>
      <c r="R118" s="21"/>
      <c r="S118" s="23"/>
      <c r="T118" s="21"/>
    </row>
    <row r="119" spans="1:20" ht="33.75" x14ac:dyDescent="0.5">
      <c r="A119" s="137" t="s">
        <v>252</v>
      </c>
      <c r="B119" s="13" t="s">
        <v>128</v>
      </c>
      <c r="C119" s="13" t="s">
        <v>11</v>
      </c>
      <c r="D119" s="13" t="s">
        <v>12</v>
      </c>
      <c r="E119" s="13" t="s">
        <v>13</v>
      </c>
      <c r="F119" s="13" t="s">
        <v>14</v>
      </c>
      <c r="G119" s="20" t="s">
        <v>0</v>
      </c>
      <c r="H119" s="22"/>
      <c r="I119" s="187"/>
      <c r="J119" s="187"/>
      <c r="K119" s="57"/>
      <c r="L119" s="57"/>
      <c r="O119" s="14" t="s">
        <v>5</v>
      </c>
      <c r="P119" s="49"/>
      <c r="Q119" s="49"/>
      <c r="R119" s="21"/>
      <c r="S119" s="23"/>
      <c r="T119" s="21"/>
    </row>
    <row r="120" spans="1:20" ht="45" x14ac:dyDescent="0.25">
      <c r="A120" s="32">
        <v>14</v>
      </c>
      <c r="B120" s="21" t="s">
        <v>2</v>
      </c>
      <c r="C120" s="49"/>
      <c r="D120" s="49"/>
      <c r="E120" s="138"/>
      <c r="F120" s="23"/>
      <c r="G120" s="21"/>
      <c r="H120" s="15"/>
      <c r="I120" s="57" t="s">
        <v>187</v>
      </c>
      <c r="J120" s="57" t="s">
        <v>186</v>
      </c>
      <c r="K120" s="57"/>
      <c r="L120" s="57"/>
      <c r="O120" s="14" t="s">
        <v>6</v>
      </c>
      <c r="P120" s="21"/>
      <c r="Q120" s="21"/>
      <c r="R120" s="21"/>
      <c r="S120" s="23"/>
      <c r="T120" s="21"/>
    </row>
    <row r="121" spans="1:20" ht="30" x14ac:dyDescent="0.25">
      <c r="A121" s="32">
        <v>15</v>
      </c>
      <c r="B121" s="21" t="s">
        <v>3</v>
      </c>
      <c r="C121" s="48"/>
      <c r="D121" s="49"/>
      <c r="E121" s="138"/>
      <c r="F121" s="23"/>
      <c r="G121" s="21"/>
      <c r="H121" s="22"/>
      <c r="I121" s="57" t="s">
        <v>182</v>
      </c>
      <c r="J121" s="57" t="s">
        <v>181</v>
      </c>
      <c r="K121" s="57"/>
      <c r="L121" s="57"/>
      <c r="O121" s="14" t="s">
        <v>7</v>
      </c>
      <c r="P121" s="52"/>
      <c r="Q121" s="52"/>
      <c r="R121" s="21"/>
      <c r="S121" s="23"/>
      <c r="T121" s="21"/>
    </row>
    <row r="122" spans="1:20" ht="60" x14ac:dyDescent="0.25">
      <c r="A122" s="32">
        <v>16</v>
      </c>
      <c r="B122" s="21" t="s">
        <v>4</v>
      </c>
      <c r="C122" s="51"/>
      <c r="D122" s="51"/>
      <c r="E122" s="138"/>
      <c r="F122" s="23"/>
      <c r="G122" s="22"/>
      <c r="H122" s="22"/>
      <c r="I122" s="186" t="s">
        <v>180</v>
      </c>
      <c r="J122" s="186" t="s">
        <v>179</v>
      </c>
      <c r="K122" s="57"/>
      <c r="L122" s="57"/>
      <c r="O122" s="14" t="s">
        <v>8</v>
      </c>
      <c r="P122" s="49"/>
      <c r="Q122" s="49"/>
      <c r="R122" s="21"/>
      <c r="S122" s="23"/>
      <c r="T122" s="21"/>
    </row>
    <row r="123" spans="1:20" x14ac:dyDescent="0.25">
      <c r="A123" s="32">
        <v>17</v>
      </c>
      <c r="B123" s="14" t="s">
        <v>5</v>
      </c>
      <c r="C123" s="25">
        <v>0.4375</v>
      </c>
      <c r="D123" s="25">
        <v>0.52083333333333337</v>
      </c>
      <c r="E123" s="14">
        <v>2</v>
      </c>
      <c r="F123" s="15"/>
      <c r="G123" s="24" t="s">
        <v>129</v>
      </c>
      <c r="H123" s="22"/>
      <c r="I123" s="57"/>
      <c r="J123" s="57"/>
      <c r="K123" s="57"/>
      <c r="L123" s="57"/>
      <c r="O123" s="13" t="s">
        <v>26</v>
      </c>
      <c r="P123" s="53"/>
      <c r="Q123" s="53"/>
      <c r="R123" s="53"/>
      <c r="S123" s="22"/>
      <c r="T123" s="22"/>
    </row>
    <row r="124" spans="1:20" x14ac:dyDescent="0.25">
      <c r="A124" s="32"/>
      <c r="B124" s="15"/>
      <c r="C124" s="26">
        <v>0.52083333333333337</v>
      </c>
      <c r="D124" s="26">
        <v>6.25E-2</v>
      </c>
      <c r="E124" s="15">
        <v>1</v>
      </c>
      <c r="F124" s="15"/>
      <c r="G124" s="15" t="s">
        <v>127</v>
      </c>
      <c r="H124" s="22"/>
      <c r="I124" s="57"/>
      <c r="J124" s="57"/>
      <c r="K124" s="57"/>
      <c r="L124" s="57"/>
      <c r="O124" s="15"/>
      <c r="P124" s="15"/>
      <c r="Q124" s="15"/>
      <c r="R124" s="15"/>
      <c r="S124" s="15"/>
      <c r="T124" s="22"/>
    </row>
    <row r="125" spans="1:20" x14ac:dyDescent="0.25">
      <c r="A125" s="32">
        <v>18</v>
      </c>
      <c r="B125" s="14" t="s">
        <v>6</v>
      </c>
      <c r="C125" s="42">
        <v>0.41666666666666669</v>
      </c>
      <c r="D125" s="42">
        <v>0.45833333333333331</v>
      </c>
      <c r="E125" s="14">
        <v>1</v>
      </c>
      <c r="F125" s="15"/>
      <c r="G125" s="24" t="s">
        <v>125</v>
      </c>
      <c r="H125" s="22"/>
      <c r="I125" s="57"/>
      <c r="J125" s="57"/>
      <c r="K125" s="57"/>
      <c r="L125" s="57"/>
      <c r="O125" s="15"/>
      <c r="P125" s="15"/>
      <c r="Q125" s="15"/>
      <c r="R125" s="15"/>
      <c r="S125" s="15"/>
      <c r="T125" s="22"/>
    </row>
    <row r="126" spans="1:20" x14ac:dyDescent="0.25">
      <c r="A126" s="32">
        <v>19</v>
      </c>
      <c r="B126" s="21" t="s">
        <v>7</v>
      </c>
      <c r="C126" s="51"/>
      <c r="D126" s="51"/>
      <c r="E126" s="138"/>
      <c r="F126" s="23"/>
      <c r="G126" s="21"/>
      <c r="H126" s="22"/>
      <c r="I126" s="57"/>
      <c r="J126" s="57"/>
      <c r="K126" s="57"/>
      <c r="L126" s="57"/>
      <c r="O126" s="13" t="s">
        <v>74</v>
      </c>
      <c r="P126" s="13" t="s">
        <v>11</v>
      </c>
      <c r="Q126" s="13" t="s">
        <v>12</v>
      </c>
      <c r="R126" s="13" t="s">
        <v>13</v>
      </c>
      <c r="S126" s="13" t="s">
        <v>14</v>
      </c>
      <c r="T126" s="20" t="s">
        <v>0</v>
      </c>
    </row>
    <row r="127" spans="1:20" x14ac:dyDescent="0.25">
      <c r="A127" s="32">
        <v>20</v>
      </c>
      <c r="B127" s="21" t="s">
        <v>8</v>
      </c>
      <c r="C127" s="49"/>
      <c r="D127" s="49"/>
      <c r="E127" s="138"/>
      <c r="F127" s="23"/>
      <c r="G127" s="21"/>
      <c r="H127" s="22"/>
      <c r="I127" s="57"/>
      <c r="J127" s="57"/>
      <c r="K127" s="57"/>
      <c r="L127" s="57"/>
      <c r="O127" s="14" t="s">
        <v>2</v>
      </c>
      <c r="P127" s="33"/>
      <c r="Q127" s="25"/>
      <c r="R127" s="14"/>
      <c r="S127" s="24"/>
      <c r="T127" s="21"/>
    </row>
    <row r="128" spans="1:20" x14ac:dyDescent="0.25">
      <c r="A128" s="15"/>
      <c r="B128" s="13" t="s">
        <v>26</v>
      </c>
      <c r="C128" s="32"/>
      <c r="D128" s="32"/>
      <c r="E128" s="32">
        <f>SUM(E120:E127)</f>
        <v>4</v>
      </c>
      <c r="F128" s="15"/>
      <c r="G128" s="144" t="s">
        <v>272</v>
      </c>
      <c r="H128" s="22"/>
      <c r="I128" s="57"/>
      <c r="J128" s="57"/>
      <c r="K128" s="57"/>
      <c r="L128" s="57"/>
      <c r="O128" s="14" t="s">
        <v>3</v>
      </c>
      <c r="P128" s="15"/>
      <c r="Q128" s="15"/>
      <c r="R128" s="15"/>
      <c r="S128" s="15"/>
      <c r="T128" s="22"/>
    </row>
    <row r="129" spans="1:20" x14ac:dyDescent="0.25">
      <c r="A129" s="15"/>
      <c r="B129" s="15"/>
      <c r="C129" s="15"/>
      <c r="D129" s="15"/>
      <c r="E129" s="15"/>
      <c r="F129" s="15"/>
      <c r="G129" s="22"/>
      <c r="H129" s="22"/>
      <c r="I129" s="57"/>
      <c r="J129" s="57"/>
      <c r="K129" s="57"/>
      <c r="L129" s="57"/>
      <c r="O129" s="14" t="s">
        <v>4</v>
      </c>
      <c r="P129" s="26"/>
      <c r="Q129" s="26"/>
      <c r="R129" s="15"/>
      <c r="S129" s="15"/>
      <c r="T129" s="21"/>
    </row>
    <row r="130" spans="1:20" ht="30" x14ac:dyDescent="0.25">
      <c r="A130" s="15"/>
      <c r="B130" s="13" t="s">
        <v>130</v>
      </c>
      <c r="C130" s="13" t="s">
        <v>11</v>
      </c>
      <c r="D130" s="13" t="s">
        <v>12</v>
      </c>
      <c r="E130" s="13" t="s">
        <v>13</v>
      </c>
      <c r="F130" s="13" t="s">
        <v>14</v>
      </c>
      <c r="G130" s="20" t="s">
        <v>0</v>
      </c>
      <c r="H130" s="22"/>
      <c r="I130" s="57"/>
      <c r="J130" s="57"/>
      <c r="K130" s="57"/>
      <c r="L130" s="57"/>
      <c r="O130" s="14" t="s">
        <v>5</v>
      </c>
      <c r="P130" s="25"/>
      <c r="Q130" s="25"/>
      <c r="R130" s="14"/>
      <c r="S130" s="24"/>
      <c r="T130" s="21"/>
    </row>
    <row r="131" spans="1:20" x14ac:dyDescent="0.25">
      <c r="A131" s="32">
        <v>21</v>
      </c>
      <c r="B131" s="21" t="s">
        <v>2</v>
      </c>
      <c r="C131" s="49"/>
      <c r="D131" s="49"/>
      <c r="E131" s="138"/>
      <c r="F131" s="23"/>
      <c r="G131" s="21"/>
      <c r="H131" s="22"/>
      <c r="I131" s="57"/>
      <c r="J131" s="57"/>
      <c r="K131" s="57"/>
      <c r="L131" s="57"/>
      <c r="O131" s="14" t="s">
        <v>6</v>
      </c>
      <c r="P131" s="42"/>
      <c r="Q131" s="42"/>
      <c r="R131" s="14"/>
      <c r="S131" s="24"/>
      <c r="T131" s="21"/>
    </row>
    <row r="132" spans="1:20" x14ac:dyDescent="0.25">
      <c r="A132" s="32">
        <v>22</v>
      </c>
      <c r="B132" s="14" t="s">
        <v>3</v>
      </c>
      <c r="C132" s="26">
        <v>0.47916666666666669</v>
      </c>
      <c r="D132" s="26">
        <v>0.52083333333333337</v>
      </c>
      <c r="E132" s="15">
        <v>1</v>
      </c>
      <c r="F132" s="15"/>
      <c r="G132" s="15" t="s">
        <v>131</v>
      </c>
      <c r="H132" s="22"/>
      <c r="I132" s="57"/>
      <c r="J132" s="57"/>
      <c r="K132" s="57"/>
      <c r="L132" s="57"/>
      <c r="O132" s="14" t="s">
        <v>7</v>
      </c>
      <c r="P132" s="42"/>
      <c r="Q132" s="42"/>
      <c r="R132" s="14"/>
      <c r="S132" s="24"/>
      <c r="T132" s="21"/>
    </row>
    <row r="133" spans="1:20" x14ac:dyDescent="0.25">
      <c r="A133" s="32">
        <v>23</v>
      </c>
      <c r="B133" s="14" t="s">
        <v>4</v>
      </c>
      <c r="C133" s="26"/>
      <c r="D133" s="26"/>
      <c r="E133" s="15"/>
      <c r="F133" s="15"/>
      <c r="G133" s="15"/>
      <c r="H133" s="22"/>
      <c r="I133" s="57"/>
      <c r="J133" s="57"/>
      <c r="K133" s="57"/>
      <c r="L133" s="57"/>
      <c r="O133" s="14" t="s">
        <v>8</v>
      </c>
      <c r="P133" s="25"/>
      <c r="Q133" s="25"/>
      <c r="R133" s="14"/>
      <c r="S133" s="24"/>
      <c r="T133" s="21"/>
    </row>
    <row r="134" spans="1:20" x14ac:dyDescent="0.25">
      <c r="A134" s="32">
        <v>24</v>
      </c>
      <c r="B134" s="14" t="s">
        <v>5</v>
      </c>
      <c r="C134" s="25">
        <v>0.4375</v>
      </c>
      <c r="D134" s="25">
        <v>0.97916666666666663</v>
      </c>
      <c r="E134" s="14">
        <v>1</v>
      </c>
      <c r="F134" s="15"/>
      <c r="G134" s="24" t="s">
        <v>129</v>
      </c>
      <c r="H134" s="22"/>
      <c r="I134" s="57"/>
      <c r="J134" s="57"/>
      <c r="K134" s="57"/>
      <c r="L134" s="57"/>
      <c r="O134" s="13" t="s">
        <v>26</v>
      </c>
      <c r="P134" s="32"/>
      <c r="Q134" s="32"/>
      <c r="R134" s="32"/>
      <c r="S134" s="15"/>
      <c r="T134" s="22"/>
    </row>
    <row r="135" spans="1:20" x14ac:dyDescent="0.25">
      <c r="A135" s="32">
        <v>25</v>
      </c>
      <c r="B135" s="14" t="s">
        <v>6</v>
      </c>
      <c r="C135" s="42">
        <v>0.41666666666666669</v>
      </c>
      <c r="D135" s="42">
        <v>0.45833333333333331</v>
      </c>
      <c r="E135" s="14">
        <v>1</v>
      </c>
      <c r="F135" s="15"/>
      <c r="G135" s="24" t="s">
        <v>125</v>
      </c>
      <c r="H135" s="22"/>
      <c r="I135" s="57"/>
      <c r="J135" s="57"/>
      <c r="K135" s="57"/>
      <c r="L135" s="57"/>
      <c r="O135" s="15"/>
      <c r="P135" s="15"/>
      <c r="Q135" s="15"/>
      <c r="R135" s="15"/>
      <c r="S135" s="15"/>
      <c r="T135" s="22"/>
    </row>
    <row r="136" spans="1:20" x14ac:dyDescent="0.25">
      <c r="A136" s="32">
        <v>26</v>
      </c>
      <c r="B136" s="14" t="s">
        <v>7</v>
      </c>
      <c r="C136" s="42">
        <v>0.79166666666666663</v>
      </c>
      <c r="D136" s="42">
        <v>0.875</v>
      </c>
      <c r="E136" s="14">
        <v>2</v>
      </c>
      <c r="F136" s="15"/>
      <c r="G136" s="24" t="s">
        <v>129</v>
      </c>
      <c r="H136" s="22"/>
      <c r="I136" s="57"/>
      <c r="J136" s="57"/>
      <c r="K136" s="57"/>
      <c r="L136" s="57"/>
      <c r="O136" s="15"/>
      <c r="P136" s="15"/>
      <c r="Q136" s="15"/>
      <c r="R136" s="15"/>
      <c r="S136" s="15"/>
      <c r="T136" s="22"/>
    </row>
    <row r="137" spans="1:20" x14ac:dyDescent="0.25">
      <c r="A137" s="32">
        <v>27</v>
      </c>
      <c r="B137" s="21" t="s">
        <v>8</v>
      </c>
      <c r="C137" s="49"/>
      <c r="D137" s="49"/>
      <c r="E137" s="138"/>
      <c r="F137" s="23"/>
      <c r="G137" s="21"/>
      <c r="H137" s="22"/>
      <c r="I137" s="57"/>
      <c r="J137" s="57"/>
      <c r="K137" s="57"/>
      <c r="L137" s="57"/>
      <c r="O137" s="13" t="s">
        <v>128</v>
      </c>
      <c r="P137" s="13" t="s">
        <v>11</v>
      </c>
      <c r="Q137" s="13" t="s">
        <v>12</v>
      </c>
      <c r="R137" s="13" t="s">
        <v>13</v>
      </c>
      <c r="S137" s="13" t="s">
        <v>14</v>
      </c>
      <c r="T137" s="20" t="s">
        <v>0</v>
      </c>
    </row>
    <row r="138" spans="1:20" x14ac:dyDescent="0.25">
      <c r="A138" s="32"/>
      <c r="B138" s="15"/>
      <c r="C138" s="15"/>
      <c r="D138" s="15"/>
      <c r="E138" s="15"/>
      <c r="F138" s="15"/>
      <c r="G138" s="15"/>
      <c r="H138" s="22"/>
      <c r="I138" s="57"/>
      <c r="J138" s="57"/>
      <c r="K138" s="57"/>
      <c r="L138" s="57"/>
      <c r="O138" s="14" t="s">
        <v>2</v>
      </c>
      <c r="P138" s="33"/>
      <c r="Q138" s="25"/>
      <c r="R138" s="14"/>
      <c r="S138" s="24"/>
      <c r="T138" s="21"/>
    </row>
    <row r="139" spans="1:20" x14ac:dyDescent="0.25">
      <c r="A139" s="32"/>
      <c r="B139" s="13" t="s">
        <v>26</v>
      </c>
      <c r="C139" s="32"/>
      <c r="D139" s="32"/>
      <c r="E139" s="32">
        <f>SUM(E131:E137)</f>
        <v>5</v>
      </c>
      <c r="F139" s="23"/>
      <c r="G139" s="144" t="s">
        <v>258</v>
      </c>
      <c r="H139" s="22"/>
      <c r="I139" s="57"/>
      <c r="J139" s="57"/>
      <c r="K139" s="57"/>
      <c r="L139" s="57"/>
      <c r="O139" s="14" t="s">
        <v>3</v>
      </c>
      <c r="P139" s="15"/>
      <c r="Q139" s="15"/>
      <c r="R139" s="15"/>
      <c r="S139" s="15"/>
      <c r="T139" s="22"/>
    </row>
    <row r="140" spans="1:20" x14ac:dyDescent="0.25">
      <c r="A140" s="144" t="s">
        <v>231</v>
      </c>
      <c r="B140" s="35" t="s">
        <v>227</v>
      </c>
      <c r="C140" s="60"/>
      <c r="D140" s="61"/>
      <c r="E140" s="35"/>
      <c r="F140" s="115" t="s">
        <v>28</v>
      </c>
      <c r="G140" s="144" t="s">
        <v>273</v>
      </c>
      <c r="H140" s="151" t="s">
        <v>103</v>
      </c>
      <c r="I140" s="57"/>
      <c r="J140" s="57"/>
      <c r="K140" s="57"/>
      <c r="L140" s="57"/>
      <c r="O140" s="14" t="s">
        <v>4</v>
      </c>
      <c r="P140" s="26"/>
      <c r="Q140" s="26"/>
      <c r="R140" s="15"/>
      <c r="S140" s="15"/>
      <c r="T140" s="21"/>
    </row>
    <row r="141" spans="1:20" x14ac:dyDescent="0.25">
      <c r="A141" s="15"/>
      <c r="B141" s="15"/>
      <c r="C141" s="15"/>
      <c r="D141" s="15"/>
      <c r="E141" s="15"/>
      <c r="F141" s="15"/>
      <c r="G141" s="15"/>
      <c r="H141" s="15"/>
      <c r="I141" s="57"/>
      <c r="J141" s="57"/>
      <c r="K141" s="57"/>
      <c r="L141" s="57"/>
      <c r="O141" s="14" t="s">
        <v>5</v>
      </c>
      <c r="P141" s="25"/>
      <c r="Q141" s="25"/>
      <c r="R141" s="14"/>
      <c r="S141" s="24"/>
      <c r="T141" s="21"/>
    </row>
    <row r="142" spans="1:20" ht="30" x14ac:dyDescent="0.25">
      <c r="A142" s="63"/>
      <c r="B142" s="13" t="s">
        <v>132</v>
      </c>
      <c r="C142" s="13" t="s">
        <v>11</v>
      </c>
      <c r="D142" s="13" t="s">
        <v>12</v>
      </c>
      <c r="E142" s="13" t="s">
        <v>13</v>
      </c>
      <c r="F142" s="13" t="s">
        <v>14</v>
      </c>
      <c r="G142" s="20" t="s">
        <v>0</v>
      </c>
      <c r="H142" s="22"/>
      <c r="I142" s="57"/>
      <c r="J142" s="57"/>
      <c r="K142" s="57"/>
      <c r="L142" s="57"/>
      <c r="O142" s="15"/>
      <c r="P142" s="26"/>
      <c r="Q142" s="26"/>
      <c r="R142" s="15"/>
      <c r="S142" s="15"/>
      <c r="T142" s="21"/>
    </row>
    <row r="143" spans="1:20" x14ac:dyDescent="0.25">
      <c r="A143" s="32">
        <v>28</v>
      </c>
      <c r="B143" s="21" t="s">
        <v>2</v>
      </c>
      <c r="C143" s="49"/>
      <c r="D143" s="49"/>
      <c r="E143" s="138"/>
      <c r="F143" s="23"/>
      <c r="G143" s="21"/>
      <c r="H143" s="22"/>
      <c r="I143" s="57"/>
      <c r="J143" s="57"/>
      <c r="K143" s="57"/>
      <c r="L143" s="57"/>
      <c r="O143" s="14" t="s">
        <v>6</v>
      </c>
      <c r="P143" s="42"/>
      <c r="Q143" s="42"/>
      <c r="R143" s="14"/>
      <c r="S143" s="24"/>
      <c r="T143" s="21"/>
    </row>
    <row r="144" spans="1:20" x14ac:dyDescent="0.25">
      <c r="A144" s="32">
        <v>29</v>
      </c>
      <c r="B144" s="21" t="s">
        <v>3</v>
      </c>
      <c r="C144" s="26">
        <v>0.47916666666666669</v>
      </c>
      <c r="D144" s="26">
        <v>0.52083333333333337</v>
      </c>
      <c r="E144" s="15">
        <v>1</v>
      </c>
      <c r="F144" s="15"/>
      <c r="G144" s="15" t="s">
        <v>131</v>
      </c>
      <c r="H144" s="15"/>
      <c r="I144" s="57"/>
      <c r="J144" s="57"/>
      <c r="K144" s="57"/>
      <c r="L144" s="57"/>
      <c r="O144" s="14" t="s">
        <v>7</v>
      </c>
      <c r="P144" s="42"/>
      <c r="Q144" s="42"/>
      <c r="R144" s="14"/>
      <c r="S144" s="24"/>
      <c r="T144" s="21"/>
    </row>
    <row r="145" spans="1:20" x14ac:dyDescent="0.25">
      <c r="A145" s="32">
        <v>30</v>
      </c>
      <c r="B145" s="21" t="s">
        <v>4</v>
      </c>
      <c r="C145" s="26"/>
      <c r="D145" s="26"/>
      <c r="E145" s="15"/>
      <c r="F145" s="15"/>
      <c r="G145" s="15"/>
      <c r="H145" s="22"/>
      <c r="I145" s="57"/>
      <c r="J145" s="57"/>
      <c r="K145" s="57"/>
      <c r="L145" s="57"/>
      <c r="O145" s="14" t="s">
        <v>8</v>
      </c>
      <c r="P145" s="25"/>
      <c r="Q145" s="25"/>
      <c r="R145" s="14"/>
      <c r="S145" s="24"/>
      <c r="T145" s="21"/>
    </row>
    <row r="146" spans="1:20" x14ac:dyDescent="0.25">
      <c r="A146" s="32">
        <v>31</v>
      </c>
      <c r="B146" s="21" t="s">
        <v>5</v>
      </c>
      <c r="C146" s="25"/>
      <c r="D146" s="25"/>
      <c r="E146" s="14"/>
      <c r="F146" s="15"/>
      <c r="G146" s="24"/>
      <c r="H146" s="22"/>
      <c r="I146" s="57"/>
      <c r="J146" s="57"/>
      <c r="K146" s="57"/>
      <c r="L146" s="57"/>
      <c r="O146" s="13" t="s">
        <v>26</v>
      </c>
      <c r="P146" s="32"/>
      <c r="Q146" s="32"/>
      <c r="R146" s="32"/>
      <c r="S146" s="15"/>
      <c r="T146" s="22"/>
    </row>
    <row r="147" spans="1:20" x14ac:dyDescent="0.25">
      <c r="A147" s="32">
        <v>1</v>
      </c>
      <c r="B147" s="21" t="s">
        <v>6</v>
      </c>
      <c r="C147" s="42">
        <v>0.41666666666666669</v>
      </c>
      <c r="D147" s="42">
        <v>0.45833333333333331</v>
      </c>
      <c r="E147" s="14">
        <v>1</v>
      </c>
      <c r="F147" s="15"/>
      <c r="G147" s="24" t="s">
        <v>125</v>
      </c>
      <c r="H147" s="22"/>
      <c r="I147" s="57"/>
      <c r="J147" s="57"/>
      <c r="K147" s="57"/>
      <c r="L147" s="57"/>
      <c r="O147" s="15"/>
      <c r="P147" s="15"/>
      <c r="Q147" s="15"/>
      <c r="R147" s="15"/>
      <c r="S147" s="15"/>
      <c r="T147" s="22"/>
    </row>
    <row r="148" spans="1:20" x14ac:dyDescent="0.25">
      <c r="A148" s="32">
        <v>2</v>
      </c>
      <c r="B148" s="21" t="s">
        <v>7</v>
      </c>
      <c r="C148" s="42">
        <v>0.79166666666666663</v>
      </c>
      <c r="D148" s="42">
        <v>0.875</v>
      </c>
      <c r="E148" s="14">
        <v>2</v>
      </c>
      <c r="F148" s="15"/>
      <c r="G148" s="24" t="s">
        <v>129</v>
      </c>
      <c r="H148" s="22"/>
      <c r="I148" s="57"/>
      <c r="J148" s="57"/>
      <c r="K148" s="57"/>
      <c r="L148" s="57"/>
      <c r="O148" s="13" t="s">
        <v>130</v>
      </c>
      <c r="P148" s="13" t="s">
        <v>11</v>
      </c>
      <c r="Q148" s="13" t="s">
        <v>12</v>
      </c>
      <c r="R148" s="13" t="s">
        <v>13</v>
      </c>
      <c r="S148" s="13" t="s">
        <v>14</v>
      </c>
      <c r="T148" s="20" t="s">
        <v>0</v>
      </c>
    </row>
    <row r="149" spans="1:20" x14ac:dyDescent="0.25">
      <c r="A149" s="32">
        <v>3</v>
      </c>
      <c r="B149" s="21" t="s">
        <v>8</v>
      </c>
      <c r="C149" s="25"/>
      <c r="D149" s="25"/>
      <c r="E149" s="14"/>
      <c r="F149" s="15"/>
      <c r="G149" s="24"/>
      <c r="H149" s="22"/>
      <c r="I149" s="57"/>
      <c r="J149" s="57"/>
      <c r="K149" s="57"/>
      <c r="L149" s="57"/>
      <c r="O149" s="14" t="s">
        <v>2</v>
      </c>
      <c r="P149" s="33"/>
      <c r="Q149" s="25"/>
      <c r="R149" s="14"/>
      <c r="S149" s="24"/>
      <c r="T149" s="21"/>
    </row>
    <row r="150" spans="1:20" x14ac:dyDescent="0.25">
      <c r="A150" s="15"/>
      <c r="B150" s="13" t="s">
        <v>26</v>
      </c>
      <c r="C150" s="32"/>
      <c r="D150" s="32"/>
      <c r="E150" s="32">
        <f>SUM(E143:E149)</f>
        <v>4</v>
      </c>
      <c r="F150" s="15"/>
      <c r="G150" s="144" t="s">
        <v>274</v>
      </c>
      <c r="H150" s="22"/>
      <c r="I150" s="57"/>
      <c r="J150" s="57"/>
      <c r="K150" s="57"/>
      <c r="L150" s="57"/>
      <c r="O150" s="14" t="s">
        <v>3</v>
      </c>
      <c r="P150" s="26"/>
      <c r="Q150" s="26"/>
      <c r="R150" s="15"/>
      <c r="S150" s="15"/>
      <c r="T150" s="22"/>
    </row>
    <row r="151" spans="1:20" x14ac:dyDescent="0.25">
      <c r="A151" s="15"/>
      <c r="B151" s="15"/>
      <c r="C151" s="15"/>
      <c r="D151" s="15"/>
      <c r="E151" s="15"/>
      <c r="F151" s="15"/>
      <c r="G151" s="15"/>
      <c r="H151" s="22"/>
      <c r="I151" s="57"/>
      <c r="J151" s="57"/>
      <c r="K151" s="57"/>
      <c r="L151" s="57"/>
      <c r="O151" s="14" t="s">
        <v>4</v>
      </c>
      <c r="P151" s="26"/>
      <c r="Q151" s="26"/>
      <c r="R151" s="15"/>
      <c r="S151" s="15"/>
      <c r="T151" s="21"/>
    </row>
    <row r="152" spans="1:20" ht="30" x14ac:dyDescent="0.25">
      <c r="A152" s="15"/>
      <c r="B152" s="13" t="s">
        <v>133</v>
      </c>
      <c r="C152" s="13" t="s">
        <v>11</v>
      </c>
      <c r="D152" s="13" t="s">
        <v>12</v>
      </c>
      <c r="E152" s="13" t="s">
        <v>13</v>
      </c>
      <c r="F152" s="13" t="s">
        <v>14</v>
      </c>
      <c r="G152" s="20" t="s">
        <v>0</v>
      </c>
      <c r="H152" s="22"/>
      <c r="I152" s="57"/>
      <c r="J152" s="57"/>
      <c r="K152" s="57"/>
      <c r="L152" s="57"/>
      <c r="O152" s="14" t="s">
        <v>5</v>
      </c>
      <c r="P152" s="25"/>
      <c r="Q152" s="25"/>
      <c r="R152" s="14"/>
      <c r="S152" s="24"/>
      <c r="T152" s="21"/>
    </row>
    <row r="153" spans="1:20" x14ac:dyDescent="0.25">
      <c r="A153" s="32">
        <v>4</v>
      </c>
      <c r="B153" s="21" t="s">
        <v>2</v>
      </c>
      <c r="C153" s="33"/>
      <c r="D153" s="25"/>
      <c r="E153" s="14"/>
      <c r="F153" s="24"/>
      <c r="G153" s="14"/>
      <c r="H153" s="22"/>
      <c r="I153" s="57"/>
      <c r="J153" s="57"/>
      <c r="K153" s="57"/>
      <c r="L153" s="57"/>
      <c r="O153" s="14" t="s">
        <v>6</v>
      </c>
      <c r="P153" s="42"/>
      <c r="Q153" s="42"/>
      <c r="R153" s="14"/>
      <c r="S153" s="24"/>
      <c r="T153" s="21"/>
    </row>
    <row r="154" spans="1:20" x14ac:dyDescent="0.25">
      <c r="A154" s="32">
        <v>5</v>
      </c>
      <c r="B154" s="21" t="s">
        <v>3</v>
      </c>
      <c r="C154" s="26">
        <v>0.45833333333333331</v>
      </c>
      <c r="D154" s="26">
        <v>0.5</v>
      </c>
      <c r="E154" s="15">
        <v>1</v>
      </c>
      <c r="F154" s="15"/>
      <c r="G154" s="15" t="s">
        <v>134</v>
      </c>
      <c r="H154" s="22"/>
      <c r="I154" s="57"/>
      <c r="J154" s="57"/>
      <c r="K154" s="57"/>
      <c r="L154" s="57"/>
      <c r="O154" s="14" t="s">
        <v>7</v>
      </c>
      <c r="P154" s="42"/>
      <c r="Q154" s="42"/>
      <c r="R154" s="14"/>
      <c r="S154" s="24"/>
      <c r="T154" s="21"/>
    </row>
    <row r="155" spans="1:20" x14ac:dyDescent="0.25">
      <c r="A155" s="32">
        <v>6</v>
      </c>
      <c r="B155" s="21" t="s">
        <v>4</v>
      </c>
      <c r="C155" s="26"/>
      <c r="D155" s="26"/>
      <c r="E155" s="15"/>
      <c r="F155" s="15"/>
      <c r="G155" s="14"/>
      <c r="H155" s="22"/>
      <c r="I155" s="57"/>
      <c r="J155" s="57"/>
      <c r="K155" s="57"/>
      <c r="L155" s="57"/>
      <c r="O155" s="14" t="s">
        <v>8</v>
      </c>
      <c r="P155" s="25"/>
      <c r="Q155" s="25"/>
      <c r="R155" s="14"/>
      <c r="S155" s="24"/>
      <c r="T155" s="21"/>
    </row>
    <row r="156" spans="1:20" x14ac:dyDescent="0.25">
      <c r="A156" s="32">
        <v>7</v>
      </c>
      <c r="B156" s="21" t="s">
        <v>5</v>
      </c>
      <c r="C156" s="25">
        <v>0.54166666666666663</v>
      </c>
      <c r="D156" s="25">
        <v>0.625</v>
      </c>
      <c r="E156" s="14">
        <v>2</v>
      </c>
      <c r="F156" s="24"/>
      <c r="G156" s="14" t="s">
        <v>135</v>
      </c>
      <c r="H156" s="22"/>
      <c r="I156" s="57"/>
      <c r="J156" s="57"/>
      <c r="K156" s="57"/>
      <c r="L156" s="57"/>
      <c r="O156" s="13" t="s">
        <v>26</v>
      </c>
      <c r="P156" s="32"/>
      <c r="Q156" s="32"/>
      <c r="R156" s="32"/>
      <c r="S156" s="15"/>
      <c r="T156" s="22"/>
    </row>
    <row r="157" spans="1:20" x14ac:dyDescent="0.25">
      <c r="A157" s="32">
        <v>8</v>
      </c>
      <c r="B157" s="21" t="s">
        <v>6</v>
      </c>
      <c r="C157" s="42">
        <v>0.41666666666666669</v>
      </c>
      <c r="D157" s="42">
        <v>0.45833333333333331</v>
      </c>
      <c r="E157" s="14">
        <v>1</v>
      </c>
      <c r="F157" s="15"/>
      <c r="G157" s="24" t="s">
        <v>125</v>
      </c>
      <c r="H157" s="22"/>
      <c r="I157" s="57"/>
      <c r="J157" s="57"/>
      <c r="K157" s="57"/>
      <c r="L157" s="57"/>
      <c r="O157" s="15"/>
      <c r="P157" s="15"/>
      <c r="Q157" s="15"/>
      <c r="R157" s="15"/>
      <c r="S157" s="15"/>
      <c r="T157" s="22"/>
    </row>
    <row r="158" spans="1:20" x14ac:dyDescent="0.25">
      <c r="A158" s="32">
        <v>9</v>
      </c>
      <c r="B158" s="21" t="s">
        <v>7</v>
      </c>
      <c r="C158" s="42">
        <v>0.79166666666666663</v>
      </c>
      <c r="D158" s="42">
        <v>0.83333333333333337</v>
      </c>
      <c r="E158" s="14">
        <v>1</v>
      </c>
      <c r="F158" s="24"/>
      <c r="G158" s="14" t="s">
        <v>136</v>
      </c>
      <c r="H158" s="22"/>
      <c r="I158" s="57"/>
      <c r="J158" s="57"/>
      <c r="K158" s="57"/>
      <c r="L158" s="57"/>
      <c r="O158" s="13" t="s">
        <v>132</v>
      </c>
      <c r="P158" s="13" t="s">
        <v>11</v>
      </c>
      <c r="Q158" s="13" t="s">
        <v>12</v>
      </c>
      <c r="R158" s="13" t="s">
        <v>13</v>
      </c>
      <c r="S158" s="13" t="s">
        <v>14</v>
      </c>
      <c r="T158" s="20" t="s">
        <v>0</v>
      </c>
    </row>
    <row r="159" spans="1:20" x14ac:dyDescent="0.25">
      <c r="A159" s="32">
        <v>10</v>
      </c>
      <c r="B159" s="21" t="s">
        <v>8</v>
      </c>
      <c r="C159" s="25"/>
      <c r="D159" s="25"/>
      <c r="E159" s="14"/>
      <c r="F159" s="24"/>
      <c r="G159" s="14"/>
      <c r="H159" s="22"/>
      <c r="I159" s="57"/>
      <c r="J159" s="57"/>
      <c r="K159" s="57"/>
      <c r="L159" s="57"/>
      <c r="O159" s="14" t="s">
        <v>2</v>
      </c>
      <c r="P159" s="33"/>
      <c r="Q159" s="25"/>
      <c r="R159" s="14"/>
      <c r="S159" s="24"/>
      <c r="T159" s="21"/>
    </row>
    <row r="160" spans="1:20" x14ac:dyDescent="0.25">
      <c r="A160" s="15"/>
      <c r="B160" s="13" t="s">
        <v>26</v>
      </c>
      <c r="C160" s="32"/>
      <c r="D160" s="32"/>
      <c r="E160" s="32">
        <f>SUM(E153:E159)</f>
        <v>5</v>
      </c>
      <c r="F160" s="15"/>
      <c r="G160" s="144" t="s">
        <v>269</v>
      </c>
      <c r="H160" s="22"/>
      <c r="I160" s="57"/>
      <c r="J160" s="57"/>
      <c r="K160" s="57"/>
      <c r="L160" s="57"/>
      <c r="O160" s="14" t="s">
        <v>3</v>
      </c>
      <c r="P160" s="26"/>
      <c r="Q160" s="26"/>
      <c r="R160" s="15"/>
      <c r="S160" s="15"/>
      <c r="T160" s="22"/>
    </row>
    <row r="161" spans="1:20" x14ac:dyDescent="0.25">
      <c r="A161" s="144"/>
      <c r="B161" s="35" t="s">
        <v>227</v>
      </c>
      <c r="C161" s="60"/>
      <c r="D161" s="61"/>
      <c r="E161" s="35"/>
      <c r="F161" s="115">
        <v>10</v>
      </c>
      <c r="G161" s="144" t="s">
        <v>275</v>
      </c>
      <c r="H161" s="151" t="s">
        <v>103</v>
      </c>
      <c r="I161" s="57"/>
      <c r="J161" s="57"/>
      <c r="K161" s="57"/>
      <c r="L161" s="57"/>
      <c r="O161" s="14" t="s">
        <v>4</v>
      </c>
      <c r="P161" s="26"/>
      <c r="Q161" s="26"/>
      <c r="R161" s="15"/>
      <c r="S161" s="15"/>
      <c r="T161" s="21"/>
    </row>
    <row r="162" spans="1:20" x14ac:dyDescent="0.25">
      <c r="A162" s="15"/>
      <c r="B162" s="15"/>
      <c r="C162" s="15"/>
      <c r="D162" s="15"/>
      <c r="E162" s="15"/>
      <c r="F162" s="15"/>
      <c r="G162" s="15"/>
      <c r="H162" s="22"/>
      <c r="I162" s="57"/>
      <c r="J162" s="57"/>
      <c r="K162" s="57"/>
      <c r="L162" s="57"/>
      <c r="O162" s="14" t="s">
        <v>5</v>
      </c>
      <c r="P162" s="25"/>
      <c r="Q162" s="25"/>
      <c r="R162" s="14"/>
      <c r="S162" s="24"/>
      <c r="T162" s="21"/>
    </row>
    <row r="163" spans="1:20" ht="30" x14ac:dyDescent="0.25">
      <c r="A163" s="15"/>
      <c r="B163" s="13" t="s">
        <v>138</v>
      </c>
      <c r="C163" s="13" t="s">
        <v>11</v>
      </c>
      <c r="D163" s="13" t="s">
        <v>12</v>
      </c>
      <c r="E163" s="13" t="s">
        <v>13</v>
      </c>
      <c r="F163" s="13" t="s">
        <v>14</v>
      </c>
      <c r="G163" s="20" t="s">
        <v>0</v>
      </c>
      <c r="H163" s="22"/>
      <c r="I163" s="57"/>
      <c r="J163" s="57"/>
      <c r="K163" s="57"/>
      <c r="L163" s="57"/>
      <c r="O163" s="14" t="s">
        <v>6</v>
      </c>
      <c r="P163" s="42"/>
      <c r="Q163" s="42"/>
      <c r="R163" s="14"/>
      <c r="S163" s="24"/>
      <c r="T163" s="21"/>
    </row>
    <row r="164" spans="1:20" x14ac:dyDescent="0.25">
      <c r="A164" s="20">
        <v>11</v>
      </c>
      <c r="B164" s="21" t="s">
        <v>2</v>
      </c>
      <c r="C164" s="49"/>
      <c r="D164" s="49"/>
      <c r="E164" s="138"/>
      <c r="F164" s="23"/>
      <c r="G164" s="21"/>
      <c r="H164" s="22"/>
      <c r="I164" s="57"/>
      <c r="J164" s="57"/>
      <c r="K164" s="57"/>
      <c r="L164" s="57"/>
      <c r="O164" s="14" t="s">
        <v>7</v>
      </c>
      <c r="P164" s="42"/>
      <c r="Q164" s="42"/>
      <c r="R164" s="14"/>
      <c r="S164" s="24"/>
      <c r="T164" s="21"/>
    </row>
    <row r="165" spans="1:20" x14ac:dyDescent="0.25">
      <c r="A165" s="20">
        <v>12</v>
      </c>
      <c r="B165" s="21" t="s">
        <v>3</v>
      </c>
      <c r="C165" s="48"/>
      <c r="D165" s="49"/>
      <c r="E165" s="138"/>
      <c r="F165" s="23"/>
      <c r="G165" s="21"/>
      <c r="H165" s="15"/>
      <c r="I165" s="57"/>
      <c r="J165" s="57"/>
      <c r="K165" s="57"/>
      <c r="L165" s="57"/>
      <c r="O165" s="14" t="s">
        <v>8</v>
      </c>
      <c r="P165" s="25"/>
      <c r="Q165" s="25"/>
      <c r="R165" s="14"/>
      <c r="S165" s="24"/>
      <c r="T165" s="21"/>
    </row>
    <row r="166" spans="1:20" x14ac:dyDescent="0.25">
      <c r="A166" s="32">
        <v>13</v>
      </c>
      <c r="B166" s="21" t="s">
        <v>4</v>
      </c>
      <c r="C166" s="51"/>
      <c r="D166" s="51"/>
      <c r="E166" s="138"/>
      <c r="F166" s="23"/>
      <c r="G166" s="22"/>
      <c r="H166" s="22"/>
      <c r="I166" s="57"/>
      <c r="J166" s="57"/>
      <c r="K166" s="57"/>
      <c r="L166" s="57"/>
      <c r="O166" s="13" t="s">
        <v>26</v>
      </c>
      <c r="P166" s="32"/>
      <c r="Q166" s="32"/>
      <c r="R166" s="32"/>
      <c r="S166" s="15"/>
      <c r="T166" s="22"/>
    </row>
    <row r="167" spans="1:20" x14ac:dyDescent="0.25">
      <c r="A167" s="32">
        <v>14</v>
      </c>
      <c r="B167" s="21" t="s">
        <v>5</v>
      </c>
      <c r="C167" s="51"/>
      <c r="D167" s="51"/>
      <c r="E167" s="22"/>
      <c r="F167" s="22"/>
      <c r="G167" s="22"/>
      <c r="H167" s="22"/>
      <c r="I167" s="57"/>
      <c r="J167" s="57"/>
      <c r="K167" s="57"/>
      <c r="L167" s="57"/>
      <c r="O167" s="15"/>
      <c r="P167" s="15"/>
      <c r="Q167" s="15"/>
      <c r="R167" s="15"/>
      <c r="S167" s="15"/>
      <c r="T167" s="22"/>
    </row>
    <row r="168" spans="1:20" x14ac:dyDescent="0.25">
      <c r="A168" s="32">
        <v>15</v>
      </c>
      <c r="B168" s="21" t="s">
        <v>6</v>
      </c>
      <c r="C168" s="42">
        <v>0.41666666666666669</v>
      </c>
      <c r="D168" s="42">
        <v>0.45833333333333331</v>
      </c>
      <c r="E168" s="14">
        <v>1</v>
      </c>
      <c r="F168" s="15"/>
      <c r="G168" s="24" t="s">
        <v>125</v>
      </c>
      <c r="H168" s="22"/>
      <c r="I168" s="57"/>
      <c r="J168" s="57"/>
      <c r="K168" s="57"/>
      <c r="L168" s="57"/>
      <c r="O168" s="13" t="s">
        <v>133</v>
      </c>
      <c r="P168" s="13" t="s">
        <v>11</v>
      </c>
      <c r="Q168" s="13" t="s">
        <v>12</v>
      </c>
      <c r="R168" s="13" t="s">
        <v>13</v>
      </c>
      <c r="S168" s="13" t="s">
        <v>14</v>
      </c>
      <c r="T168" s="20" t="s">
        <v>0</v>
      </c>
    </row>
    <row r="169" spans="1:20" x14ac:dyDescent="0.25">
      <c r="A169" s="32">
        <v>16</v>
      </c>
      <c r="B169" s="21" t="s">
        <v>7</v>
      </c>
      <c r="C169" s="42">
        <v>0.79166666666666663</v>
      </c>
      <c r="D169" s="42">
        <v>0.85416666666666663</v>
      </c>
      <c r="E169" s="14">
        <v>1.5</v>
      </c>
      <c r="F169" s="24"/>
      <c r="G169" s="14" t="s">
        <v>136</v>
      </c>
      <c r="H169" s="22"/>
      <c r="I169" s="57"/>
      <c r="J169" s="57"/>
      <c r="K169" s="57"/>
      <c r="L169" s="57"/>
      <c r="O169" s="14" t="s">
        <v>2</v>
      </c>
      <c r="P169" s="33"/>
      <c r="Q169" s="25"/>
      <c r="R169" s="14"/>
      <c r="S169" s="24"/>
      <c r="T169" s="21"/>
    </row>
    <row r="170" spans="1:20" x14ac:dyDescent="0.25">
      <c r="A170" s="32">
        <v>17</v>
      </c>
      <c r="B170" s="21" t="s">
        <v>8</v>
      </c>
      <c r="C170" s="25">
        <v>0.875</v>
      </c>
      <c r="D170" s="25">
        <v>0.89583333333333337</v>
      </c>
      <c r="E170" s="14">
        <v>0.5</v>
      </c>
      <c r="F170" s="24"/>
      <c r="G170" s="14" t="s">
        <v>139</v>
      </c>
      <c r="H170" s="22"/>
      <c r="I170" s="57"/>
      <c r="J170" s="57"/>
      <c r="K170" s="57"/>
      <c r="L170" s="57"/>
      <c r="O170" s="14" t="s">
        <v>3</v>
      </c>
      <c r="P170" s="26"/>
      <c r="Q170" s="26"/>
      <c r="R170" s="15"/>
      <c r="S170" s="15"/>
      <c r="T170" s="22"/>
    </row>
    <row r="171" spans="1:20" x14ac:dyDescent="0.25">
      <c r="A171" s="15"/>
      <c r="B171" s="13" t="s">
        <v>26</v>
      </c>
      <c r="C171" s="32"/>
      <c r="D171" s="32"/>
      <c r="E171" s="32">
        <f>SUM(E164:E170)</f>
        <v>3</v>
      </c>
      <c r="F171" s="15"/>
      <c r="G171" s="144"/>
      <c r="H171" s="22"/>
      <c r="I171" s="57"/>
      <c r="J171" s="57"/>
      <c r="K171" s="57"/>
      <c r="L171" s="57"/>
      <c r="O171" s="14" t="s">
        <v>4</v>
      </c>
      <c r="P171" s="26"/>
      <c r="Q171" s="26"/>
      <c r="R171" s="15"/>
      <c r="S171" s="15"/>
      <c r="T171" s="21"/>
    </row>
    <row r="172" spans="1:20" x14ac:dyDescent="0.25">
      <c r="A172" s="15"/>
      <c r="B172" s="15"/>
      <c r="C172" s="15"/>
      <c r="D172" s="15"/>
      <c r="E172" s="15"/>
      <c r="F172" s="15"/>
      <c r="G172" s="53"/>
      <c r="H172" s="15"/>
      <c r="I172" s="57"/>
      <c r="J172" s="57"/>
      <c r="K172" s="57"/>
      <c r="L172" s="57"/>
      <c r="O172" s="14" t="s">
        <v>5</v>
      </c>
      <c r="P172" s="25"/>
      <c r="Q172" s="25"/>
      <c r="R172" s="14"/>
      <c r="S172" s="24"/>
      <c r="T172" s="21"/>
    </row>
    <row r="173" spans="1:20" ht="30" x14ac:dyDescent="0.25">
      <c r="A173" s="15"/>
      <c r="B173" s="13" t="s">
        <v>140</v>
      </c>
      <c r="C173" s="13" t="s">
        <v>11</v>
      </c>
      <c r="D173" s="13" t="s">
        <v>12</v>
      </c>
      <c r="E173" s="13" t="s">
        <v>13</v>
      </c>
      <c r="F173" s="13" t="s">
        <v>14</v>
      </c>
      <c r="G173" s="13" t="s">
        <v>0</v>
      </c>
      <c r="H173" s="63"/>
      <c r="I173" s="57"/>
      <c r="J173" s="57"/>
      <c r="K173" s="57"/>
      <c r="L173" s="57"/>
      <c r="O173" s="14" t="s">
        <v>6</v>
      </c>
      <c r="P173" s="42"/>
      <c r="Q173" s="42"/>
      <c r="R173" s="14"/>
      <c r="S173" s="15"/>
      <c r="T173" s="23"/>
    </row>
    <row r="174" spans="1:20" x14ac:dyDescent="0.25">
      <c r="A174" s="15">
        <v>18</v>
      </c>
      <c r="B174" s="14" t="s">
        <v>2</v>
      </c>
      <c r="C174" s="33"/>
      <c r="D174" s="25"/>
      <c r="E174" s="14"/>
      <c r="F174" s="24"/>
      <c r="G174" s="14"/>
      <c r="H174" s="63"/>
      <c r="I174" s="57"/>
      <c r="J174" s="57"/>
      <c r="K174" s="57"/>
      <c r="L174" s="57"/>
      <c r="O174" s="14" t="s">
        <v>7</v>
      </c>
      <c r="P174" s="42"/>
      <c r="Q174" s="42"/>
      <c r="R174" s="14"/>
      <c r="S174" s="24"/>
      <c r="T174" s="21"/>
    </row>
    <row r="175" spans="1:20" x14ac:dyDescent="0.25">
      <c r="A175" s="15">
        <v>19</v>
      </c>
      <c r="B175" s="14" t="s">
        <v>3</v>
      </c>
      <c r="C175" s="26">
        <v>0.40277777777777773</v>
      </c>
      <c r="D175" s="26">
        <v>0.4861111111111111</v>
      </c>
      <c r="E175" s="15">
        <v>2</v>
      </c>
      <c r="F175" s="15"/>
      <c r="G175" s="15" t="s">
        <v>119</v>
      </c>
      <c r="H175" s="63"/>
      <c r="I175" s="57"/>
      <c r="J175" s="57"/>
      <c r="K175" s="57"/>
      <c r="L175" s="57"/>
      <c r="O175" s="14" t="s">
        <v>8</v>
      </c>
      <c r="P175" s="25"/>
      <c r="Q175" s="25"/>
      <c r="R175" s="14"/>
      <c r="S175" s="24"/>
      <c r="T175" s="21"/>
    </row>
    <row r="176" spans="1:20" x14ac:dyDescent="0.25">
      <c r="A176" s="15">
        <v>20</v>
      </c>
      <c r="B176" s="14" t="s">
        <v>4</v>
      </c>
      <c r="C176" s="26"/>
      <c r="D176" s="26"/>
      <c r="E176" s="15"/>
      <c r="F176" s="15"/>
      <c r="G176" s="14"/>
      <c r="H176" s="63"/>
      <c r="I176" s="57"/>
      <c r="J176" s="57"/>
      <c r="K176" s="57"/>
      <c r="L176" s="57"/>
      <c r="O176" s="13" t="s">
        <v>26</v>
      </c>
      <c r="P176" s="32"/>
      <c r="Q176" s="32"/>
      <c r="R176" s="32"/>
      <c r="S176" s="15"/>
      <c r="T176" s="22"/>
    </row>
    <row r="177" spans="1:20" x14ac:dyDescent="0.25">
      <c r="A177" s="15">
        <v>21</v>
      </c>
      <c r="B177" s="14" t="s">
        <v>5</v>
      </c>
      <c r="C177" s="25">
        <v>0.45833333333333331</v>
      </c>
      <c r="D177" s="25">
        <v>2.0833333333333332E-2</v>
      </c>
      <c r="E177" s="14">
        <v>1</v>
      </c>
      <c r="F177" s="24"/>
      <c r="G177" s="14" t="s">
        <v>141</v>
      </c>
      <c r="H177" s="63"/>
      <c r="I177" s="57"/>
      <c r="J177" s="57"/>
      <c r="K177" s="57"/>
      <c r="L177" s="57"/>
      <c r="O177" s="15"/>
      <c r="P177" s="15"/>
      <c r="Q177" s="15"/>
      <c r="R177" s="15"/>
      <c r="S177" s="15"/>
      <c r="T177" s="22"/>
    </row>
    <row r="178" spans="1:20" x14ac:dyDescent="0.25">
      <c r="A178" s="15">
        <v>22</v>
      </c>
      <c r="B178" s="14" t="s">
        <v>6</v>
      </c>
      <c r="C178" s="42">
        <v>0.41666666666666669</v>
      </c>
      <c r="D178" s="42">
        <v>0.45833333333333331</v>
      </c>
      <c r="E178" s="14">
        <v>1</v>
      </c>
      <c r="F178" s="15"/>
      <c r="G178" s="24" t="s">
        <v>125</v>
      </c>
      <c r="H178" s="63"/>
      <c r="I178" s="57"/>
      <c r="J178" s="57"/>
      <c r="K178" s="57"/>
      <c r="L178" s="57"/>
      <c r="O178" s="13" t="s">
        <v>138</v>
      </c>
      <c r="P178" s="13" t="s">
        <v>11</v>
      </c>
      <c r="Q178" s="13" t="s">
        <v>12</v>
      </c>
      <c r="R178" s="13" t="s">
        <v>13</v>
      </c>
      <c r="S178" s="13" t="s">
        <v>14</v>
      </c>
      <c r="T178" s="20" t="s">
        <v>0</v>
      </c>
    </row>
    <row r="179" spans="1:20" x14ac:dyDescent="0.25">
      <c r="A179" s="15">
        <v>23</v>
      </c>
      <c r="B179" s="14" t="s">
        <v>7</v>
      </c>
      <c r="C179" s="42">
        <v>0.29166666666666669</v>
      </c>
      <c r="D179" s="42">
        <v>0.45833333333333331</v>
      </c>
      <c r="E179" s="14">
        <v>4</v>
      </c>
      <c r="F179" s="24"/>
      <c r="G179" s="14" t="s">
        <v>142</v>
      </c>
      <c r="H179" s="63"/>
      <c r="I179" s="57"/>
      <c r="J179" s="57"/>
      <c r="K179" s="57"/>
      <c r="L179" s="57"/>
      <c r="O179" s="14" t="s">
        <v>2</v>
      </c>
      <c r="P179" s="33"/>
      <c r="Q179" s="25"/>
      <c r="R179" s="14"/>
      <c r="S179" s="24"/>
      <c r="T179" s="21"/>
    </row>
    <row r="180" spans="1:20" x14ac:dyDescent="0.25">
      <c r="A180" s="15">
        <v>24</v>
      </c>
      <c r="B180" s="14" t="s">
        <v>8</v>
      </c>
      <c r="C180" s="25"/>
      <c r="D180" s="25"/>
      <c r="E180" s="14"/>
      <c r="F180" s="24"/>
      <c r="G180" s="14"/>
      <c r="H180" s="63"/>
      <c r="I180" s="57"/>
      <c r="J180" s="57"/>
      <c r="K180" s="57"/>
      <c r="L180" s="57"/>
      <c r="O180" s="14" t="s">
        <v>3</v>
      </c>
      <c r="P180" s="15"/>
      <c r="Q180" s="15"/>
      <c r="R180" s="15"/>
      <c r="S180" s="15"/>
      <c r="T180" s="22"/>
    </row>
    <row r="181" spans="1:20" x14ac:dyDescent="0.25">
      <c r="A181" s="15"/>
      <c r="B181" s="13" t="s">
        <v>26</v>
      </c>
      <c r="C181" s="32"/>
      <c r="D181" s="32"/>
      <c r="E181" s="32">
        <v>7</v>
      </c>
      <c r="F181" s="15"/>
      <c r="G181" s="144"/>
      <c r="H181" s="22"/>
      <c r="I181" s="57"/>
      <c r="J181" s="57"/>
      <c r="K181" s="57"/>
      <c r="L181" s="57"/>
      <c r="O181" s="14" t="s">
        <v>4</v>
      </c>
      <c r="P181" s="26"/>
      <c r="Q181" s="26"/>
      <c r="R181" s="15"/>
      <c r="S181" s="15"/>
      <c r="T181" s="21"/>
    </row>
    <row r="182" spans="1:20" x14ac:dyDescent="0.25">
      <c r="A182" s="144"/>
      <c r="B182" s="35" t="s">
        <v>227</v>
      </c>
      <c r="C182" s="60"/>
      <c r="D182" s="61"/>
      <c r="E182" s="35"/>
      <c r="F182" s="115"/>
      <c r="G182" s="144"/>
      <c r="H182" s="151"/>
      <c r="I182" s="57"/>
      <c r="J182" s="57"/>
      <c r="K182" s="57"/>
      <c r="L182" s="57"/>
      <c r="O182" s="14" t="s">
        <v>5</v>
      </c>
      <c r="P182" s="25"/>
      <c r="Q182" s="25"/>
      <c r="R182" s="14"/>
      <c r="S182" s="24"/>
      <c r="T182" s="21"/>
    </row>
    <row r="183" spans="1:20" x14ac:dyDescent="0.25">
      <c r="A183" s="15"/>
      <c r="B183" s="15"/>
      <c r="C183" s="15"/>
      <c r="D183" s="15"/>
      <c r="E183" s="15"/>
      <c r="F183" s="15"/>
      <c r="G183" s="15"/>
      <c r="H183" s="15"/>
      <c r="I183" s="57"/>
      <c r="J183" s="57"/>
      <c r="K183" s="57"/>
      <c r="L183" s="57"/>
      <c r="O183" s="14" t="s">
        <v>6</v>
      </c>
      <c r="P183" s="42"/>
      <c r="Q183" s="42"/>
      <c r="R183" s="14"/>
      <c r="S183" s="15"/>
      <c r="T183" s="23"/>
    </row>
    <row r="184" spans="1:20" ht="30" x14ac:dyDescent="0.25">
      <c r="A184" s="15"/>
      <c r="B184" s="13" t="s">
        <v>143</v>
      </c>
      <c r="C184" s="13" t="s">
        <v>11</v>
      </c>
      <c r="D184" s="13" t="s">
        <v>12</v>
      </c>
      <c r="E184" s="13" t="s">
        <v>13</v>
      </c>
      <c r="F184" s="13" t="s">
        <v>14</v>
      </c>
      <c r="G184" s="20" t="s">
        <v>0</v>
      </c>
      <c r="H184" s="15"/>
      <c r="I184" s="57"/>
      <c r="J184" s="57"/>
      <c r="K184" s="57"/>
      <c r="L184" s="57"/>
      <c r="O184" s="14" t="s">
        <v>7</v>
      </c>
      <c r="P184" s="42"/>
      <c r="Q184" s="42"/>
      <c r="R184" s="14"/>
      <c r="S184" s="24"/>
      <c r="T184" s="21"/>
    </row>
    <row r="185" spans="1:20" x14ac:dyDescent="0.25">
      <c r="A185" s="32">
        <v>25</v>
      </c>
      <c r="B185" s="21" t="s">
        <v>2</v>
      </c>
      <c r="C185" s="49"/>
      <c r="D185" s="49"/>
      <c r="E185" s="138"/>
      <c r="F185" s="23"/>
      <c r="G185" s="21"/>
      <c r="H185" s="606" t="s">
        <v>144</v>
      </c>
      <c r="I185" s="57"/>
      <c r="J185" s="57"/>
      <c r="K185" s="57"/>
      <c r="L185" s="57"/>
      <c r="O185" s="14" t="s">
        <v>8</v>
      </c>
      <c r="P185" s="25"/>
      <c r="Q185" s="25"/>
      <c r="R185" s="14"/>
      <c r="S185" s="24"/>
      <c r="T185" s="21"/>
    </row>
    <row r="186" spans="1:20" x14ac:dyDescent="0.25">
      <c r="A186" s="53">
        <v>26</v>
      </c>
      <c r="B186" s="21" t="s">
        <v>3</v>
      </c>
      <c r="C186" s="48"/>
      <c r="D186" s="49"/>
      <c r="E186" s="138"/>
      <c r="F186" s="23"/>
      <c r="G186" s="21"/>
      <c r="H186" s="606"/>
      <c r="I186" s="57"/>
      <c r="J186" s="57"/>
      <c r="K186" s="57"/>
      <c r="L186" s="57"/>
      <c r="O186" s="13" t="s">
        <v>26</v>
      </c>
      <c r="P186" s="32"/>
      <c r="Q186" s="32"/>
      <c r="R186" s="32"/>
      <c r="S186" s="15"/>
      <c r="T186" s="22"/>
    </row>
    <row r="187" spans="1:20" x14ac:dyDescent="0.25">
      <c r="A187" s="32">
        <v>27</v>
      </c>
      <c r="B187" s="21" t="s">
        <v>4</v>
      </c>
      <c r="C187" s="51"/>
      <c r="D187" s="51"/>
      <c r="E187" s="138"/>
      <c r="F187" s="23"/>
      <c r="G187" s="22"/>
      <c r="H187" s="606"/>
      <c r="I187" s="57"/>
      <c r="J187" s="57"/>
      <c r="K187" s="57"/>
      <c r="L187" s="57"/>
      <c r="O187" s="15"/>
      <c r="P187" s="15"/>
      <c r="Q187" s="15"/>
      <c r="R187" s="15"/>
      <c r="S187" s="15"/>
      <c r="T187" s="22"/>
    </row>
    <row r="188" spans="1:20" x14ac:dyDescent="0.25">
      <c r="A188" s="53">
        <v>28</v>
      </c>
      <c r="B188" s="21" t="s">
        <v>5</v>
      </c>
      <c r="C188" s="51"/>
      <c r="D188" s="51"/>
      <c r="E188" s="22"/>
      <c r="F188" s="22"/>
      <c r="G188" s="22"/>
      <c r="H188" s="606"/>
      <c r="I188" s="57"/>
      <c r="J188" s="57"/>
      <c r="K188" s="57"/>
      <c r="L188" s="57"/>
      <c r="O188" s="13" t="s">
        <v>140</v>
      </c>
      <c r="P188" s="13" t="s">
        <v>11</v>
      </c>
      <c r="Q188" s="13" t="s">
        <v>12</v>
      </c>
      <c r="R188" s="13" t="s">
        <v>13</v>
      </c>
      <c r="S188" s="13" t="s">
        <v>14</v>
      </c>
      <c r="T188" s="20" t="s">
        <v>0</v>
      </c>
    </row>
    <row r="189" spans="1:20" x14ac:dyDescent="0.25">
      <c r="A189" s="32">
        <v>29</v>
      </c>
      <c r="B189" s="21" t="s">
        <v>6</v>
      </c>
      <c r="C189" s="51"/>
      <c r="D189" s="51"/>
      <c r="E189" s="138"/>
      <c r="F189" s="23"/>
      <c r="G189" s="21"/>
      <c r="H189" s="606"/>
      <c r="I189" s="57"/>
      <c r="J189" s="57"/>
      <c r="K189" s="57"/>
      <c r="L189" s="57"/>
      <c r="O189" s="14" t="s">
        <v>2</v>
      </c>
      <c r="P189" s="33"/>
      <c r="Q189" s="25"/>
      <c r="R189" s="14"/>
      <c r="S189" s="24"/>
      <c r="T189" s="21"/>
    </row>
    <row r="190" spans="1:20" x14ac:dyDescent="0.25">
      <c r="A190" s="53">
        <v>30</v>
      </c>
      <c r="B190" s="21" t="s">
        <v>7</v>
      </c>
      <c r="C190" s="51"/>
      <c r="D190" s="51"/>
      <c r="E190" s="138"/>
      <c r="F190" s="23"/>
      <c r="G190" s="21"/>
      <c r="H190" s="606"/>
      <c r="I190" s="57"/>
      <c r="J190" s="57"/>
      <c r="K190" s="57"/>
      <c r="L190" s="57"/>
      <c r="O190" s="14" t="s">
        <v>3</v>
      </c>
      <c r="P190" s="26"/>
      <c r="Q190" s="26"/>
      <c r="R190" s="15"/>
      <c r="S190" s="15"/>
      <c r="T190" s="22"/>
    </row>
    <row r="191" spans="1:20" x14ac:dyDescent="0.25">
      <c r="A191" s="32">
        <v>1</v>
      </c>
      <c r="B191" s="3" t="s">
        <v>8</v>
      </c>
      <c r="C191" s="4">
        <v>0.41666666666666669</v>
      </c>
      <c r="D191" s="4">
        <v>0.45833333333333331</v>
      </c>
      <c r="E191" s="3">
        <v>2</v>
      </c>
      <c r="F191" s="5"/>
      <c r="G191" s="3" t="s">
        <v>125</v>
      </c>
      <c r="H191" s="606"/>
      <c r="I191" s="57"/>
      <c r="J191" s="57"/>
      <c r="K191" s="57"/>
      <c r="L191" s="57"/>
      <c r="O191" s="14" t="s">
        <v>4</v>
      </c>
      <c r="P191" s="26"/>
      <c r="Q191" s="26"/>
      <c r="R191" s="15"/>
      <c r="S191" s="15"/>
      <c r="T191" s="21"/>
    </row>
    <row r="192" spans="1:20" x14ac:dyDescent="0.25">
      <c r="A192" s="15"/>
      <c r="B192" s="13" t="s">
        <v>26</v>
      </c>
      <c r="C192" s="32"/>
      <c r="D192" s="32"/>
      <c r="E192" s="32">
        <f>SUM(E185:E191)</f>
        <v>2</v>
      </c>
      <c r="F192" s="15"/>
      <c r="G192" s="144"/>
      <c r="H192" s="22"/>
      <c r="I192" s="57"/>
      <c r="J192" s="57"/>
      <c r="K192" s="57"/>
      <c r="L192" s="57"/>
      <c r="O192" s="14" t="s">
        <v>5</v>
      </c>
      <c r="P192" s="25"/>
      <c r="Q192" s="25"/>
      <c r="R192" s="14"/>
      <c r="S192" s="24"/>
      <c r="T192" s="21"/>
    </row>
    <row r="193" spans="1:23" x14ac:dyDescent="0.25">
      <c r="A193" s="15"/>
      <c r="B193" s="13"/>
      <c r="C193" s="32"/>
      <c r="D193" s="32"/>
      <c r="E193" s="32"/>
      <c r="F193" s="15"/>
      <c r="G193" s="144"/>
      <c r="H193" s="22"/>
      <c r="I193" s="57"/>
      <c r="J193" s="57"/>
      <c r="K193" s="57"/>
      <c r="L193" s="57"/>
      <c r="O193" s="14" t="s">
        <v>6</v>
      </c>
      <c r="P193" s="42"/>
      <c r="Q193" s="42"/>
      <c r="R193" s="14"/>
      <c r="S193" s="15"/>
      <c r="T193" s="23"/>
    </row>
    <row r="194" spans="1:23" ht="45" x14ac:dyDescent="0.25">
      <c r="A194" s="63"/>
      <c r="B194" s="20" t="s">
        <v>157</v>
      </c>
      <c r="C194" s="20" t="s">
        <v>11</v>
      </c>
      <c r="D194" s="20" t="s">
        <v>12</v>
      </c>
      <c r="E194" s="20" t="s">
        <v>13</v>
      </c>
      <c r="F194" s="20" t="s">
        <v>14</v>
      </c>
      <c r="G194" s="20" t="s">
        <v>0</v>
      </c>
      <c r="H194" s="22"/>
      <c r="I194" s="57" t="s">
        <v>187</v>
      </c>
      <c r="J194" s="57" t="s">
        <v>186</v>
      </c>
      <c r="K194" s="57"/>
      <c r="L194" s="57"/>
      <c r="O194" s="14" t="s">
        <v>7</v>
      </c>
      <c r="P194" s="42"/>
      <c r="Q194" s="42"/>
      <c r="R194" s="14"/>
      <c r="S194" s="24"/>
      <c r="T194" s="21"/>
    </row>
    <row r="195" spans="1:23" x14ac:dyDescent="0.25">
      <c r="A195" s="32">
        <v>2</v>
      </c>
      <c r="B195" s="3" t="s">
        <v>2</v>
      </c>
      <c r="C195" s="6">
        <v>0.45833333333333331</v>
      </c>
      <c r="D195" s="4">
        <v>0.47916666666666669</v>
      </c>
      <c r="E195" s="3">
        <v>0.5</v>
      </c>
      <c r="F195" s="5"/>
      <c r="G195" s="3" t="s">
        <v>277</v>
      </c>
      <c r="H195" s="22"/>
      <c r="I195" s="57"/>
      <c r="J195" s="57"/>
      <c r="K195" s="57"/>
      <c r="L195" s="57"/>
      <c r="O195" s="14" t="s">
        <v>8</v>
      </c>
      <c r="P195" s="25"/>
      <c r="Q195" s="25"/>
      <c r="R195" s="14"/>
      <c r="S195" s="24"/>
      <c r="T195" s="21"/>
    </row>
    <row r="196" spans="1:23" x14ac:dyDescent="0.25">
      <c r="A196" s="32">
        <v>3</v>
      </c>
      <c r="B196" s="3" t="s">
        <v>3</v>
      </c>
      <c r="C196" s="7">
        <v>0.45833333333333331</v>
      </c>
      <c r="D196" s="7">
        <v>0.52083333333333337</v>
      </c>
      <c r="E196">
        <v>1.5</v>
      </c>
      <c r="G196" t="s">
        <v>278</v>
      </c>
      <c r="H196" s="22"/>
      <c r="I196" s="57"/>
      <c r="J196" s="57"/>
      <c r="K196" s="57"/>
      <c r="L196" s="57"/>
      <c r="O196" s="13" t="s">
        <v>26</v>
      </c>
      <c r="P196" s="32"/>
      <c r="Q196" s="32"/>
      <c r="R196" s="32">
        <v>7</v>
      </c>
      <c r="S196" s="15"/>
      <c r="T196" s="22"/>
    </row>
    <row r="197" spans="1:23" x14ac:dyDescent="0.25">
      <c r="A197" s="32">
        <v>4</v>
      </c>
      <c r="B197" s="3" t="s">
        <v>4</v>
      </c>
      <c r="C197" s="7">
        <v>0.4375</v>
      </c>
      <c r="D197" s="7">
        <v>0.47916666666666669</v>
      </c>
      <c r="E197">
        <v>1</v>
      </c>
      <c r="G197" s="3" t="s">
        <v>279</v>
      </c>
      <c r="H197" s="15"/>
      <c r="I197" s="57"/>
      <c r="J197" s="57"/>
      <c r="K197" s="57"/>
      <c r="L197" s="57"/>
      <c r="O197" s="15"/>
      <c r="P197" s="15"/>
      <c r="Q197" s="15"/>
      <c r="R197" s="15"/>
      <c r="S197" s="15"/>
      <c r="T197" s="22"/>
    </row>
    <row r="198" spans="1:23" x14ac:dyDescent="0.25">
      <c r="A198" s="15"/>
      <c r="B198" s="3"/>
      <c r="C198" s="7">
        <v>0.29166666666666669</v>
      </c>
      <c r="D198" s="7">
        <v>0.41666666666666669</v>
      </c>
      <c r="E198">
        <v>3</v>
      </c>
      <c r="G198" s="3" t="s">
        <v>280</v>
      </c>
      <c r="H198" s="22"/>
      <c r="I198" s="57"/>
      <c r="J198" s="57"/>
      <c r="K198" s="57"/>
      <c r="L198" s="57"/>
      <c r="O198" s="13" t="s">
        <v>143</v>
      </c>
      <c r="P198" s="13" t="s">
        <v>11</v>
      </c>
      <c r="Q198" s="13" t="s">
        <v>12</v>
      </c>
      <c r="R198" s="13" t="s">
        <v>13</v>
      </c>
      <c r="S198" s="13" t="s">
        <v>14</v>
      </c>
      <c r="T198" s="20" t="s">
        <v>0</v>
      </c>
    </row>
    <row r="199" spans="1:23" x14ac:dyDescent="0.25">
      <c r="A199" s="32">
        <v>5</v>
      </c>
      <c r="B199" s="3" t="s">
        <v>5</v>
      </c>
      <c r="C199" s="4">
        <v>0.41666666666666669</v>
      </c>
      <c r="D199" s="4">
        <v>0.45833333333333331</v>
      </c>
      <c r="E199" s="3">
        <v>1</v>
      </c>
      <c r="F199" s="5"/>
      <c r="G199" s="3" t="s">
        <v>281</v>
      </c>
      <c r="H199" s="15"/>
      <c r="I199" s="57"/>
      <c r="J199" s="57"/>
      <c r="K199" s="57"/>
      <c r="L199" s="57"/>
      <c r="O199" s="14" t="s">
        <v>2</v>
      </c>
      <c r="P199" s="33"/>
      <c r="Q199" s="25"/>
      <c r="R199" s="14"/>
      <c r="S199" s="24"/>
      <c r="T199" s="21"/>
    </row>
    <row r="200" spans="1:23" x14ac:dyDescent="0.25">
      <c r="A200" s="32">
        <v>6</v>
      </c>
      <c r="B200" s="3" t="s">
        <v>6</v>
      </c>
      <c r="C200" s="8">
        <v>0.45833333333333331</v>
      </c>
      <c r="D200" s="8">
        <v>0.5</v>
      </c>
      <c r="E200" s="3">
        <v>1</v>
      </c>
      <c r="G200" s="5" t="s">
        <v>282</v>
      </c>
      <c r="H200" s="22"/>
      <c r="I200" s="57"/>
      <c r="J200" s="57"/>
      <c r="K200" s="57"/>
      <c r="L200" s="57"/>
      <c r="O200" s="14" t="s">
        <v>3</v>
      </c>
      <c r="P200" s="26"/>
      <c r="Q200" s="26"/>
      <c r="R200" s="15"/>
      <c r="S200" s="15"/>
      <c r="T200" s="22"/>
    </row>
    <row r="201" spans="1:23" x14ac:dyDescent="0.25">
      <c r="A201" s="32">
        <v>7</v>
      </c>
      <c r="B201" s="3" t="s">
        <v>7</v>
      </c>
      <c r="C201" s="8">
        <v>0.41666666666666669</v>
      </c>
      <c r="D201" s="8">
        <v>0.54166666666666663</v>
      </c>
      <c r="E201" s="3">
        <v>3</v>
      </c>
      <c r="F201" s="5"/>
      <c r="G201" s="3" t="s">
        <v>283</v>
      </c>
      <c r="H201" s="22"/>
      <c r="I201" s="57"/>
      <c r="J201" s="57"/>
      <c r="K201" s="57"/>
      <c r="L201" s="57"/>
      <c r="O201" s="14" t="s">
        <v>4</v>
      </c>
      <c r="P201" s="26"/>
      <c r="Q201" s="26"/>
      <c r="R201" s="15"/>
      <c r="S201" s="15"/>
      <c r="T201" s="21"/>
    </row>
    <row r="202" spans="1:23" x14ac:dyDescent="0.25">
      <c r="A202" s="32">
        <v>8</v>
      </c>
      <c r="B202" s="3" t="s">
        <v>8</v>
      </c>
      <c r="C202" s="4"/>
      <c r="D202" s="4"/>
      <c r="E202" s="3"/>
      <c r="F202" s="5"/>
      <c r="G202" s="3"/>
      <c r="H202" s="22"/>
      <c r="I202" s="57"/>
      <c r="J202" s="57"/>
      <c r="K202" s="57"/>
      <c r="L202" s="57"/>
      <c r="O202" s="14" t="s">
        <v>5</v>
      </c>
      <c r="P202" s="25"/>
      <c r="Q202" s="25"/>
      <c r="R202" s="14"/>
      <c r="S202" s="24"/>
      <c r="T202" s="21"/>
    </row>
    <row r="203" spans="1:23" x14ac:dyDescent="0.25">
      <c r="A203" s="15"/>
      <c r="B203" s="2" t="s">
        <v>26</v>
      </c>
      <c r="C203" s="1"/>
      <c r="D203" s="1"/>
      <c r="E203" s="1">
        <f>SUM(E195:E202)</f>
        <v>11</v>
      </c>
      <c r="G203" s="144"/>
      <c r="H203" s="15"/>
      <c r="I203" s="57"/>
      <c r="J203" s="57"/>
      <c r="K203" s="57"/>
      <c r="L203" s="57"/>
      <c r="O203" s="14" t="s">
        <v>6</v>
      </c>
      <c r="P203" s="42"/>
      <c r="Q203" s="42"/>
      <c r="R203" s="14"/>
      <c r="S203" s="15"/>
      <c r="T203" s="23"/>
    </row>
    <row r="204" spans="1:23" x14ac:dyDescent="0.25">
      <c r="A204" s="144"/>
      <c r="B204" s="35" t="s">
        <v>227</v>
      </c>
      <c r="C204" s="60"/>
      <c r="D204" s="61"/>
      <c r="E204" s="35"/>
      <c r="F204" s="115"/>
      <c r="G204" s="144"/>
      <c r="H204" s="151"/>
      <c r="I204" s="57"/>
      <c r="J204" s="57"/>
      <c r="K204" s="57"/>
      <c r="L204" s="57"/>
      <c r="O204" s="14" t="s">
        <v>7</v>
      </c>
      <c r="P204" s="42"/>
      <c r="Q204" s="42"/>
      <c r="R204" s="14"/>
      <c r="S204" s="24"/>
      <c r="T204" s="21"/>
    </row>
    <row r="205" spans="1:23" x14ac:dyDescent="0.25">
      <c r="A205" s="2"/>
      <c r="B205" s="20"/>
      <c r="C205" s="146"/>
      <c r="D205" s="147"/>
      <c r="E205" s="20"/>
      <c r="F205" s="20"/>
      <c r="G205" s="53"/>
      <c r="H205" s="158"/>
      <c r="I205" s="57"/>
      <c r="J205" s="57"/>
      <c r="K205" s="57"/>
      <c r="L205" s="57"/>
      <c r="O205" s="14" t="s">
        <v>8</v>
      </c>
      <c r="P205" s="25"/>
      <c r="Q205" s="25"/>
      <c r="R205" s="14"/>
      <c r="S205" s="24"/>
      <c r="T205" s="21"/>
    </row>
    <row r="206" spans="1:23" x14ac:dyDescent="0.25">
      <c r="A206" s="15"/>
      <c r="B206" s="15"/>
      <c r="C206" s="15"/>
      <c r="D206" s="15"/>
      <c r="E206" s="15"/>
      <c r="F206" s="15"/>
      <c r="G206" s="15"/>
      <c r="H206" s="15"/>
      <c r="I206" s="57"/>
      <c r="J206" s="57"/>
      <c r="K206" s="57"/>
      <c r="L206" s="57"/>
      <c r="O206" s="13" t="s">
        <v>26</v>
      </c>
      <c r="P206" s="32"/>
      <c r="Q206" s="32"/>
      <c r="R206" s="32">
        <v>0</v>
      </c>
      <c r="S206" s="15"/>
      <c r="T206" s="22"/>
    </row>
    <row r="207" spans="1:23" x14ac:dyDescent="0.25">
      <c r="A207" s="22"/>
      <c r="B207" s="15"/>
      <c r="C207" s="15"/>
      <c r="D207" s="15"/>
      <c r="E207" s="15"/>
      <c r="F207" s="15"/>
      <c r="G207" s="15"/>
      <c r="H207" s="15"/>
      <c r="I207" s="57"/>
      <c r="J207" s="57"/>
      <c r="K207" s="57"/>
      <c r="L207" s="57"/>
      <c r="O207" s="15"/>
      <c r="P207" s="15"/>
      <c r="Q207" s="15"/>
      <c r="R207" s="15"/>
      <c r="S207" s="15"/>
      <c r="T207" s="22"/>
    </row>
    <row r="208" spans="1:23" x14ac:dyDescent="0.25">
      <c r="A208" s="530" t="s">
        <v>301</v>
      </c>
      <c r="B208" s="530"/>
      <c r="C208" s="530"/>
      <c r="D208" s="530"/>
      <c r="E208" s="530"/>
      <c r="F208" s="530"/>
      <c r="G208" s="530"/>
      <c r="H208" s="530"/>
      <c r="I208" s="530"/>
      <c r="J208" s="530"/>
      <c r="K208" s="530"/>
      <c r="L208" s="530"/>
      <c r="M208" s="530"/>
      <c r="N208" s="530"/>
      <c r="O208" s="530"/>
      <c r="P208" s="530"/>
      <c r="Q208" s="530"/>
      <c r="R208" s="530"/>
      <c r="S208" s="530"/>
      <c r="T208" s="530"/>
      <c r="U208" s="163"/>
      <c r="V208" s="117"/>
      <c r="W208" s="22"/>
    </row>
    <row r="209" spans="1:23" x14ac:dyDescent="0.25">
      <c r="A209" s="530"/>
      <c r="B209" s="530"/>
      <c r="C209" s="530"/>
      <c r="D209" s="530"/>
      <c r="E209" s="530"/>
      <c r="F209" s="530"/>
      <c r="G209" s="530"/>
      <c r="H209" s="530"/>
      <c r="I209" s="530"/>
      <c r="J209" s="530"/>
      <c r="K209" s="530"/>
      <c r="L209" s="530"/>
      <c r="M209" s="530"/>
      <c r="N209" s="530"/>
      <c r="O209" s="530"/>
      <c r="P209" s="530"/>
      <c r="Q209" s="530"/>
      <c r="R209" s="530"/>
      <c r="S209" s="530"/>
      <c r="T209" s="530"/>
      <c r="U209" s="163"/>
      <c r="V209" s="117"/>
      <c r="W209" s="22"/>
    </row>
    <row r="210" spans="1:23" ht="45" x14ac:dyDescent="0.25">
      <c r="A210" s="137" t="s">
        <v>252</v>
      </c>
      <c r="B210" s="13" t="s">
        <v>158</v>
      </c>
      <c r="C210" s="13" t="s">
        <v>11</v>
      </c>
      <c r="D210" s="13" t="s">
        <v>12</v>
      </c>
      <c r="E210" s="13" t="s">
        <v>13</v>
      </c>
      <c r="F210" s="13" t="s">
        <v>14</v>
      </c>
      <c r="G210" s="20" t="s">
        <v>0</v>
      </c>
      <c r="H210" s="15"/>
      <c r="I210" s="57" t="s">
        <v>187</v>
      </c>
      <c r="J210" s="57" t="s">
        <v>186</v>
      </c>
      <c r="K210" s="57"/>
      <c r="L210" s="57"/>
      <c r="M210" s="57"/>
      <c r="N210" s="22"/>
      <c r="O210" s="2" t="s">
        <v>285</v>
      </c>
      <c r="P210" s="2" t="s">
        <v>11</v>
      </c>
      <c r="Q210" s="2" t="s">
        <v>12</v>
      </c>
      <c r="R210" s="2" t="s">
        <v>13</v>
      </c>
      <c r="S210" s="2" t="s">
        <v>14</v>
      </c>
      <c r="T210" s="2" t="s">
        <v>0</v>
      </c>
      <c r="U210" s="163"/>
      <c r="V210" s="117"/>
      <c r="W210" s="22"/>
    </row>
    <row r="211" spans="1:23" ht="30" x14ac:dyDescent="0.25">
      <c r="A211" s="32">
        <v>9</v>
      </c>
      <c r="B211" s="21" t="s">
        <v>2</v>
      </c>
      <c r="C211" s="6"/>
      <c r="D211" s="4"/>
      <c r="E211" s="3"/>
      <c r="F211" s="5"/>
      <c r="G211" s="3"/>
      <c r="H211" s="15"/>
      <c r="I211" s="57" t="s">
        <v>182</v>
      </c>
      <c r="J211" s="57" t="s">
        <v>181</v>
      </c>
      <c r="K211" s="57"/>
      <c r="L211" s="57"/>
      <c r="M211" s="57"/>
      <c r="N211" s="22"/>
      <c r="O211" s="3" t="s">
        <v>2</v>
      </c>
      <c r="P211" s="6">
        <v>0.4375</v>
      </c>
      <c r="Q211" s="4">
        <v>0.52083333333333337</v>
      </c>
      <c r="R211" s="3">
        <v>2</v>
      </c>
      <c r="S211" s="5"/>
      <c r="T211" s="3" t="s">
        <v>286</v>
      </c>
      <c r="U211" s="163"/>
      <c r="V211" s="117"/>
      <c r="W211" s="22"/>
    </row>
    <row r="212" spans="1:23" ht="60" x14ac:dyDescent="0.25">
      <c r="A212" s="32">
        <v>10</v>
      </c>
      <c r="B212" s="21" t="s">
        <v>3</v>
      </c>
      <c r="C212" s="7"/>
      <c r="D212" s="7"/>
      <c r="H212" s="15"/>
      <c r="I212" s="22" t="s">
        <v>180</v>
      </c>
      <c r="J212" s="22" t="s">
        <v>179</v>
      </c>
      <c r="K212" s="57"/>
      <c r="L212" s="57"/>
      <c r="M212" s="57"/>
      <c r="N212" s="22"/>
      <c r="O212" s="3" t="s">
        <v>3</v>
      </c>
      <c r="P212" s="7">
        <v>0.20833333333333334</v>
      </c>
      <c r="Q212" s="7">
        <v>0.25</v>
      </c>
      <c r="R212">
        <v>1</v>
      </c>
      <c r="T212" t="s">
        <v>120</v>
      </c>
      <c r="U212" s="163"/>
      <c r="V212" s="154"/>
      <c r="W212" s="22"/>
    </row>
    <row r="213" spans="1:23" ht="75" x14ac:dyDescent="0.25">
      <c r="A213" s="53">
        <v>11</v>
      </c>
      <c r="B213" s="21" t="s">
        <v>4</v>
      </c>
      <c r="C213" s="7"/>
      <c r="D213" s="7"/>
      <c r="G213" s="3"/>
      <c r="H213" s="15"/>
      <c r="I213" s="57" t="s">
        <v>309</v>
      </c>
      <c r="J213" s="57" t="s">
        <v>310</v>
      </c>
      <c r="K213" s="57"/>
      <c r="L213" s="57"/>
      <c r="M213" s="57"/>
      <c r="N213" s="22"/>
      <c r="O213" s="3" t="s">
        <v>4</v>
      </c>
      <c r="P213" s="7">
        <v>0.41666666666666669</v>
      </c>
      <c r="Q213" s="7">
        <v>0.45833333333333331</v>
      </c>
      <c r="R213">
        <v>1</v>
      </c>
      <c r="T213" s="3" t="s">
        <v>287</v>
      </c>
      <c r="U213" s="163"/>
      <c r="V213" s="117"/>
      <c r="W213" s="22"/>
    </row>
    <row r="214" spans="1:23" x14ac:dyDescent="0.25">
      <c r="A214" s="53">
        <v>12</v>
      </c>
      <c r="B214" s="21" t="s">
        <v>5</v>
      </c>
      <c r="C214" s="7"/>
      <c r="D214" s="7"/>
      <c r="G214" s="3"/>
      <c r="H214" s="15"/>
      <c r="I214" s="57"/>
      <c r="J214" s="57"/>
      <c r="K214" s="57"/>
      <c r="L214" s="57"/>
      <c r="M214" s="57"/>
      <c r="N214" s="22"/>
      <c r="O214" s="3" t="s">
        <v>5</v>
      </c>
      <c r="P214" s="7">
        <v>0.47916666666666669</v>
      </c>
      <c r="Q214" s="7">
        <v>0.54166666666666663</v>
      </c>
      <c r="R214">
        <v>1.5</v>
      </c>
      <c r="T214" s="3" t="s">
        <v>288</v>
      </c>
      <c r="U214" s="163"/>
      <c r="V214" s="117"/>
      <c r="W214" s="22"/>
    </row>
    <row r="215" spans="1:23" x14ac:dyDescent="0.25">
      <c r="A215" s="53"/>
      <c r="B215" s="21"/>
      <c r="C215" s="4"/>
      <c r="D215" s="4"/>
      <c r="E215" s="3"/>
      <c r="F215" s="5"/>
      <c r="G215" s="3"/>
      <c r="H215" s="15"/>
      <c r="I215" s="57"/>
      <c r="J215" s="57"/>
      <c r="K215" s="57"/>
      <c r="L215" s="57"/>
      <c r="M215" s="57"/>
      <c r="N215" s="22"/>
      <c r="P215" s="4">
        <v>0.54166666666666663</v>
      </c>
      <c r="Q215" s="4">
        <v>0.625</v>
      </c>
      <c r="R215" s="3">
        <v>2</v>
      </c>
      <c r="S215" s="5"/>
      <c r="T215" s="3" t="s">
        <v>289</v>
      </c>
      <c r="U215" s="163"/>
      <c r="V215" s="154"/>
      <c r="W215" s="22"/>
    </row>
    <row r="216" spans="1:23" x14ac:dyDescent="0.25">
      <c r="A216" s="53">
        <v>13</v>
      </c>
      <c r="B216" s="21" t="s">
        <v>6</v>
      </c>
      <c r="C216" s="8"/>
      <c r="D216" s="8"/>
      <c r="E216" s="3"/>
      <c r="G216" s="5"/>
      <c r="H216" s="15"/>
      <c r="I216" s="57"/>
      <c r="J216" s="57"/>
      <c r="K216" s="57"/>
      <c r="L216" s="57"/>
      <c r="M216" s="57"/>
      <c r="N216" s="22"/>
      <c r="O216" s="3" t="s">
        <v>6</v>
      </c>
      <c r="P216" s="8">
        <v>0.41666666666666669</v>
      </c>
      <c r="Q216" s="8">
        <v>0.5</v>
      </c>
      <c r="R216" s="3">
        <v>2.5</v>
      </c>
      <c r="T216" s="5" t="s">
        <v>290</v>
      </c>
      <c r="U216" s="119"/>
      <c r="V216" s="117"/>
      <c r="W216" s="22"/>
    </row>
    <row r="217" spans="1:23" x14ac:dyDescent="0.25">
      <c r="A217" s="53">
        <v>14</v>
      </c>
      <c r="B217" s="21" t="s">
        <v>7</v>
      </c>
      <c r="C217" s="8"/>
      <c r="D217" s="8"/>
      <c r="E217" s="3"/>
      <c r="F217" s="5"/>
      <c r="G217" s="3"/>
      <c r="H217" s="15"/>
      <c r="I217" s="57"/>
      <c r="J217" s="57"/>
      <c r="K217" s="57"/>
      <c r="L217" s="57"/>
      <c r="M217" s="57"/>
      <c r="N217" s="22"/>
      <c r="O217" s="3" t="s">
        <v>7</v>
      </c>
      <c r="P217" s="8"/>
      <c r="Q217" s="8"/>
      <c r="R217" s="3"/>
      <c r="S217" s="5"/>
      <c r="T217" s="3"/>
      <c r="U217" s="119"/>
      <c r="V217" s="117"/>
      <c r="W217" s="22"/>
    </row>
    <row r="218" spans="1:23" x14ac:dyDescent="0.25">
      <c r="A218" s="53">
        <v>15</v>
      </c>
      <c r="B218" s="21" t="s">
        <v>8</v>
      </c>
      <c r="C218" s="4"/>
      <c r="D218" s="4"/>
      <c r="E218" s="3"/>
      <c r="F218" s="5"/>
      <c r="G218" s="3"/>
      <c r="H218" s="15"/>
      <c r="I218" s="57"/>
      <c r="J218" s="57"/>
      <c r="K218" s="57"/>
      <c r="L218" s="57"/>
      <c r="M218" s="57"/>
      <c r="N218" s="22"/>
      <c r="O218" s="3" t="s">
        <v>8</v>
      </c>
      <c r="P218" s="4">
        <v>0.41666666666666669</v>
      </c>
      <c r="Q218" s="4">
        <v>0.45833333333333331</v>
      </c>
      <c r="R218" s="3">
        <v>1</v>
      </c>
      <c r="S218" s="5"/>
      <c r="T218" s="3" t="s">
        <v>125</v>
      </c>
      <c r="U218" s="119"/>
      <c r="V218" s="117"/>
      <c r="W218" s="22"/>
    </row>
    <row r="219" spans="1:23" ht="30" x14ac:dyDescent="0.25">
      <c r="A219" s="15"/>
      <c r="B219" s="13" t="s">
        <v>26</v>
      </c>
      <c r="C219" s="32"/>
      <c r="D219" s="32"/>
      <c r="E219" s="32">
        <f>SUM(E210:E218)</f>
        <v>0</v>
      </c>
      <c r="F219" s="15"/>
      <c r="G219" s="145"/>
      <c r="H219" s="155" t="s">
        <v>294</v>
      </c>
      <c r="I219" s="57"/>
      <c r="J219" s="57"/>
      <c r="K219" s="57"/>
      <c r="L219" s="57"/>
      <c r="M219" s="57"/>
      <c r="N219" s="22"/>
      <c r="O219" s="2" t="s">
        <v>26</v>
      </c>
      <c r="P219" s="1"/>
      <c r="Q219" s="1"/>
      <c r="R219" s="1">
        <f>SUM(R211:R218)</f>
        <v>11</v>
      </c>
      <c r="T219" t="s">
        <v>284</v>
      </c>
      <c r="U219" s="119"/>
      <c r="V219" s="117"/>
      <c r="W219" s="22"/>
    </row>
    <row r="220" spans="1:23" x14ac:dyDescent="0.25">
      <c r="A220" s="15"/>
      <c r="B220" s="15"/>
      <c r="C220" s="15"/>
      <c r="D220" s="15"/>
      <c r="E220" s="15"/>
      <c r="F220" s="15"/>
      <c r="G220" s="15"/>
      <c r="H220" s="15"/>
      <c r="I220" s="57"/>
      <c r="J220" s="57"/>
      <c r="K220" s="57"/>
      <c r="L220" s="57"/>
      <c r="M220" s="57"/>
      <c r="N220" s="22"/>
      <c r="O220" s="2"/>
      <c r="P220" s="1"/>
      <c r="Q220" s="1"/>
      <c r="R220" s="1"/>
      <c r="U220" s="163"/>
      <c r="V220" s="117"/>
      <c r="W220" s="22"/>
    </row>
    <row r="221" spans="1:23" x14ac:dyDescent="0.25">
      <c r="A221" s="15"/>
      <c r="B221" s="15"/>
      <c r="C221" s="15"/>
      <c r="D221" s="15"/>
      <c r="E221" s="15"/>
      <c r="F221" s="15"/>
      <c r="G221" s="15"/>
      <c r="H221" s="15"/>
      <c r="I221" s="57"/>
      <c r="J221" s="57"/>
      <c r="K221" s="57"/>
      <c r="L221" s="57"/>
      <c r="M221" s="57"/>
      <c r="N221" s="22"/>
      <c r="O221" s="117"/>
      <c r="P221" s="117"/>
      <c r="Q221" s="117"/>
      <c r="R221" s="117"/>
      <c r="S221" s="117"/>
      <c r="T221" s="117"/>
      <c r="U221" s="163"/>
      <c r="V221" s="117"/>
      <c r="W221" s="22"/>
    </row>
    <row r="222" spans="1:23" ht="30" x14ac:dyDescent="0.25">
      <c r="A222" s="15"/>
      <c r="B222" s="13" t="s">
        <v>159</v>
      </c>
      <c r="C222" s="13" t="s">
        <v>11</v>
      </c>
      <c r="D222" s="13" t="s">
        <v>12</v>
      </c>
      <c r="E222" s="13" t="s">
        <v>13</v>
      </c>
      <c r="F222" s="13" t="s">
        <v>14</v>
      </c>
      <c r="G222" s="20" t="s">
        <v>0</v>
      </c>
      <c r="H222" s="22"/>
      <c r="I222" s="57"/>
      <c r="J222" s="57"/>
      <c r="K222" s="57"/>
      <c r="L222" s="57"/>
      <c r="M222" s="57"/>
      <c r="N222" s="15"/>
      <c r="O222" s="13" t="s">
        <v>159</v>
      </c>
      <c r="P222" s="13" t="s">
        <v>11</v>
      </c>
      <c r="Q222" s="13" t="s">
        <v>12</v>
      </c>
      <c r="R222" s="13" t="s">
        <v>13</v>
      </c>
      <c r="S222" s="13" t="s">
        <v>14</v>
      </c>
      <c r="T222" s="20" t="s">
        <v>0</v>
      </c>
      <c r="U222" s="57"/>
      <c r="V222" s="117"/>
      <c r="W222" s="22"/>
    </row>
    <row r="223" spans="1:23" x14ac:dyDescent="0.25">
      <c r="A223" s="53">
        <v>16</v>
      </c>
      <c r="B223" s="14" t="s">
        <v>2</v>
      </c>
      <c r="C223" s="33"/>
      <c r="D223" s="25"/>
      <c r="E223" s="14"/>
      <c r="F223" s="24"/>
      <c r="G223" s="21"/>
      <c r="H223" s="22"/>
      <c r="I223" s="57"/>
      <c r="J223" s="57"/>
      <c r="K223" s="57"/>
      <c r="L223" s="57"/>
      <c r="M223" s="57"/>
      <c r="N223" s="53">
        <v>16</v>
      </c>
      <c r="O223" s="14" t="s">
        <v>2</v>
      </c>
      <c r="P223" s="33"/>
      <c r="Q223" s="25"/>
      <c r="R223" s="14"/>
      <c r="S223" s="24"/>
      <c r="T223" s="21"/>
      <c r="U223" s="57"/>
      <c r="V223" s="117"/>
      <c r="W223" s="22"/>
    </row>
    <row r="224" spans="1:23" x14ac:dyDescent="0.25">
      <c r="A224" s="53">
        <v>17</v>
      </c>
      <c r="B224" s="14" t="s">
        <v>3</v>
      </c>
      <c r="C224" s="26"/>
      <c r="D224" s="26"/>
      <c r="E224" s="15"/>
      <c r="F224" s="15"/>
      <c r="G224" s="22"/>
      <c r="H224" s="22"/>
      <c r="I224" s="57"/>
      <c r="J224" s="57"/>
      <c r="K224" s="57"/>
      <c r="L224" s="57"/>
      <c r="M224" s="57"/>
      <c r="N224" s="53">
        <v>17</v>
      </c>
      <c r="O224" s="14" t="s">
        <v>3</v>
      </c>
      <c r="P224" s="26"/>
      <c r="Q224" s="26"/>
      <c r="R224" s="15"/>
      <c r="S224" s="15"/>
      <c r="T224" s="22"/>
      <c r="U224" s="57"/>
      <c r="V224" s="154"/>
      <c r="W224" s="22"/>
    </row>
    <row r="225" spans="1:23" x14ac:dyDescent="0.25">
      <c r="A225" s="53">
        <v>18</v>
      </c>
      <c r="B225" s="14" t="s">
        <v>4</v>
      </c>
      <c r="C225" s="26"/>
      <c r="D225" s="26"/>
      <c r="E225" s="15"/>
      <c r="F225" s="15"/>
      <c r="G225" s="21"/>
      <c r="H225" s="22"/>
      <c r="I225" s="57"/>
      <c r="J225" s="57"/>
      <c r="K225" s="57"/>
      <c r="L225" s="57"/>
      <c r="M225" s="57"/>
      <c r="N225" s="53">
        <v>18</v>
      </c>
      <c r="O225" s="14" t="s">
        <v>4</v>
      </c>
      <c r="P225" s="26"/>
      <c r="Q225" s="26"/>
      <c r="R225" s="15"/>
      <c r="S225" s="15"/>
      <c r="T225" s="21"/>
      <c r="U225" s="57"/>
      <c r="V225" s="117"/>
      <c r="W225" s="22"/>
    </row>
    <row r="226" spans="1:23" x14ac:dyDescent="0.25">
      <c r="A226" s="32">
        <v>19</v>
      </c>
      <c r="B226" s="14" t="s">
        <v>5</v>
      </c>
      <c r="C226" s="15"/>
      <c r="D226" s="15"/>
      <c r="E226" s="15"/>
      <c r="F226" s="24"/>
      <c r="G226" s="21"/>
      <c r="H226" s="22"/>
      <c r="I226" s="57"/>
      <c r="J226" s="57"/>
      <c r="K226" s="57"/>
      <c r="L226" s="57"/>
      <c r="M226" s="57"/>
      <c r="N226" s="32">
        <v>19</v>
      </c>
      <c r="O226" s="14" t="s">
        <v>5</v>
      </c>
      <c r="P226" s="15" t="s">
        <v>297</v>
      </c>
      <c r="Q226" s="15" t="s">
        <v>295</v>
      </c>
      <c r="R226" s="15">
        <v>0.5</v>
      </c>
      <c r="S226" s="24"/>
      <c r="T226" s="21" t="s">
        <v>298</v>
      </c>
      <c r="U226" s="57"/>
      <c r="V226" s="117"/>
      <c r="W226" s="22"/>
    </row>
    <row r="227" spans="1:23" x14ac:dyDescent="0.25">
      <c r="A227" s="32"/>
      <c r="B227" s="14"/>
      <c r="C227" s="25"/>
      <c r="D227" s="25"/>
      <c r="E227" s="14"/>
      <c r="F227" s="24"/>
      <c r="G227" s="21"/>
      <c r="H227" s="22"/>
      <c r="I227" s="57"/>
      <c r="J227" s="57"/>
      <c r="K227" s="57"/>
      <c r="L227" s="57"/>
      <c r="M227" s="57"/>
      <c r="N227" s="32"/>
      <c r="O227" s="14"/>
      <c r="P227" s="25" t="s">
        <v>295</v>
      </c>
      <c r="Q227" s="25" t="s">
        <v>296</v>
      </c>
      <c r="R227" s="14">
        <v>2</v>
      </c>
      <c r="S227" s="24"/>
      <c r="T227" s="21" t="s">
        <v>146</v>
      </c>
      <c r="U227" s="57"/>
      <c r="V227" s="154"/>
      <c r="W227" s="22"/>
    </row>
    <row r="228" spans="1:23" x14ac:dyDescent="0.25">
      <c r="A228" s="32">
        <v>20</v>
      </c>
      <c r="B228" s="14" t="s">
        <v>6</v>
      </c>
      <c r="C228" s="42"/>
      <c r="D228" s="42"/>
      <c r="E228" s="14"/>
      <c r="F228" s="15"/>
      <c r="G228" s="23"/>
      <c r="H228" s="22"/>
      <c r="I228" s="57"/>
      <c r="J228" s="57"/>
      <c r="K228" s="57"/>
      <c r="L228" s="57"/>
      <c r="M228" s="57"/>
      <c r="N228" s="32">
        <v>20</v>
      </c>
      <c r="O228" s="14" t="s">
        <v>6</v>
      </c>
      <c r="P228" s="42"/>
      <c r="Q228" s="42"/>
      <c r="R228" s="14"/>
      <c r="S228" s="15"/>
      <c r="T228" s="23"/>
      <c r="U228" s="57"/>
      <c r="V228" s="154"/>
      <c r="W228" s="22"/>
    </row>
    <row r="229" spans="1:23" x14ac:dyDescent="0.25">
      <c r="A229" s="32">
        <v>21</v>
      </c>
      <c r="B229" s="14" t="s">
        <v>7</v>
      </c>
      <c r="C229" s="42"/>
      <c r="D229" s="42"/>
      <c r="E229" s="14"/>
      <c r="F229" s="24"/>
      <c r="G229" s="21"/>
      <c r="H229" s="22"/>
      <c r="I229" s="57"/>
      <c r="J229" s="57"/>
      <c r="K229" s="57"/>
      <c r="L229" s="57"/>
      <c r="M229" s="57"/>
      <c r="N229" s="32">
        <v>21</v>
      </c>
      <c r="O229" s="14" t="s">
        <v>7</v>
      </c>
      <c r="P229" s="42"/>
      <c r="Q229" s="42"/>
      <c r="R229" s="14"/>
      <c r="S229" s="24"/>
      <c r="T229" s="21"/>
      <c r="U229" s="57"/>
      <c r="V229" s="117"/>
      <c r="W229" s="22"/>
    </row>
    <row r="230" spans="1:23" x14ac:dyDescent="0.25">
      <c r="A230" s="32">
        <v>22</v>
      </c>
      <c r="B230" s="14" t="s">
        <v>8</v>
      </c>
      <c r="C230" s="25"/>
      <c r="D230" s="25"/>
      <c r="E230" s="14"/>
      <c r="F230" s="24"/>
      <c r="G230" s="21"/>
      <c r="H230" s="22"/>
      <c r="I230" s="57"/>
      <c r="J230" s="57"/>
      <c r="K230" s="57"/>
      <c r="L230" s="57"/>
      <c r="M230" s="57"/>
      <c r="N230" s="32">
        <v>22</v>
      </c>
      <c r="O230" s="14" t="s">
        <v>8</v>
      </c>
      <c r="P230" s="25"/>
      <c r="Q230" s="25"/>
      <c r="R230" s="14"/>
      <c r="S230" s="24"/>
      <c r="T230" s="21"/>
      <c r="U230" s="57"/>
      <c r="V230" s="117"/>
      <c r="W230" s="22"/>
    </row>
    <row r="231" spans="1:23" x14ac:dyDescent="0.25">
      <c r="A231" s="15"/>
      <c r="B231" s="13" t="s">
        <v>26</v>
      </c>
      <c r="C231" s="32"/>
      <c r="D231" s="32"/>
      <c r="E231" s="32">
        <f>SUM(E222:E230)</f>
        <v>0</v>
      </c>
      <c r="F231" s="15"/>
      <c r="G231" s="145"/>
      <c r="H231" s="22"/>
      <c r="I231" s="57"/>
      <c r="J231" s="57"/>
      <c r="K231" s="57"/>
      <c r="L231" s="57"/>
      <c r="M231" s="57"/>
      <c r="N231" s="15"/>
      <c r="O231" s="13" t="s">
        <v>26</v>
      </c>
      <c r="P231" s="32"/>
      <c r="Q231" s="32"/>
      <c r="R231" s="32">
        <f>SUM(R222:R230)</f>
        <v>2.5</v>
      </c>
      <c r="S231" s="15"/>
      <c r="T231" s="145" t="s">
        <v>299</v>
      </c>
      <c r="U231" s="57"/>
      <c r="V231" s="117"/>
      <c r="W231" s="22"/>
    </row>
    <row r="232" spans="1:23" x14ac:dyDescent="0.25">
      <c r="A232" s="15"/>
      <c r="B232" s="35" t="s">
        <v>227</v>
      </c>
      <c r="C232" s="60"/>
      <c r="D232" s="61"/>
      <c r="E232" s="35"/>
      <c r="F232" s="115"/>
      <c r="G232" s="144"/>
      <c r="H232" s="151"/>
      <c r="I232" s="57"/>
      <c r="J232" s="57"/>
      <c r="K232" s="57"/>
      <c r="L232" s="57"/>
      <c r="M232" s="57"/>
      <c r="N232" s="15"/>
      <c r="O232" s="35" t="s">
        <v>227</v>
      </c>
      <c r="P232" s="60"/>
      <c r="Q232" s="61"/>
      <c r="R232" s="35"/>
      <c r="S232" s="115">
        <v>10</v>
      </c>
      <c r="T232" s="144" t="s">
        <v>300</v>
      </c>
      <c r="U232" s="164" t="s">
        <v>103</v>
      </c>
      <c r="V232" s="117"/>
      <c r="W232" s="22"/>
    </row>
    <row r="233" spans="1:23" ht="15.75" thickBot="1" x14ac:dyDescent="0.3">
      <c r="A233" s="15"/>
      <c r="B233" s="15"/>
      <c r="C233" s="15"/>
      <c r="D233" s="15"/>
      <c r="E233" s="15"/>
      <c r="F233" s="15"/>
      <c r="G233" s="15"/>
      <c r="H233" s="22"/>
      <c r="I233" s="57"/>
      <c r="J233" s="57"/>
      <c r="K233" s="57"/>
      <c r="L233" s="57"/>
      <c r="M233" s="57"/>
      <c r="N233" s="22"/>
      <c r="O233" s="22"/>
      <c r="P233" s="22"/>
      <c r="Q233" s="22"/>
      <c r="R233" s="22"/>
      <c r="S233" s="22"/>
      <c r="T233" s="22"/>
      <c r="U233" s="57"/>
      <c r="V233" s="117"/>
      <c r="W233" s="22"/>
    </row>
    <row r="234" spans="1:23" ht="15.75" thickBot="1" x14ac:dyDescent="0.3">
      <c r="A234" s="539" t="s">
        <v>225</v>
      </c>
      <c r="B234" s="105" t="s">
        <v>224</v>
      </c>
      <c r="C234" s="104" t="s">
        <v>2</v>
      </c>
      <c r="D234" s="104" t="s">
        <v>3</v>
      </c>
      <c r="E234" s="104" t="s">
        <v>4</v>
      </c>
      <c r="F234" s="104" t="s">
        <v>5</v>
      </c>
      <c r="G234" s="104" t="s">
        <v>6</v>
      </c>
      <c r="H234" s="104" t="s">
        <v>7</v>
      </c>
      <c r="I234" s="104" t="s">
        <v>8</v>
      </c>
      <c r="J234" s="103" t="s">
        <v>197</v>
      </c>
      <c r="K234" s="15"/>
      <c r="L234" s="57"/>
      <c r="M234" s="57"/>
      <c r="N234" s="15"/>
      <c r="O234" s="15"/>
      <c r="P234" s="15"/>
      <c r="Q234" s="15"/>
      <c r="R234" s="15"/>
      <c r="S234" s="15"/>
      <c r="T234" s="15"/>
      <c r="U234" s="57"/>
      <c r="W234" s="22"/>
    </row>
    <row r="235" spans="1:23" x14ac:dyDescent="0.25">
      <c r="A235" s="539"/>
      <c r="B235" s="569" t="s">
        <v>207</v>
      </c>
      <c r="C235" s="102"/>
      <c r="D235" s="15">
        <v>4</v>
      </c>
      <c r="E235" s="15"/>
      <c r="F235" s="15"/>
      <c r="G235" s="15">
        <v>4</v>
      </c>
      <c r="H235" s="101"/>
      <c r="I235" s="101"/>
      <c r="J235" s="89">
        <f>SUM(C235:I235)</f>
        <v>8</v>
      </c>
      <c r="K235" s="599" t="s">
        <v>223</v>
      </c>
      <c r="L235" s="57"/>
      <c r="M235" s="57"/>
      <c r="N235" s="15"/>
      <c r="O235" s="13" t="s">
        <v>160</v>
      </c>
      <c r="P235" s="13" t="s">
        <v>11</v>
      </c>
      <c r="Q235" s="13" t="s">
        <v>12</v>
      </c>
      <c r="R235" s="13" t="s">
        <v>13</v>
      </c>
      <c r="S235" s="13" t="s">
        <v>14</v>
      </c>
      <c r="T235" s="13" t="s">
        <v>0</v>
      </c>
      <c r="U235" s="57"/>
      <c r="W235" s="22"/>
    </row>
    <row r="236" spans="1:23" x14ac:dyDescent="0.25">
      <c r="A236" s="539"/>
      <c r="B236" s="541"/>
      <c r="C236" s="545" t="s">
        <v>205</v>
      </c>
      <c r="D236" s="546"/>
      <c r="E236" s="546"/>
      <c r="F236" s="546"/>
      <c r="G236" s="546"/>
      <c r="H236" s="100"/>
      <c r="I236" s="100"/>
      <c r="J236" s="95"/>
      <c r="K236" s="599"/>
      <c r="L236" s="57"/>
      <c r="M236" s="57"/>
      <c r="N236" s="32">
        <v>23</v>
      </c>
      <c r="O236" s="14" t="s">
        <v>2</v>
      </c>
      <c r="P236" s="33"/>
      <c r="Q236" s="25"/>
      <c r="R236" s="14"/>
      <c r="S236" s="24"/>
      <c r="T236" s="14"/>
      <c r="U236" s="57"/>
      <c r="W236" s="22"/>
    </row>
    <row r="237" spans="1:23" x14ac:dyDescent="0.25">
      <c r="A237" s="539"/>
      <c r="B237" s="535" t="s">
        <v>9</v>
      </c>
      <c r="C237" s="99">
        <v>2</v>
      </c>
      <c r="D237" s="99">
        <v>4</v>
      </c>
      <c r="E237" s="533" t="s">
        <v>200</v>
      </c>
      <c r="F237" s="87">
        <v>7</v>
      </c>
      <c r="G237" s="99">
        <v>2</v>
      </c>
      <c r="H237" s="86"/>
      <c r="I237" s="548"/>
      <c r="J237" s="89">
        <f>SUM(C237:I237)</f>
        <v>15</v>
      </c>
      <c r="K237" s="599"/>
      <c r="L237" s="57"/>
      <c r="M237" s="57"/>
      <c r="N237" s="32">
        <v>24</v>
      </c>
      <c r="O237" s="14" t="s">
        <v>3</v>
      </c>
      <c r="P237" s="26"/>
      <c r="Q237" s="26"/>
      <c r="R237" s="15"/>
      <c r="S237" s="15"/>
      <c r="T237" s="15"/>
      <c r="U237" s="57"/>
      <c r="W237" s="22"/>
    </row>
    <row r="238" spans="1:23" ht="30" x14ac:dyDescent="0.25">
      <c r="A238" s="539"/>
      <c r="B238" s="547"/>
      <c r="C238" s="550" t="s">
        <v>203</v>
      </c>
      <c r="D238" s="551"/>
      <c r="E238" s="534"/>
      <c r="F238" s="98" t="s">
        <v>204</v>
      </c>
      <c r="G238" s="97" t="s">
        <v>203</v>
      </c>
      <c r="H238" s="96"/>
      <c r="I238" s="549"/>
      <c r="J238" s="95"/>
      <c r="K238" s="599"/>
      <c r="L238" s="57"/>
      <c r="M238" s="57"/>
      <c r="N238" s="32">
        <v>25</v>
      </c>
      <c r="O238" s="14" t="s">
        <v>4</v>
      </c>
      <c r="P238" s="26"/>
      <c r="Q238" s="26"/>
      <c r="R238" s="15"/>
      <c r="S238" s="15"/>
      <c r="T238" s="14"/>
      <c r="U238" s="57"/>
      <c r="W238" s="22"/>
    </row>
    <row r="239" spans="1:23" x14ac:dyDescent="0.25">
      <c r="A239" s="539"/>
      <c r="B239" s="535" t="s">
        <v>202</v>
      </c>
      <c r="C239" s="533" t="s">
        <v>200</v>
      </c>
      <c r="D239" s="533" t="s">
        <v>200</v>
      </c>
      <c r="E239" s="533" t="s">
        <v>200</v>
      </c>
      <c r="F239" s="533" t="s">
        <v>200</v>
      </c>
      <c r="G239" s="533" t="s">
        <v>200</v>
      </c>
      <c r="H239" s="562" t="s">
        <v>222</v>
      </c>
      <c r="I239" s="563"/>
      <c r="J239" s="89">
        <v>5</v>
      </c>
      <c r="K239" s="599"/>
      <c r="L239" s="57"/>
      <c r="M239" s="57"/>
      <c r="N239" s="32">
        <v>26</v>
      </c>
      <c r="O239" s="14" t="s">
        <v>5</v>
      </c>
      <c r="P239" s="25"/>
      <c r="Q239" s="25"/>
      <c r="R239" s="14"/>
      <c r="S239" s="24"/>
      <c r="T239" s="14"/>
      <c r="U239" s="57"/>
      <c r="V239" s="22"/>
      <c r="W239" s="22"/>
    </row>
    <row r="240" spans="1:23" x14ac:dyDescent="0.25">
      <c r="A240" s="539"/>
      <c r="B240" s="547"/>
      <c r="C240" s="534"/>
      <c r="D240" s="534"/>
      <c r="E240" s="534"/>
      <c r="F240" s="534"/>
      <c r="G240" s="534"/>
      <c r="H240" s="558"/>
      <c r="I240" s="559"/>
      <c r="J240" s="95"/>
      <c r="K240" s="599"/>
      <c r="L240" s="57"/>
      <c r="M240" s="57"/>
      <c r="N240" s="32">
        <v>27</v>
      </c>
      <c r="O240" s="14" t="s">
        <v>6</v>
      </c>
      <c r="P240" s="42"/>
      <c r="Q240" s="42"/>
      <c r="R240" s="14"/>
      <c r="S240" s="15"/>
      <c r="T240" s="24"/>
      <c r="U240" s="57"/>
      <c r="V240" s="22"/>
      <c r="W240" s="22"/>
    </row>
    <row r="241" spans="1:23" x14ac:dyDescent="0.25">
      <c r="A241" s="539"/>
      <c r="B241" s="535" t="s">
        <v>1</v>
      </c>
      <c r="C241" s="600" t="s">
        <v>200</v>
      </c>
      <c r="D241" s="600" t="s">
        <v>200</v>
      </c>
      <c r="E241" s="600" t="s">
        <v>200</v>
      </c>
      <c r="F241" s="109">
        <v>2</v>
      </c>
      <c r="G241" s="600" t="s">
        <v>200</v>
      </c>
      <c r="H241" s="528"/>
      <c r="I241" s="528"/>
      <c r="J241" s="89">
        <f>SUM(C241:I241)</f>
        <v>2</v>
      </c>
      <c r="K241" s="599"/>
      <c r="L241" s="57"/>
      <c r="M241" s="57"/>
      <c r="N241" s="32">
        <v>28</v>
      </c>
      <c r="O241" s="14" t="s">
        <v>7</v>
      </c>
      <c r="P241" s="42"/>
      <c r="Q241" s="42"/>
      <c r="R241" s="14"/>
      <c r="S241" s="24"/>
      <c r="T241" s="14"/>
      <c r="U241" s="57"/>
      <c r="V241" s="22"/>
      <c r="W241" s="22"/>
    </row>
    <row r="242" spans="1:23" ht="15.75" thickBot="1" x14ac:dyDescent="0.3">
      <c r="A242" s="539"/>
      <c r="B242" s="536"/>
      <c r="C242" s="601"/>
      <c r="D242" s="601"/>
      <c r="E242" s="601"/>
      <c r="F242" s="108" t="s">
        <v>146</v>
      </c>
      <c r="G242" s="601"/>
      <c r="H242" s="529"/>
      <c r="I242" s="529"/>
      <c r="J242" s="95"/>
      <c r="K242" s="599"/>
      <c r="L242" s="57"/>
      <c r="M242" s="57"/>
      <c r="N242" s="32">
        <v>29</v>
      </c>
      <c r="O242" s="14" t="s">
        <v>8</v>
      </c>
      <c r="P242" s="25"/>
      <c r="Q242" s="25"/>
      <c r="R242" s="14"/>
      <c r="S242" s="24"/>
      <c r="T242" s="14"/>
      <c r="U242" s="57"/>
      <c r="V242" s="22"/>
      <c r="W242" s="22"/>
    </row>
    <row r="243" spans="1:23" ht="30.75" thickBot="1" x14ac:dyDescent="0.3">
      <c r="A243" s="539"/>
      <c r="B243" s="91" t="s">
        <v>198</v>
      </c>
      <c r="C243" s="90"/>
      <c r="D243" s="90"/>
      <c r="E243" s="90"/>
      <c r="F243" s="90"/>
      <c r="G243" s="90"/>
      <c r="H243" s="90"/>
      <c r="I243" s="90"/>
      <c r="J243" s="89">
        <f>SUM(C243:I243)</f>
        <v>0</v>
      </c>
      <c r="K243" s="599"/>
      <c r="L243" s="15"/>
      <c r="M243" s="57"/>
      <c r="N243" s="32"/>
      <c r="O243" s="13" t="s">
        <v>26</v>
      </c>
      <c r="P243" s="32"/>
      <c r="Q243" s="32"/>
      <c r="R243" s="32">
        <f>SUM(R235:R242)</f>
        <v>0</v>
      </c>
      <c r="S243" s="15"/>
      <c r="T243" s="15"/>
      <c r="U243" s="57"/>
      <c r="V243" s="22"/>
      <c r="W243" s="22"/>
    </row>
    <row r="244" spans="1:23" ht="15.75" thickBot="1" x14ac:dyDescent="0.3">
      <c r="A244" s="84"/>
      <c r="B244" s="88" t="s">
        <v>197</v>
      </c>
      <c r="C244" s="87">
        <v>2</v>
      </c>
      <c r="D244" s="87">
        <v>4</v>
      </c>
      <c r="E244" s="87">
        <v>2</v>
      </c>
      <c r="F244" s="87">
        <v>7</v>
      </c>
      <c r="G244" s="87">
        <v>4</v>
      </c>
      <c r="H244" s="86"/>
      <c r="I244" s="86"/>
      <c r="J244" s="85">
        <f>SUM(J235:J243)</f>
        <v>30</v>
      </c>
      <c r="K244" s="75"/>
      <c r="L244" s="15"/>
      <c r="M244" s="57"/>
      <c r="N244" s="15"/>
      <c r="O244" s="2"/>
      <c r="P244" s="2"/>
      <c r="Q244" s="2"/>
      <c r="R244" s="2"/>
      <c r="S244" s="2"/>
      <c r="T244" s="2"/>
      <c r="U244" s="119"/>
      <c r="V244" s="22"/>
      <c r="W244" s="22"/>
    </row>
    <row r="245" spans="1:23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57"/>
      <c r="N245" s="15"/>
      <c r="O245" s="15"/>
      <c r="P245" s="15"/>
      <c r="Q245" s="15"/>
      <c r="R245" s="15"/>
      <c r="S245" s="15"/>
      <c r="T245" s="15"/>
      <c r="U245" s="163"/>
      <c r="V245" s="22"/>
      <c r="W245" s="22"/>
    </row>
    <row r="246" spans="1:23" ht="15.75" thickBo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57"/>
      <c r="N246" s="15"/>
      <c r="O246" s="15"/>
      <c r="P246" s="15"/>
      <c r="Q246" s="15"/>
      <c r="R246" s="15"/>
      <c r="S246" s="15"/>
      <c r="T246" s="15"/>
      <c r="U246" s="163"/>
      <c r="V246" s="22"/>
      <c r="W246" s="22"/>
    </row>
    <row r="247" spans="1:23" ht="15.75" thickBot="1" x14ac:dyDescent="0.3">
      <c r="A247" s="539" t="s">
        <v>221</v>
      </c>
      <c r="B247" s="105" t="s">
        <v>220</v>
      </c>
      <c r="C247" s="104" t="s">
        <v>2</v>
      </c>
      <c r="D247" s="104" t="s">
        <v>3</v>
      </c>
      <c r="E247" s="104" t="s">
        <v>4</v>
      </c>
      <c r="F247" s="104" t="s">
        <v>5</v>
      </c>
      <c r="G247" s="104" t="s">
        <v>6</v>
      </c>
      <c r="H247" s="104" t="s">
        <v>7</v>
      </c>
      <c r="I247" s="104" t="s">
        <v>8</v>
      </c>
      <c r="J247" s="103" t="s">
        <v>197</v>
      </c>
      <c r="K247" s="15"/>
      <c r="L247" s="15"/>
      <c r="M247" s="57"/>
      <c r="N247" s="15"/>
      <c r="O247" s="15"/>
      <c r="P247" s="15"/>
      <c r="Q247" s="15"/>
      <c r="R247" s="15"/>
      <c r="S247" s="15"/>
      <c r="T247" s="15"/>
      <c r="U247" s="163"/>
      <c r="V247" s="22"/>
      <c r="W247" s="22"/>
    </row>
    <row r="248" spans="1:23" x14ac:dyDescent="0.25">
      <c r="A248" s="539"/>
      <c r="B248" s="540" t="s">
        <v>207</v>
      </c>
      <c r="C248" s="102"/>
      <c r="D248" s="15">
        <v>4</v>
      </c>
      <c r="E248" s="15"/>
      <c r="F248" s="15"/>
      <c r="G248" s="15">
        <v>4</v>
      </c>
      <c r="H248" s="101"/>
      <c r="I248" s="101"/>
      <c r="J248" s="89">
        <f>SUM(C248:I248)</f>
        <v>8</v>
      </c>
      <c r="K248" s="599" t="s">
        <v>219</v>
      </c>
      <c r="L248" s="15"/>
      <c r="M248" s="57"/>
      <c r="N248" s="15"/>
      <c r="O248" s="15"/>
      <c r="P248" s="15"/>
      <c r="Q248" s="15"/>
      <c r="R248" s="15"/>
      <c r="S248" s="15"/>
      <c r="T248" s="15"/>
      <c r="U248" s="163"/>
      <c r="V248" s="22"/>
      <c r="W248" s="22"/>
    </row>
    <row r="249" spans="1:23" x14ac:dyDescent="0.25">
      <c r="A249" s="539"/>
      <c r="B249" s="541"/>
      <c r="C249" s="545" t="s">
        <v>205</v>
      </c>
      <c r="D249" s="546"/>
      <c r="E249" s="546"/>
      <c r="F249" s="546"/>
      <c r="G249" s="546"/>
      <c r="H249" s="100"/>
      <c r="I249" s="100"/>
      <c r="J249" s="95"/>
      <c r="K249" s="599"/>
      <c r="L249" s="22"/>
      <c r="M249" s="57"/>
      <c r="N249" s="15"/>
      <c r="O249" s="2" t="s">
        <v>162</v>
      </c>
      <c r="P249" s="2" t="s">
        <v>11</v>
      </c>
      <c r="Q249" s="2" t="s">
        <v>12</v>
      </c>
      <c r="R249" s="2" t="s">
        <v>13</v>
      </c>
      <c r="S249" s="2" t="s">
        <v>14</v>
      </c>
      <c r="T249" s="2" t="s">
        <v>0</v>
      </c>
      <c r="U249" s="163"/>
      <c r="V249" s="22"/>
      <c r="W249" s="22"/>
    </row>
    <row r="250" spans="1:23" x14ac:dyDescent="0.25">
      <c r="A250" s="539"/>
      <c r="B250" s="535" t="s">
        <v>9</v>
      </c>
      <c r="C250" s="99">
        <v>2</v>
      </c>
      <c r="D250" s="99">
        <v>4</v>
      </c>
      <c r="E250" s="533" t="s">
        <v>200</v>
      </c>
      <c r="F250" s="87">
        <v>7</v>
      </c>
      <c r="G250" s="99">
        <v>2</v>
      </c>
      <c r="H250" s="86"/>
      <c r="I250" s="548"/>
      <c r="J250" s="89">
        <f>SUM(C250:I250)</f>
        <v>15</v>
      </c>
      <c r="K250" s="599"/>
      <c r="L250" s="22"/>
      <c r="M250" s="57"/>
      <c r="N250" s="32">
        <v>30</v>
      </c>
      <c r="O250" s="3" t="s">
        <v>2</v>
      </c>
      <c r="P250" s="6"/>
      <c r="Q250" s="4"/>
      <c r="R250" s="3"/>
      <c r="S250" s="5"/>
      <c r="T250" s="3"/>
      <c r="U250" s="163"/>
      <c r="V250" s="22"/>
      <c r="W250" s="22"/>
    </row>
    <row r="251" spans="1:23" ht="30" x14ac:dyDescent="0.25">
      <c r="A251" s="539"/>
      <c r="B251" s="547"/>
      <c r="C251" s="550" t="s">
        <v>203</v>
      </c>
      <c r="D251" s="551"/>
      <c r="E251" s="534"/>
      <c r="F251" s="98" t="s">
        <v>204</v>
      </c>
      <c r="G251" s="97" t="s">
        <v>203</v>
      </c>
      <c r="H251" s="96"/>
      <c r="I251" s="549"/>
      <c r="J251" s="95"/>
      <c r="K251" s="599"/>
      <c r="L251" s="22"/>
      <c r="M251" s="57"/>
      <c r="N251" s="32">
        <v>31</v>
      </c>
      <c r="O251" s="3" t="s">
        <v>3</v>
      </c>
      <c r="P251" s="7"/>
      <c r="Q251" s="7"/>
      <c r="U251" s="163"/>
      <c r="V251" s="22"/>
      <c r="W251" s="22"/>
    </row>
    <row r="252" spans="1:23" x14ac:dyDescent="0.25">
      <c r="A252" s="539"/>
      <c r="B252" s="535" t="s">
        <v>202</v>
      </c>
      <c r="C252" s="533" t="s">
        <v>200</v>
      </c>
      <c r="D252" s="533" t="s">
        <v>200</v>
      </c>
      <c r="E252" s="533" t="s">
        <v>200</v>
      </c>
      <c r="F252" s="533" t="s">
        <v>200</v>
      </c>
      <c r="G252" s="533" t="s">
        <v>200</v>
      </c>
      <c r="H252" s="562" t="s">
        <v>218</v>
      </c>
      <c r="I252" s="563"/>
      <c r="J252" s="89">
        <v>2</v>
      </c>
      <c r="K252" s="599"/>
      <c r="L252" s="22"/>
      <c r="M252" s="57"/>
      <c r="N252" s="32">
        <v>1</v>
      </c>
      <c r="O252" s="3" t="s">
        <v>4</v>
      </c>
      <c r="P252" s="7"/>
      <c r="Q252" s="7"/>
      <c r="T252" s="3"/>
      <c r="U252" s="119"/>
      <c r="V252" s="22"/>
      <c r="W252" s="22"/>
    </row>
    <row r="253" spans="1:23" x14ac:dyDescent="0.25">
      <c r="A253" s="539"/>
      <c r="B253" s="547"/>
      <c r="C253" s="534"/>
      <c r="D253" s="534"/>
      <c r="E253" s="534"/>
      <c r="F253" s="534"/>
      <c r="G253" s="534"/>
      <c r="H253" s="558"/>
      <c r="I253" s="559"/>
      <c r="J253" s="95"/>
      <c r="K253" s="599"/>
      <c r="L253" s="22"/>
      <c r="M253" s="57"/>
      <c r="N253" s="32">
        <v>2</v>
      </c>
      <c r="O253" s="3" t="s">
        <v>5</v>
      </c>
      <c r="P253" s="4"/>
      <c r="Q253" s="4"/>
      <c r="R253" s="3"/>
      <c r="S253" s="5"/>
      <c r="T253" s="3"/>
      <c r="U253" s="119"/>
      <c r="V253" s="22"/>
      <c r="W253" s="22"/>
    </row>
    <row r="254" spans="1:23" x14ac:dyDescent="0.25">
      <c r="A254" s="539"/>
      <c r="B254" s="112" t="s">
        <v>217</v>
      </c>
      <c r="C254" s="111"/>
      <c r="D254" s="111"/>
      <c r="E254" s="111"/>
      <c r="F254" s="109">
        <v>2</v>
      </c>
      <c r="G254" s="111"/>
      <c r="H254" s="110"/>
      <c r="I254" s="110"/>
      <c r="J254" s="110">
        <v>2</v>
      </c>
      <c r="K254" s="599"/>
      <c r="L254" s="22"/>
      <c r="M254" s="57"/>
      <c r="N254" s="32">
        <v>3</v>
      </c>
      <c r="O254" s="3" t="s">
        <v>6</v>
      </c>
      <c r="P254" s="8"/>
      <c r="Q254" s="8"/>
      <c r="R254" s="3"/>
      <c r="T254" s="5"/>
      <c r="U254" s="119"/>
      <c r="V254" s="22"/>
      <c r="W254" s="22"/>
    </row>
    <row r="255" spans="1:23" x14ac:dyDescent="0.25">
      <c r="A255" s="539"/>
      <c r="B255" s="112"/>
      <c r="C255" s="111"/>
      <c r="D255" s="111"/>
      <c r="E255" s="111"/>
      <c r="F255" s="108" t="s">
        <v>146</v>
      </c>
      <c r="G255" s="111"/>
      <c r="H255" s="110"/>
      <c r="I255" s="110"/>
      <c r="J255" s="110"/>
      <c r="K255" s="599"/>
      <c r="L255" s="22"/>
      <c r="M255" s="57"/>
      <c r="N255" s="32">
        <v>4</v>
      </c>
      <c r="O255" s="3" t="s">
        <v>7</v>
      </c>
      <c r="P255" s="8"/>
      <c r="Q255" s="8"/>
      <c r="R255" s="3"/>
      <c r="S255" s="5"/>
      <c r="T255" s="3"/>
      <c r="U255" s="119"/>
      <c r="V255" s="22"/>
      <c r="W255" s="22"/>
    </row>
    <row r="256" spans="1:23" x14ac:dyDescent="0.25">
      <c r="A256" s="539"/>
      <c r="B256" s="535" t="s">
        <v>1</v>
      </c>
      <c r="C256" s="604" t="s">
        <v>200</v>
      </c>
      <c r="D256" s="604" t="s">
        <v>200</v>
      </c>
      <c r="E256" s="604" t="s">
        <v>200</v>
      </c>
      <c r="F256" s="109">
        <v>2</v>
      </c>
      <c r="G256" s="604" t="s">
        <v>200</v>
      </c>
      <c r="H256" s="528"/>
      <c r="I256" s="528"/>
      <c r="J256" s="89">
        <f>SUM(C256:I256)</f>
        <v>2</v>
      </c>
      <c r="K256" s="599"/>
      <c r="L256" s="22"/>
      <c r="M256" s="57"/>
      <c r="N256" s="32">
        <v>5</v>
      </c>
      <c r="O256" s="3" t="s">
        <v>8</v>
      </c>
      <c r="P256" s="4"/>
      <c r="Q256" s="4"/>
      <c r="R256" s="3"/>
      <c r="S256" s="5"/>
      <c r="T256" s="3"/>
      <c r="U256" s="119"/>
      <c r="V256" s="22"/>
      <c r="W256" s="22"/>
    </row>
    <row r="257" spans="1:23" ht="15.75" thickBot="1" x14ac:dyDescent="0.3">
      <c r="A257" s="539"/>
      <c r="B257" s="536"/>
      <c r="C257" s="605"/>
      <c r="D257" s="605"/>
      <c r="E257" s="605"/>
      <c r="F257" s="108" t="s">
        <v>146</v>
      </c>
      <c r="G257" s="605"/>
      <c r="H257" s="529"/>
      <c r="I257" s="529"/>
      <c r="J257" s="95"/>
      <c r="K257" s="599"/>
      <c r="L257" s="22"/>
      <c r="M257" s="57"/>
      <c r="N257" s="15"/>
      <c r="O257" s="2" t="s">
        <v>26</v>
      </c>
      <c r="P257" s="1"/>
      <c r="Q257" s="1"/>
      <c r="R257" s="1"/>
      <c r="U257" s="163"/>
      <c r="V257" s="22"/>
      <c r="W257" s="22"/>
    </row>
    <row r="258" spans="1:23" ht="30.75" thickBot="1" x14ac:dyDescent="0.3">
      <c r="A258" s="539"/>
      <c r="B258" s="91" t="s">
        <v>198</v>
      </c>
      <c r="C258" s="90"/>
      <c r="D258" s="90"/>
      <c r="E258" s="90"/>
      <c r="F258" s="90"/>
      <c r="G258" s="90"/>
      <c r="H258" s="90"/>
      <c r="I258" s="90"/>
      <c r="J258" s="89">
        <f>SUM(C258:I258)</f>
        <v>0</v>
      </c>
      <c r="K258" s="599"/>
      <c r="L258" s="22"/>
      <c r="M258" s="57"/>
      <c r="N258" s="15"/>
      <c r="O258" s="15"/>
      <c r="P258" s="15"/>
      <c r="Q258" s="15"/>
      <c r="R258" s="15"/>
      <c r="S258" s="15"/>
      <c r="T258" s="15"/>
      <c r="U258" s="163"/>
      <c r="V258" s="22"/>
      <c r="W258" s="22"/>
    </row>
    <row r="259" spans="1:23" ht="15.75" thickBot="1" x14ac:dyDescent="0.3">
      <c r="A259" s="84"/>
      <c r="B259" s="88" t="s">
        <v>197</v>
      </c>
      <c r="C259" s="87">
        <v>2</v>
      </c>
      <c r="D259" s="87">
        <v>4</v>
      </c>
      <c r="E259" s="87">
        <v>2</v>
      </c>
      <c r="F259" s="87">
        <v>7</v>
      </c>
      <c r="G259" s="87">
        <v>4</v>
      </c>
      <c r="H259" s="86"/>
      <c r="I259" s="86"/>
      <c r="J259" s="85">
        <f>SUM(J248:J258)</f>
        <v>29</v>
      </c>
      <c r="K259" s="75"/>
      <c r="L259" s="22"/>
      <c r="M259" s="57"/>
      <c r="N259" s="15"/>
      <c r="O259" s="15"/>
      <c r="P259" s="15"/>
      <c r="Q259" s="15"/>
      <c r="R259" s="15"/>
      <c r="S259" s="15"/>
      <c r="T259" s="15"/>
      <c r="U259" s="163"/>
      <c r="V259" s="22"/>
      <c r="W259" s="22"/>
    </row>
    <row r="260" spans="1:23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22"/>
      <c r="M260" s="57"/>
      <c r="N260" s="15"/>
      <c r="O260" s="15"/>
      <c r="P260" s="15"/>
      <c r="Q260" s="15"/>
      <c r="R260" s="15"/>
      <c r="S260" s="15"/>
      <c r="T260" s="15"/>
      <c r="U260" s="163"/>
      <c r="V260" s="22"/>
      <c r="W260" s="22"/>
    </row>
    <row r="261" spans="1:23" ht="15.75" thickBo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22"/>
      <c r="M261" s="57"/>
      <c r="N261" s="15"/>
      <c r="O261" s="15"/>
      <c r="P261" s="15"/>
      <c r="Q261" s="15"/>
      <c r="R261" s="15"/>
      <c r="S261" s="15"/>
      <c r="T261" s="15"/>
      <c r="U261" s="163"/>
      <c r="V261" s="22"/>
      <c r="W261" s="22"/>
    </row>
    <row r="262" spans="1:23" ht="15.75" thickBot="1" x14ac:dyDescent="0.3">
      <c r="A262" s="539" t="s">
        <v>216</v>
      </c>
      <c r="B262" s="105" t="s">
        <v>215</v>
      </c>
      <c r="C262" s="104" t="s">
        <v>2</v>
      </c>
      <c r="D262" s="104" t="s">
        <v>3</v>
      </c>
      <c r="E262" s="104" t="s">
        <v>4</v>
      </c>
      <c r="F262" s="104" t="s">
        <v>5</v>
      </c>
      <c r="G262" s="104" t="s">
        <v>6</v>
      </c>
      <c r="H262" s="104" t="s">
        <v>7</v>
      </c>
      <c r="I262" s="104" t="s">
        <v>8</v>
      </c>
      <c r="J262" s="103" t="s">
        <v>197</v>
      </c>
      <c r="K262" s="15"/>
      <c r="L262" s="22"/>
      <c r="M262" s="57"/>
      <c r="N262" s="15"/>
      <c r="O262" s="15"/>
      <c r="P262" s="15"/>
      <c r="Q262" s="15"/>
      <c r="R262" s="15"/>
      <c r="S262" s="15"/>
      <c r="T262" s="15"/>
      <c r="U262" s="163"/>
      <c r="V262" s="22"/>
      <c r="W262" s="22"/>
    </row>
    <row r="263" spans="1:23" x14ac:dyDescent="0.25">
      <c r="A263" s="539"/>
      <c r="B263" s="540" t="s">
        <v>207</v>
      </c>
      <c r="C263" s="102"/>
      <c r="D263" s="15">
        <v>4</v>
      </c>
      <c r="E263" s="15"/>
      <c r="F263" s="15"/>
      <c r="G263" s="15">
        <v>4</v>
      </c>
      <c r="H263" s="101"/>
      <c r="I263" s="101"/>
      <c r="J263" s="89">
        <f>SUM(C263:I263)</f>
        <v>8</v>
      </c>
      <c r="K263" s="599" t="s">
        <v>214</v>
      </c>
      <c r="L263" s="22"/>
      <c r="M263" s="57"/>
      <c r="N263" s="15"/>
      <c r="O263" s="2" t="s">
        <v>161</v>
      </c>
      <c r="P263" s="2" t="s">
        <v>11</v>
      </c>
      <c r="Q263" s="2" t="s">
        <v>12</v>
      </c>
      <c r="R263" s="2" t="s">
        <v>13</v>
      </c>
      <c r="S263" s="2" t="s">
        <v>14</v>
      </c>
      <c r="T263" s="2" t="s">
        <v>0</v>
      </c>
      <c r="U263" s="163"/>
      <c r="V263" s="22"/>
      <c r="W263" s="22"/>
    </row>
    <row r="264" spans="1:23" x14ac:dyDescent="0.25">
      <c r="A264" s="539"/>
      <c r="B264" s="541"/>
      <c r="C264" s="545" t="s">
        <v>205</v>
      </c>
      <c r="D264" s="546"/>
      <c r="E264" s="546"/>
      <c r="F264" s="546"/>
      <c r="G264" s="546"/>
      <c r="H264" s="100"/>
      <c r="I264" s="100"/>
      <c r="J264" s="95"/>
      <c r="K264" s="599"/>
      <c r="L264" s="22"/>
      <c r="M264" s="57"/>
      <c r="N264" s="32">
        <v>6</v>
      </c>
      <c r="O264" s="3" t="s">
        <v>2</v>
      </c>
      <c r="P264" s="6"/>
      <c r="Q264" s="4"/>
      <c r="R264" s="3"/>
      <c r="S264" s="5"/>
      <c r="T264" s="3"/>
      <c r="U264" s="119"/>
      <c r="V264" s="22"/>
      <c r="W264" s="22"/>
    </row>
    <row r="265" spans="1:23" x14ac:dyDescent="0.25">
      <c r="A265" s="539"/>
      <c r="B265" s="535" t="s">
        <v>9</v>
      </c>
      <c r="C265" s="107">
        <v>2</v>
      </c>
      <c r="D265" s="107">
        <v>4</v>
      </c>
      <c r="E265" s="533" t="s">
        <v>200</v>
      </c>
      <c r="F265" s="87">
        <v>7</v>
      </c>
      <c r="G265" s="107">
        <v>2</v>
      </c>
      <c r="H265" s="86"/>
      <c r="I265" s="548"/>
      <c r="J265" s="89">
        <f>SUM(C265:I265)</f>
        <v>15</v>
      </c>
      <c r="K265" s="599"/>
      <c r="L265" s="22"/>
      <c r="M265" s="57"/>
      <c r="N265" s="32">
        <v>7</v>
      </c>
      <c r="O265" s="3" t="s">
        <v>3</v>
      </c>
      <c r="P265" s="7"/>
      <c r="Q265" s="7"/>
      <c r="U265" s="119"/>
      <c r="V265" s="22"/>
      <c r="W265" s="22"/>
    </row>
    <row r="266" spans="1:23" ht="30" x14ac:dyDescent="0.25">
      <c r="A266" s="539"/>
      <c r="B266" s="547"/>
      <c r="C266" s="602" t="s">
        <v>203</v>
      </c>
      <c r="D266" s="603"/>
      <c r="E266" s="534"/>
      <c r="F266" s="98" t="s">
        <v>204</v>
      </c>
      <c r="G266" s="106" t="s">
        <v>203</v>
      </c>
      <c r="H266" s="96"/>
      <c r="I266" s="549"/>
      <c r="J266" s="95"/>
      <c r="K266" s="599"/>
      <c r="L266" s="22"/>
      <c r="M266" s="57"/>
      <c r="N266" s="32">
        <v>8</v>
      </c>
      <c r="O266" s="3" t="s">
        <v>4</v>
      </c>
      <c r="P266" s="7"/>
      <c r="Q266" s="7"/>
      <c r="T266" s="3"/>
      <c r="U266" s="119"/>
      <c r="V266" s="22"/>
      <c r="W266" s="22"/>
    </row>
    <row r="267" spans="1:23" x14ac:dyDescent="0.25">
      <c r="A267" s="539"/>
      <c r="B267" s="535" t="s">
        <v>202</v>
      </c>
      <c r="C267" s="533" t="s">
        <v>200</v>
      </c>
      <c r="D267" s="533" t="s">
        <v>200</v>
      </c>
      <c r="E267" s="533" t="s">
        <v>200</v>
      </c>
      <c r="F267" s="533" t="s">
        <v>200</v>
      </c>
      <c r="G267" s="533" t="s">
        <v>200</v>
      </c>
      <c r="H267" s="562" t="s">
        <v>201</v>
      </c>
      <c r="I267" s="563"/>
      <c r="J267" s="89">
        <f>SUM(C267:I267)</f>
        <v>0</v>
      </c>
      <c r="K267" s="599"/>
      <c r="L267" s="22"/>
      <c r="M267" s="57"/>
      <c r="N267" s="32">
        <v>9</v>
      </c>
      <c r="O267" s="3" t="s">
        <v>5</v>
      </c>
      <c r="P267" s="4"/>
      <c r="Q267" s="4"/>
      <c r="R267" s="3"/>
      <c r="S267" s="5"/>
      <c r="T267" s="3"/>
      <c r="U267" s="163"/>
      <c r="V267" s="22"/>
      <c r="W267" s="22"/>
    </row>
    <row r="268" spans="1:23" x14ac:dyDescent="0.25">
      <c r="A268" s="539"/>
      <c r="B268" s="547"/>
      <c r="C268" s="534"/>
      <c r="D268" s="534"/>
      <c r="E268" s="534"/>
      <c r="F268" s="534"/>
      <c r="G268" s="534"/>
      <c r="H268" s="558"/>
      <c r="I268" s="559"/>
      <c r="J268" s="95"/>
      <c r="K268" s="599"/>
      <c r="L268" s="22"/>
      <c r="M268" s="57"/>
      <c r="N268" s="32">
        <v>10</v>
      </c>
      <c r="O268" s="3" t="s">
        <v>6</v>
      </c>
      <c r="P268" s="8"/>
      <c r="Q268" s="8"/>
      <c r="R268" s="3"/>
      <c r="T268" s="5"/>
      <c r="U268" s="163"/>
      <c r="V268" s="22"/>
      <c r="W268" s="22"/>
    </row>
    <row r="269" spans="1:23" x14ac:dyDescent="0.25">
      <c r="A269" s="539"/>
      <c r="B269" s="535" t="s">
        <v>1</v>
      </c>
      <c r="C269" s="604" t="s">
        <v>200</v>
      </c>
      <c r="D269" s="604" t="s">
        <v>200</v>
      </c>
      <c r="E269" s="604" t="s">
        <v>200</v>
      </c>
      <c r="F269" s="109">
        <v>2</v>
      </c>
      <c r="G269" s="604" t="s">
        <v>200</v>
      </c>
      <c r="H269" s="528"/>
      <c r="I269" s="528"/>
      <c r="J269" s="89">
        <f>SUM(C269:I269)</f>
        <v>2</v>
      </c>
      <c r="K269" s="599"/>
      <c r="L269" s="22"/>
      <c r="M269" s="57"/>
      <c r="N269" s="32">
        <v>11</v>
      </c>
      <c r="O269" s="3" t="s">
        <v>7</v>
      </c>
      <c r="P269" s="8"/>
      <c r="Q269" s="8"/>
      <c r="R269" s="3"/>
      <c r="S269" s="5"/>
      <c r="T269" s="3"/>
      <c r="U269" s="163"/>
      <c r="V269" s="22"/>
      <c r="W269" s="22"/>
    </row>
    <row r="270" spans="1:23" ht="15.75" thickBot="1" x14ac:dyDescent="0.3">
      <c r="A270" s="539"/>
      <c r="B270" s="536"/>
      <c r="C270" s="605"/>
      <c r="D270" s="605"/>
      <c r="E270" s="605"/>
      <c r="F270" s="108" t="s">
        <v>146</v>
      </c>
      <c r="G270" s="605"/>
      <c r="H270" s="529"/>
      <c r="I270" s="529"/>
      <c r="J270" s="95"/>
      <c r="K270" s="599"/>
      <c r="L270" s="22"/>
      <c r="M270" s="57"/>
      <c r="N270" s="53">
        <v>12</v>
      </c>
      <c r="O270" s="130" t="s">
        <v>8</v>
      </c>
      <c r="P270" s="131"/>
      <c r="Q270" s="131"/>
      <c r="R270" s="130"/>
      <c r="S270" s="132"/>
      <c r="T270" s="130"/>
      <c r="U270" s="163"/>
      <c r="V270" s="22"/>
      <c r="W270" s="22"/>
    </row>
    <row r="271" spans="1:23" ht="30.75" thickBot="1" x14ac:dyDescent="0.3">
      <c r="A271" s="539"/>
      <c r="B271" s="91" t="s">
        <v>198</v>
      </c>
      <c r="C271" s="90"/>
      <c r="D271" s="90"/>
      <c r="E271" s="90"/>
      <c r="F271" s="90"/>
      <c r="G271" s="90"/>
      <c r="H271" s="90"/>
      <c r="I271" s="90"/>
      <c r="J271" s="89">
        <f>SUM(C271:I271)</f>
        <v>0</v>
      </c>
      <c r="K271" s="599"/>
      <c r="L271" s="22"/>
      <c r="M271" s="57"/>
      <c r="N271" s="22"/>
      <c r="O271" s="129" t="s">
        <v>26</v>
      </c>
      <c r="P271" s="156"/>
      <c r="Q271" s="156"/>
      <c r="R271" s="156"/>
      <c r="S271" s="117"/>
      <c r="T271" s="117"/>
      <c r="U271" s="163"/>
      <c r="V271" s="22"/>
      <c r="W271" s="22"/>
    </row>
    <row r="272" spans="1:23" ht="15.75" thickBot="1" x14ac:dyDescent="0.3">
      <c r="A272" s="84"/>
      <c r="B272" s="88" t="s">
        <v>197</v>
      </c>
      <c r="C272" s="87">
        <v>2</v>
      </c>
      <c r="D272" s="87">
        <v>4</v>
      </c>
      <c r="E272" s="87">
        <v>2</v>
      </c>
      <c r="F272" s="87">
        <v>7</v>
      </c>
      <c r="G272" s="87">
        <v>4</v>
      </c>
      <c r="H272" s="86"/>
      <c r="I272" s="86"/>
      <c r="J272" s="85">
        <f>SUM(J263:J271)</f>
        <v>25</v>
      </c>
      <c r="K272" s="75"/>
      <c r="L272" s="22"/>
      <c r="M272" s="57"/>
      <c r="N272" s="15"/>
      <c r="U272" s="163"/>
      <c r="V272" s="22"/>
      <c r="W272" s="22"/>
    </row>
    <row r="273" spans="1:23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22"/>
      <c r="M273" s="57"/>
      <c r="N273" s="15"/>
      <c r="O273" s="15"/>
      <c r="P273" s="15"/>
      <c r="Q273" s="15"/>
      <c r="R273" s="15"/>
      <c r="S273" s="15"/>
      <c r="T273" s="15"/>
      <c r="U273" s="163"/>
      <c r="V273" s="22"/>
      <c r="W273" s="22"/>
    </row>
    <row r="274" spans="1:23" ht="15.75" thickBo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22"/>
      <c r="M274" s="57"/>
      <c r="N274" s="22"/>
      <c r="O274" s="22"/>
      <c r="P274" s="22"/>
      <c r="Q274" s="22"/>
      <c r="R274" s="22"/>
      <c r="S274" s="22"/>
      <c r="T274" s="22"/>
      <c r="U274" s="119"/>
      <c r="V274" s="22"/>
      <c r="W274" s="22"/>
    </row>
    <row r="275" spans="1:23" ht="15.75" thickBot="1" x14ac:dyDescent="0.3">
      <c r="A275" s="539" t="s">
        <v>213</v>
      </c>
      <c r="B275" s="105" t="s">
        <v>208</v>
      </c>
      <c r="C275" s="104" t="s">
        <v>2</v>
      </c>
      <c r="D275" s="104" t="s">
        <v>3</v>
      </c>
      <c r="E275" s="104" t="s">
        <v>4</v>
      </c>
      <c r="F275" s="104" t="s">
        <v>5</v>
      </c>
      <c r="G275" s="104" t="s">
        <v>6</v>
      </c>
      <c r="H275" s="104" t="s">
        <v>7</v>
      </c>
      <c r="I275" s="104" t="s">
        <v>8</v>
      </c>
      <c r="J275" s="103" t="s">
        <v>197</v>
      </c>
      <c r="K275" s="15"/>
      <c r="L275" s="22"/>
      <c r="M275" s="57"/>
      <c r="N275" s="22"/>
      <c r="O275" s="22"/>
      <c r="P275" s="22"/>
      <c r="Q275" s="22"/>
      <c r="R275" s="22"/>
      <c r="S275" s="22"/>
      <c r="T275" s="22"/>
      <c r="U275" s="119"/>
      <c r="V275" s="22"/>
      <c r="W275" s="22"/>
    </row>
    <row r="276" spans="1:23" x14ac:dyDescent="0.25">
      <c r="A276" s="539"/>
      <c r="B276" s="540" t="s">
        <v>207</v>
      </c>
      <c r="C276" s="102"/>
      <c r="D276" s="15">
        <v>4</v>
      </c>
      <c r="E276" s="15"/>
      <c r="F276" s="15"/>
      <c r="G276" s="15">
        <v>4</v>
      </c>
      <c r="H276" s="101"/>
      <c r="I276" s="101"/>
      <c r="J276" s="89">
        <f>SUM(C276:I276)</f>
        <v>8</v>
      </c>
      <c r="K276" s="599" t="s">
        <v>212</v>
      </c>
      <c r="L276" s="22"/>
      <c r="M276" s="57"/>
      <c r="N276" s="22"/>
      <c r="O276" s="129" t="s">
        <v>163</v>
      </c>
      <c r="P276" s="129" t="s">
        <v>11</v>
      </c>
      <c r="Q276" s="129" t="s">
        <v>12</v>
      </c>
      <c r="R276" s="129" t="s">
        <v>13</v>
      </c>
      <c r="S276" s="129" t="s">
        <v>14</v>
      </c>
      <c r="T276" s="129" t="s">
        <v>0</v>
      </c>
      <c r="U276" s="119"/>
      <c r="V276" s="22"/>
      <c r="W276" s="22"/>
    </row>
    <row r="277" spans="1:23" ht="31.5" x14ac:dyDescent="0.5">
      <c r="A277" s="539"/>
      <c r="B277" s="541"/>
      <c r="C277" s="545" t="s">
        <v>205</v>
      </c>
      <c r="D277" s="546"/>
      <c r="E277" s="546"/>
      <c r="F277" s="546"/>
      <c r="G277" s="546"/>
      <c r="H277" s="100"/>
      <c r="I277" s="100"/>
      <c r="J277" s="95"/>
      <c r="K277" s="599"/>
      <c r="L277" s="153"/>
      <c r="M277" s="159"/>
      <c r="N277" s="53">
        <v>13</v>
      </c>
      <c r="O277" s="130" t="s">
        <v>2</v>
      </c>
      <c r="P277" s="133"/>
      <c r="Q277" s="131"/>
      <c r="R277" s="130"/>
      <c r="S277" s="132"/>
      <c r="T277" s="130"/>
      <c r="U277" s="163"/>
      <c r="V277" s="22"/>
      <c r="W277" s="22"/>
    </row>
    <row r="278" spans="1:23" ht="31.5" x14ac:dyDescent="0.5">
      <c r="A278" s="539"/>
      <c r="B278" s="535" t="s">
        <v>9</v>
      </c>
      <c r="C278" s="107">
        <v>2</v>
      </c>
      <c r="D278" s="107">
        <v>4</v>
      </c>
      <c r="E278" s="533" t="s">
        <v>200</v>
      </c>
      <c r="F278" s="87">
        <v>7</v>
      </c>
      <c r="G278" s="107">
        <v>2</v>
      </c>
      <c r="H278" s="86"/>
      <c r="I278" s="548"/>
      <c r="J278" s="89">
        <f>SUM(C278:I278)</f>
        <v>15</v>
      </c>
      <c r="K278" s="599"/>
      <c r="L278" s="153"/>
      <c r="M278" s="159"/>
      <c r="N278" s="53">
        <v>14</v>
      </c>
      <c r="O278" s="130" t="s">
        <v>3</v>
      </c>
      <c r="P278" s="134"/>
      <c r="Q278" s="134"/>
      <c r="R278" s="117"/>
      <c r="S278" s="117"/>
      <c r="T278" s="117"/>
      <c r="U278" s="163"/>
      <c r="V278" s="22"/>
      <c r="W278" s="22"/>
    </row>
    <row r="279" spans="1:23" ht="30" x14ac:dyDescent="0.25">
      <c r="A279" s="539"/>
      <c r="B279" s="547"/>
      <c r="C279" s="602" t="s">
        <v>203</v>
      </c>
      <c r="D279" s="603"/>
      <c r="E279" s="534"/>
      <c r="F279" s="98" t="s">
        <v>204</v>
      </c>
      <c r="G279" s="106" t="s">
        <v>203</v>
      </c>
      <c r="H279" s="96"/>
      <c r="I279" s="549"/>
      <c r="J279" s="95"/>
      <c r="K279" s="599"/>
      <c r="L279" s="22"/>
      <c r="M279" s="57"/>
      <c r="N279" s="53">
        <v>15</v>
      </c>
      <c r="O279" s="130" t="s">
        <v>4</v>
      </c>
      <c r="P279" s="134"/>
      <c r="Q279" s="134"/>
      <c r="R279" s="117"/>
      <c r="S279" s="117"/>
      <c r="T279" s="130"/>
      <c r="U279" s="163"/>
      <c r="V279" s="22"/>
      <c r="W279" s="22"/>
    </row>
    <row r="280" spans="1:23" x14ac:dyDescent="0.25">
      <c r="A280" s="539"/>
      <c r="B280" s="535" t="s">
        <v>202</v>
      </c>
      <c r="C280" s="533" t="s">
        <v>200</v>
      </c>
      <c r="D280" s="533" t="s">
        <v>200</v>
      </c>
      <c r="E280" s="533" t="s">
        <v>200</v>
      </c>
      <c r="F280" s="533" t="s">
        <v>200</v>
      </c>
      <c r="G280" s="533" t="s">
        <v>200</v>
      </c>
      <c r="H280" s="562" t="s">
        <v>201</v>
      </c>
      <c r="I280" s="563"/>
      <c r="J280" s="89">
        <f>SUM(C280:I280)</f>
        <v>0</v>
      </c>
      <c r="K280" s="599"/>
      <c r="L280" s="22"/>
      <c r="M280" s="57"/>
      <c r="N280" s="53">
        <v>16</v>
      </c>
      <c r="O280" s="130" t="s">
        <v>5</v>
      </c>
      <c r="P280" s="131"/>
      <c r="Q280" s="131"/>
      <c r="R280" s="130"/>
      <c r="S280" s="132"/>
      <c r="T280" s="130"/>
      <c r="U280" s="163"/>
      <c r="V280" s="22"/>
      <c r="W280" s="22"/>
    </row>
    <row r="281" spans="1:23" x14ac:dyDescent="0.25">
      <c r="A281" s="539"/>
      <c r="B281" s="547"/>
      <c r="C281" s="534"/>
      <c r="D281" s="534"/>
      <c r="E281" s="534"/>
      <c r="F281" s="534"/>
      <c r="G281" s="534"/>
      <c r="H281" s="558"/>
      <c r="I281" s="559"/>
      <c r="J281" s="95"/>
      <c r="K281" s="599"/>
      <c r="L281" s="22"/>
      <c r="M281" s="57"/>
      <c r="N281" s="53">
        <v>17</v>
      </c>
      <c r="O281" s="130" t="s">
        <v>6</v>
      </c>
      <c r="P281" s="157"/>
      <c r="Q281" s="157"/>
      <c r="R281" s="130"/>
      <c r="S281" s="117"/>
      <c r="T281" s="132"/>
      <c r="U281" s="163"/>
      <c r="V281" s="22"/>
      <c r="W281" s="22"/>
    </row>
    <row r="282" spans="1:23" x14ac:dyDescent="0.25">
      <c r="A282" s="539"/>
      <c r="B282" s="535" t="s">
        <v>1</v>
      </c>
      <c r="C282" s="533" t="s">
        <v>200</v>
      </c>
      <c r="D282" s="533" t="s">
        <v>200</v>
      </c>
      <c r="E282" s="533" t="s">
        <v>200</v>
      </c>
      <c r="F282" s="94">
        <v>2</v>
      </c>
      <c r="G282" s="533" t="s">
        <v>200</v>
      </c>
      <c r="H282" s="528"/>
      <c r="I282" s="528"/>
      <c r="J282" s="89">
        <v>2</v>
      </c>
      <c r="K282" s="599"/>
      <c r="L282" s="22"/>
      <c r="M282" s="57"/>
      <c r="N282" s="53">
        <v>18</v>
      </c>
      <c r="O282" s="130" t="s">
        <v>7</v>
      </c>
      <c r="P282" s="157"/>
      <c r="Q282" s="157"/>
      <c r="R282" s="130"/>
      <c r="S282" s="132"/>
      <c r="T282" s="130"/>
      <c r="U282" s="163"/>
      <c r="V282" s="22"/>
      <c r="W282" s="22"/>
    </row>
    <row r="283" spans="1:23" ht="15.75" thickBot="1" x14ac:dyDescent="0.3">
      <c r="A283" s="539"/>
      <c r="B283" s="536"/>
      <c r="C283" s="534"/>
      <c r="D283" s="534"/>
      <c r="E283" s="534"/>
      <c r="F283" s="93" t="s">
        <v>146</v>
      </c>
      <c r="G283" s="534"/>
      <c r="H283" s="529"/>
      <c r="I283" s="529"/>
      <c r="J283" s="92">
        <v>4</v>
      </c>
      <c r="K283" s="599"/>
      <c r="L283" s="22"/>
      <c r="M283" s="57"/>
      <c r="N283" s="22">
        <v>19</v>
      </c>
      <c r="O283" s="130" t="s">
        <v>8</v>
      </c>
      <c r="P283" s="131"/>
      <c r="Q283" s="131"/>
      <c r="R283" s="130"/>
      <c r="S283" s="132"/>
      <c r="T283" s="130"/>
      <c r="U283" s="163"/>
      <c r="V283" s="22"/>
      <c r="W283" s="22"/>
    </row>
    <row r="284" spans="1:23" ht="30.75" thickBot="1" x14ac:dyDescent="0.3">
      <c r="A284" s="539"/>
      <c r="B284" s="91" t="s">
        <v>198</v>
      </c>
      <c r="C284" s="90"/>
      <c r="D284" s="90"/>
      <c r="E284" s="90"/>
      <c r="F284" s="90"/>
      <c r="G284" s="90"/>
      <c r="H284" s="90"/>
      <c r="I284" s="90"/>
      <c r="J284" s="89">
        <f>SUM(C284:I284)</f>
        <v>0</v>
      </c>
      <c r="K284" s="599"/>
      <c r="L284" s="22"/>
      <c r="M284" s="57"/>
      <c r="N284" s="22"/>
      <c r="O284" s="129" t="s">
        <v>26</v>
      </c>
      <c r="P284" s="156"/>
      <c r="Q284" s="156"/>
      <c r="R284" s="156"/>
      <c r="S284" s="117"/>
      <c r="T284" s="117"/>
      <c r="U284" s="119"/>
      <c r="V284" s="22"/>
      <c r="W284" s="22"/>
    </row>
    <row r="285" spans="1:23" ht="15.75" thickBot="1" x14ac:dyDescent="0.3">
      <c r="A285" s="84"/>
      <c r="B285" s="88" t="s">
        <v>197</v>
      </c>
      <c r="C285" s="87">
        <v>2</v>
      </c>
      <c r="D285" s="87">
        <v>4</v>
      </c>
      <c r="E285" s="87">
        <v>2</v>
      </c>
      <c r="F285" s="87">
        <v>7</v>
      </c>
      <c r="G285" s="87">
        <v>4</v>
      </c>
      <c r="H285" s="86"/>
      <c r="I285" s="86"/>
      <c r="J285" s="85">
        <f>SUM(J276:J284)</f>
        <v>29</v>
      </c>
      <c r="K285" s="75"/>
      <c r="L285" s="22"/>
      <c r="M285" s="57"/>
      <c r="N285" s="22"/>
      <c r="O285" s="22"/>
      <c r="P285" s="22"/>
      <c r="Q285" s="22"/>
      <c r="R285" s="22"/>
      <c r="S285" s="22"/>
      <c r="T285" s="22"/>
      <c r="U285" s="119"/>
      <c r="V285" s="22"/>
      <c r="W285" s="22"/>
    </row>
    <row r="286" spans="1:23" x14ac:dyDescent="0.25">
      <c r="A286" s="80"/>
      <c r="B286" s="79"/>
      <c r="C286" s="78"/>
      <c r="D286" s="78"/>
      <c r="E286" s="78"/>
      <c r="F286" s="78"/>
      <c r="G286" s="78"/>
      <c r="H286" s="77"/>
      <c r="I286" s="77"/>
      <c r="J286" s="76"/>
      <c r="K286" s="75"/>
      <c r="L286" s="22"/>
      <c r="M286" s="57"/>
      <c r="N286" s="22"/>
      <c r="O286" s="22"/>
      <c r="P286" s="22"/>
      <c r="Q286" s="22"/>
      <c r="R286" s="22"/>
      <c r="S286" s="22"/>
      <c r="T286" s="22"/>
      <c r="U286" s="119"/>
      <c r="V286" s="22"/>
      <c r="W286" s="22"/>
    </row>
    <row r="287" spans="1:23" ht="15.75" thickBot="1" x14ac:dyDescent="0.3">
      <c r="A287" s="80"/>
      <c r="B287" s="79"/>
      <c r="C287" s="78"/>
      <c r="D287" s="78"/>
      <c r="E287" s="78"/>
      <c r="F287" s="78"/>
      <c r="G287" s="78"/>
      <c r="H287" s="77"/>
      <c r="I287" s="77"/>
      <c r="J287" s="76"/>
      <c r="K287" s="75"/>
      <c r="L287" s="22"/>
      <c r="M287" s="57"/>
      <c r="N287" s="22"/>
      <c r="O287" s="22"/>
      <c r="P287" s="22"/>
      <c r="Q287" s="22"/>
      <c r="R287" s="22"/>
      <c r="S287" s="22"/>
      <c r="T287" s="22"/>
      <c r="U287" s="163"/>
      <c r="V287" s="22"/>
      <c r="W287" s="22"/>
    </row>
    <row r="288" spans="1:23" ht="15.75" thickBot="1" x14ac:dyDescent="0.3">
      <c r="A288" s="539" t="s">
        <v>211</v>
      </c>
      <c r="B288" s="105" t="s">
        <v>208</v>
      </c>
      <c r="C288" s="104" t="s">
        <v>2</v>
      </c>
      <c r="D288" s="104" t="s">
        <v>3</v>
      </c>
      <c r="E288" s="104" t="s">
        <v>4</v>
      </c>
      <c r="F288" s="104" t="s">
        <v>5</v>
      </c>
      <c r="G288" s="104" t="s">
        <v>6</v>
      </c>
      <c r="H288" s="104" t="s">
        <v>7</v>
      </c>
      <c r="I288" s="104" t="s">
        <v>8</v>
      </c>
      <c r="J288" s="103" t="s">
        <v>197</v>
      </c>
      <c r="K288" s="15"/>
      <c r="L288" s="22"/>
      <c r="M288" s="57"/>
      <c r="N288" s="22"/>
      <c r="O288" s="22"/>
      <c r="P288" s="22"/>
      <c r="Q288" s="22"/>
      <c r="R288" s="22"/>
      <c r="S288" s="22"/>
      <c r="T288" s="22"/>
      <c r="U288" s="163"/>
      <c r="V288" s="22"/>
      <c r="W288" s="22"/>
    </row>
    <row r="289" spans="1:23" x14ac:dyDescent="0.25">
      <c r="A289" s="539"/>
      <c r="B289" s="540" t="s">
        <v>207</v>
      </c>
      <c r="C289" s="102"/>
      <c r="D289" s="15">
        <v>4</v>
      </c>
      <c r="E289" s="15"/>
      <c r="F289" s="15"/>
      <c r="G289" s="15"/>
      <c r="H289" s="101"/>
      <c r="I289" s="101"/>
      <c r="J289" s="89">
        <f>SUM(C289:I289)</f>
        <v>4</v>
      </c>
      <c r="K289" s="599" t="s">
        <v>210</v>
      </c>
      <c r="L289" s="22"/>
      <c r="M289" s="57"/>
      <c r="N289" s="22"/>
      <c r="O289" s="129" t="s">
        <v>164</v>
      </c>
      <c r="P289" s="129" t="s">
        <v>11</v>
      </c>
      <c r="Q289" s="129" t="s">
        <v>12</v>
      </c>
      <c r="R289" s="129" t="s">
        <v>13</v>
      </c>
      <c r="S289" s="129" t="s">
        <v>14</v>
      </c>
      <c r="T289" s="129" t="s">
        <v>0</v>
      </c>
      <c r="U289" s="163"/>
      <c r="V289" s="22"/>
      <c r="W289" s="22"/>
    </row>
    <row r="290" spans="1:23" x14ac:dyDescent="0.25">
      <c r="A290" s="539"/>
      <c r="B290" s="541"/>
      <c r="C290" s="545" t="s">
        <v>205</v>
      </c>
      <c r="D290" s="546"/>
      <c r="E290" s="546"/>
      <c r="F290" s="546"/>
      <c r="G290" s="546"/>
      <c r="H290" s="100"/>
      <c r="I290" s="100"/>
      <c r="J290" s="95"/>
      <c r="K290" s="599"/>
      <c r="L290" s="22"/>
      <c r="M290" s="57"/>
      <c r="N290" s="22">
        <v>20</v>
      </c>
      <c r="O290" s="130" t="s">
        <v>2</v>
      </c>
      <c r="P290" s="133"/>
      <c r="Q290" s="131"/>
      <c r="R290" s="130"/>
      <c r="S290" s="132"/>
      <c r="T290" s="130"/>
      <c r="U290" s="163"/>
      <c r="V290" s="22"/>
      <c r="W290" s="22"/>
    </row>
    <row r="291" spans="1:23" x14ac:dyDescent="0.25">
      <c r="A291" s="539"/>
      <c r="B291" s="535" t="s">
        <v>9</v>
      </c>
      <c r="C291" s="99">
        <v>2</v>
      </c>
      <c r="D291" s="99">
        <v>4</v>
      </c>
      <c r="E291" s="533" t="s">
        <v>200</v>
      </c>
      <c r="F291" s="87">
        <v>7</v>
      </c>
      <c r="G291" s="99">
        <v>2</v>
      </c>
      <c r="H291" s="86"/>
      <c r="I291" s="548"/>
      <c r="J291" s="89">
        <f>SUM(C291:I291)</f>
        <v>15</v>
      </c>
      <c r="K291" s="599"/>
      <c r="L291" s="22"/>
      <c r="M291" s="57"/>
      <c r="N291" s="22"/>
      <c r="O291" s="130" t="s">
        <v>3</v>
      </c>
      <c r="P291" s="134"/>
      <c r="Q291" s="134"/>
      <c r="R291" s="117"/>
      <c r="S291" s="117"/>
      <c r="T291" s="117"/>
      <c r="U291" s="163"/>
      <c r="V291" s="22"/>
      <c r="W291" s="22"/>
    </row>
    <row r="292" spans="1:23" ht="30" x14ac:dyDescent="0.25">
      <c r="A292" s="539"/>
      <c r="B292" s="547"/>
      <c r="C292" s="550" t="s">
        <v>203</v>
      </c>
      <c r="D292" s="551"/>
      <c r="E292" s="534"/>
      <c r="F292" s="98" t="s">
        <v>204</v>
      </c>
      <c r="G292" s="97" t="s">
        <v>203</v>
      </c>
      <c r="H292" s="96"/>
      <c r="I292" s="549"/>
      <c r="J292" s="95"/>
      <c r="K292" s="599"/>
      <c r="L292" s="22"/>
      <c r="M292" s="57"/>
      <c r="N292" s="22"/>
      <c r="O292" s="130" t="s">
        <v>4</v>
      </c>
      <c r="P292" s="134"/>
      <c r="Q292" s="134"/>
      <c r="R292" s="117"/>
      <c r="S292" s="117"/>
      <c r="T292" s="130"/>
      <c r="U292" s="163"/>
      <c r="V292" s="22"/>
      <c r="W292" s="22"/>
    </row>
    <row r="293" spans="1:23" x14ac:dyDescent="0.25">
      <c r="A293" s="539"/>
      <c r="B293" s="535" t="s">
        <v>202</v>
      </c>
      <c r="C293" s="533" t="s">
        <v>200</v>
      </c>
      <c r="D293" s="533" t="s">
        <v>200</v>
      </c>
      <c r="E293" s="533" t="s">
        <v>200</v>
      </c>
      <c r="F293" s="533" t="s">
        <v>200</v>
      </c>
      <c r="G293" s="533" t="s">
        <v>200</v>
      </c>
      <c r="H293" s="562" t="s">
        <v>201</v>
      </c>
      <c r="I293" s="563"/>
      <c r="J293" s="89">
        <f>SUM(C293:I293)</f>
        <v>0</v>
      </c>
      <c r="K293" s="599"/>
      <c r="L293" s="22"/>
      <c r="M293" s="57"/>
      <c r="N293" s="22"/>
      <c r="O293" s="130" t="s">
        <v>5</v>
      </c>
      <c r="P293" s="131"/>
      <c r="Q293" s="131"/>
      <c r="R293" s="130"/>
      <c r="S293" s="132"/>
      <c r="T293" s="130"/>
      <c r="U293" s="163"/>
      <c r="V293" s="22"/>
      <c r="W293" s="22"/>
    </row>
    <row r="294" spans="1:23" x14ac:dyDescent="0.25">
      <c r="A294" s="539"/>
      <c r="B294" s="547"/>
      <c r="C294" s="534"/>
      <c r="D294" s="534"/>
      <c r="E294" s="534"/>
      <c r="F294" s="534"/>
      <c r="G294" s="534"/>
      <c r="H294" s="558"/>
      <c r="I294" s="559"/>
      <c r="J294" s="95"/>
      <c r="K294" s="599"/>
      <c r="L294" s="22"/>
      <c r="M294" s="57"/>
      <c r="N294" s="22"/>
      <c r="O294" s="130" t="s">
        <v>6</v>
      </c>
      <c r="P294" s="157"/>
      <c r="Q294" s="157"/>
      <c r="R294" s="130"/>
      <c r="S294" s="117"/>
      <c r="T294" s="132"/>
      <c r="U294" s="119"/>
      <c r="V294" s="22"/>
      <c r="W294" s="22"/>
    </row>
    <row r="295" spans="1:23" x14ac:dyDescent="0.25">
      <c r="A295" s="539"/>
      <c r="B295" s="535" t="s">
        <v>1</v>
      </c>
      <c r="C295" s="533" t="s">
        <v>200</v>
      </c>
      <c r="D295" s="533" t="s">
        <v>200</v>
      </c>
      <c r="E295" s="533" t="s">
        <v>200</v>
      </c>
      <c r="F295" s="94">
        <v>2</v>
      </c>
      <c r="G295" s="533" t="s">
        <v>200</v>
      </c>
      <c r="H295" s="528"/>
      <c r="I295" s="528"/>
      <c r="J295" s="89">
        <v>2</v>
      </c>
      <c r="K295" s="599"/>
      <c r="L295" s="22"/>
      <c r="M295" s="57"/>
      <c r="N295" s="22"/>
      <c r="O295" s="130" t="s">
        <v>7</v>
      </c>
      <c r="P295" s="157"/>
      <c r="Q295" s="157"/>
      <c r="R295" s="130"/>
      <c r="S295" s="132"/>
      <c r="T295" s="130"/>
      <c r="U295" s="119"/>
      <c r="V295" s="22"/>
      <c r="W295" s="22"/>
    </row>
    <row r="296" spans="1:23" ht="30.75" thickBot="1" x14ac:dyDescent="0.3">
      <c r="A296" s="539"/>
      <c r="B296" s="536"/>
      <c r="C296" s="534"/>
      <c r="D296" s="534"/>
      <c r="E296" s="534"/>
      <c r="F296" s="93" t="s">
        <v>199</v>
      </c>
      <c r="G296" s="534"/>
      <c r="H296" s="529"/>
      <c r="I296" s="529"/>
      <c r="J296" s="92">
        <v>4</v>
      </c>
      <c r="K296" s="599"/>
      <c r="L296" s="22"/>
      <c r="M296" s="57"/>
      <c r="N296" s="21"/>
      <c r="O296" s="130" t="s">
        <v>8</v>
      </c>
      <c r="P296" s="131"/>
      <c r="Q296" s="131"/>
      <c r="R296" s="130"/>
      <c r="S296" s="132"/>
      <c r="T296" s="130"/>
      <c r="U296" s="119"/>
      <c r="V296" s="22"/>
      <c r="W296" s="22"/>
    </row>
    <row r="297" spans="1:23" ht="30.75" thickBot="1" x14ac:dyDescent="0.3">
      <c r="A297" s="539"/>
      <c r="B297" s="91" t="s">
        <v>198</v>
      </c>
      <c r="C297" s="90"/>
      <c r="D297" s="90"/>
      <c r="E297" s="90"/>
      <c r="F297" s="90"/>
      <c r="G297" s="90"/>
      <c r="H297" s="90"/>
      <c r="I297" s="90"/>
      <c r="J297" s="89">
        <f>SUM(C297:I297)</f>
        <v>0</v>
      </c>
      <c r="K297" s="599"/>
      <c r="L297" s="22"/>
      <c r="M297" s="57"/>
      <c r="N297" s="22"/>
      <c r="O297" s="129" t="s">
        <v>26</v>
      </c>
      <c r="P297" s="156"/>
      <c r="Q297" s="156"/>
      <c r="R297" s="156"/>
      <c r="S297" s="117"/>
      <c r="T297" s="117"/>
      <c r="U297" s="119"/>
      <c r="V297" s="22"/>
      <c r="W297" s="22"/>
    </row>
    <row r="298" spans="1:23" ht="15.75" thickBot="1" x14ac:dyDescent="0.3">
      <c r="A298" s="84"/>
      <c r="B298" s="88" t="s">
        <v>197</v>
      </c>
      <c r="C298" s="87">
        <v>2</v>
      </c>
      <c r="D298" s="87">
        <v>4</v>
      </c>
      <c r="E298" s="87">
        <v>2</v>
      </c>
      <c r="F298" s="87">
        <v>7</v>
      </c>
      <c r="G298" s="87">
        <v>4</v>
      </c>
      <c r="H298" s="86"/>
      <c r="I298" s="86"/>
      <c r="J298" s="85">
        <f>SUM(J289:J297)</f>
        <v>25</v>
      </c>
      <c r="K298" s="75"/>
      <c r="L298" s="22"/>
      <c r="M298" s="57"/>
      <c r="N298" s="15"/>
      <c r="O298" s="15"/>
      <c r="P298" s="15"/>
      <c r="Q298" s="15"/>
      <c r="R298" s="15"/>
      <c r="S298" s="15"/>
      <c r="T298" s="15"/>
      <c r="U298" s="119"/>
      <c r="V298" s="22"/>
      <c r="W298" s="22"/>
    </row>
    <row r="299" spans="1:23" x14ac:dyDescent="0.25">
      <c r="A299" s="80"/>
      <c r="B299" s="79"/>
      <c r="C299" s="78"/>
      <c r="D299" s="80"/>
      <c r="E299" s="79"/>
      <c r="F299" s="78"/>
      <c r="G299" s="78"/>
      <c r="H299" s="77"/>
      <c r="I299" s="77"/>
      <c r="J299" s="76"/>
      <c r="K299" s="75"/>
      <c r="L299" s="22"/>
      <c r="M299" s="57"/>
      <c r="N299" s="15"/>
      <c r="O299" s="15"/>
      <c r="P299" s="15"/>
      <c r="Q299" s="15"/>
      <c r="R299" s="15"/>
      <c r="S299" s="15"/>
      <c r="T299" s="15"/>
      <c r="U299" s="57"/>
      <c r="V299" s="22"/>
      <c r="W299" s="22"/>
    </row>
    <row r="300" spans="1:23" ht="15.75" thickBot="1" x14ac:dyDescent="0.3">
      <c r="A300" s="80"/>
      <c r="B300" s="79"/>
      <c r="C300" s="78"/>
      <c r="D300" s="80"/>
      <c r="E300" s="79"/>
      <c r="F300" s="78"/>
      <c r="G300" s="78"/>
      <c r="H300" s="77"/>
      <c r="I300" s="77"/>
      <c r="J300" s="76"/>
      <c r="K300" s="75"/>
      <c r="L300" s="22"/>
      <c r="M300" s="57"/>
      <c r="N300" s="15"/>
      <c r="O300" s="15"/>
      <c r="P300" s="15"/>
      <c r="Q300" s="15"/>
      <c r="R300" s="15"/>
      <c r="S300" s="15"/>
      <c r="T300" s="15"/>
      <c r="U300" s="57"/>
      <c r="V300" s="22"/>
      <c r="W300" s="22"/>
    </row>
    <row r="301" spans="1:23" ht="15.75" thickBot="1" x14ac:dyDescent="0.3">
      <c r="A301" s="539" t="s">
        <v>209</v>
      </c>
      <c r="B301" s="105" t="s">
        <v>208</v>
      </c>
      <c r="C301" s="104" t="s">
        <v>2</v>
      </c>
      <c r="D301" s="104" t="s">
        <v>3</v>
      </c>
      <c r="E301" s="104" t="s">
        <v>4</v>
      </c>
      <c r="F301" s="104" t="s">
        <v>5</v>
      </c>
      <c r="G301" s="104" t="s">
        <v>6</v>
      </c>
      <c r="H301" s="104" t="s">
        <v>7</v>
      </c>
      <c r="I301" s="104" t="s">
        <v>8</v>
      </c>
      <c r="J301" s="103" t="s">
        <v>197</v>
      </c>
      <c r="K301" s="15"/>
      <c r="L301" s="22"/>
      <c r="M301" s="57"/>
      <c r="N301" s="15"/>
      <c r="O301" s="15"/>
      <c r="P301" s="15"/>
      <c r="Q301" s="15"/>
      <c r="R301" s="15"/>
      <c r="S301" s="15"/>
      <c r="T301" s="15"/>
      <c r="U301" s="57"/>
      <c r="V301" s="22"/>
      <c r="W301" s="22"/>
    </row>
    <row r="302" spans="1:23" x14ac:dyDescent="0.25">
      <c r="A302" s="539"/>
      <c r="B302" s="540" t="s">
        <v>207</v>
      </c>
      <c r="C302" s="102"/>
      <c r="D302" s="15">
        <v>2</v>
      </c>
      <c r="E302" s="15"/>
      <c r="F302" s="15"/>
      <c r="G302" s="15"/>
      <c r="H302" s="101"/>
      <c r="I302" s="101"/>
      <c r="J302" s="89">
        <f>SUM(C302:I302)</f>
        <v>2</v>
      </c>
      <c r="K302" s="599" t="s">
        <v>206</v>
      </c>
      <c r="L302" s="22"/>
      <c r="M302" s="57"/>
      <c r="N302" s="15"/>
      <c r="O302" s="129" t="s">
        <v>165</v>
      </c>
      <c r="P302" s="129" t="s">
        <v>11</v>
      </c>
      <c r="Q302" s="129" t="s">
        <v>12</v>
      </c>
      <c r="R302" s="129" t="s">
        <v>13</v>
      </c>
      <c r="S302" s="129" t="s">
        <v>14</v>
      </c>
      <c r="T302" s="129" t="s">
        <v>0</v>
      </c>
      <c r="U302" s="57"/>
      <c r="V302" s="22"/>
      <c r="W302" s="22"/>
    </row>
    <row r="303" spans="1:23" x14ac:dyDescent="0.25">
      <c r="A303" s="539"/>
      <c r="B303" s="541"/>
      <c r="C303" s="545" t="s">
        <v>205</v>
      </c>
      <c r="D303" s="546"/>
      <c r="E303" s="546"/>
      <c r="F303" s="546"/>
      <c r="G303" s="546"/>
      <c r="H303" s="100"/>
      <c r="I303" s="100"/>
      <c r="J303" s="95"/>
      <c r="K303" s="599"/>
      <c r="L303" s="22"/>
      <c r="M303" s="57"/>
      <c r="N303" s="22"/>
      <c r="O303" s="130" t="s">
        <v>2</v>
      </c>
      <c r="P303" s="133"/>
      <c r="Q303" s="131"/>
      <c r="R303" s="130"/>
      <c r="S303" s="132"/>
      <c r="T303" s="130"/>
      <c r="U303" s="57"/>
      <c r="V303" s="22"/>
      <c r="W303" s="22"/>
    </row>
    <row r="304" spans="1:23" x14ac:dyDescent="0.25">
      <c r="A304" s="539"/>
      <c r="B304" s="535" t="s">
        <v>9</v>
      </c>
      <c r="C304" s="99">
        <v>2</v>
      </c>
      <c r="D304" s="99">
        <v>4</v>
      </c>
      <c r="E304" s="533" t="s">
        <v>200</v>
      </c>
      <c r="F304" s="87">
        <v>7</v>
      </c>
      <c r="G304" s="99">
        <v>2</v>
      </c>
      <c r="H304" s="86"/>
      <c r="I304" s="548"/>
      <c r="J304" s="89">
        <f>SUM(C304:I304)</f>
        <v>15</v>
      </c>
      <c r="K304" s="599"/>
      <c r="L304" s="22"/>
      <c r="M304" s="57"/>
      <c r="N304" s="22"/>
      <c r="O304" s="130" t="s">
        <v>3</v>
      </c>
      <c r="P304" s="134"/>
      <c r="Q304" s="134"/>
      <c r="R304" s="117"/>
      <c r="S304" s="117"/>
      <c r="T304" s="117"/>
      <c r="U304" s="57"/>
      <c r="V304" s="22"/>
      <c r="W304" s="22"/>
    </row>
    <row r="305" spans="1:23" ht="30" x14ac:dyDescent="0.25">
      <c r="A305" s="539"/>
      <c r="B305" s="547"/>
      <c r="C305" s="550" t="s">
        <v>203</v>
      </c>
      <c r="D305" s="551"/>
      <c r="E305" s="534"/>
      <c r="F305" s="98" t="s">
        <v>204</v>
      </c>
      <c r="G305" s="97" t="s">
        <v>203</v>
      </c>
      <c r="H305" s="96"/>
      <c r="I305" s="549"/>
      <c r="J305" s="95"/>
      <c r="K305" s="599"/>
      <c r="L305" s="22"/>
      <c r="M305" s="57"/>
      <c r="N305" s="22"/>
      <c r="O305" s="130" t="s">
        <v>4</v>
      </c>
      <c r="P305" s="134"/>
      <c r="Q305" s="134"/>
      <c r="R305" s="117"/>
      <c r="S305" s="117"/>
      <c r="T305" s="130"/>
      <c r="U305" s="57"/>
      <c r="V305" s="22"/>
      <c r="W305" s="22"/>
    </row>
    <row r="306" spans="1:23" x14ac:dyDescent="0.25">
      <c r="A306" s="539"/>
      <c r="B306" s="535" t="s">
        <v>202</v>
      </c>
      <c r="C306" s="533" t="s">
        <v>200</v>
      </c>
      <c r="D306" s="533" t="s">
        <v>200</v>
      </c>
      <c r="E306" s="533" t="s">
        <v>200</v>
      </c>
      <c r="F306" s="533" t="s">
        <v>200</v>
      </c>
      <c r="G306" s="533" t="s">
        <v>200</v>
      </c>
      <c r="H306" s="562" t="s">
        <v>201</v>
      </c>
      <c r="I306" s="563"/>
      <c r="J306" s="89">
        <f>SUM(C306:I306)</f>
        <v>0</v>
      </c>
      <c r="K306" s="599"/>
      <c r="L306" s="22"/>
      <c r="M306" s="57"/>
      <c r="N306" s="22"/>
      <c r="O306" s="130" t="s">
        <v>5</v>
      </c>
      <c r="P306" s="131"/>
      <c r="Q306" s="131"/>
      <c r="R306" s="130"/>
      <c r="S306" s="132"/>
      <c r="T306" s="130"/>
      <c r="U306" s="57"/>
      <c r="V306" s="22"/>
      <c r="W306" s="22"/>
    </row>
    <row r="307" spans="1:23" x14ac:dyDescent="0.25">
      <c r="A307" s="539"/>
      <c r="B307" s="547"/>
      <c r="C307" s="534"/>
      <c r="D307" s="534"/>
      <c r="E307" s="534"/>
      <c r="F307" s="534"/>
      <c r="G307" s="534"/>
      <c r="H307" s="558"/>
      <c r="I307" s="559"/>
      <c r="J307" s="95"/>
      <c r="K307" s="599"/>
      <c r="L307" s="22"/>
      <c r="M307" s="57"/>
      <c r="N307" s="22"/>
      <c r="O307" s="130" t="s">
        <v>6</v>
      </c>
      <c r="P307" s="157"/>
      <c r="Q307" s="157"/>
      <c r="R307" s="130"/>
      <c r="S307" s="117"/>
      <c r="T307" s="132"/>
      <c r="U307" s="57"/>
      <c r="V307" s="22"/>
      <c r="W307" s="22"/>
    </row>
    <row r="308" spans="1:23" x14ac:dyDescent="0.25">
      <c r="A308" s="539"/>
      <c r="B308" s="535" t="s">
        <v>1</v>
      </c>
      <c r="C308" s="533" t="s">
        <v>200</v>
      </c>
      <c r="D308" s="533" t="s">
        <v>200</v>
      </c>
      <c r="E308" s="533" t="s">
        <v>200</v>
      </c>
      <c r="F308" s="94">
        <v>2</v>
      </c>
      <c r="G308" s="533" t="s">
        <v>200</v>
      </c>
      <c r="H308" s="528"/>
      <c r="I308" s="528"/>
      <c r="J308" s="89">
        <v>2</v>
      </c>
      <c r="K308" s="599"/>
      <c r="L308" s="22"/>
      <c r="M308" s="57"/>
      <c r="N308" s="22"/>
      <c r="O308" s="130" t="s">
        <v>7</v>
      </c>
      <c r="P308" s="157"/>
      <c r="Q308" s="157"/>
      <c r="R308" s="130"/>
      <c r="S308" s="132"/>
      <c r="T308" s="130"/>
      <c r="U308" s="57"/>
      <c r="V308" s="22"/>
      <c r="W308" s="22"/>
    </row>
    <row r="309" spans="1:23" ht="30.75" thickBot="1" x14ac:dyDescent="0.3">
      <c r="A309" s="539"/>
      <c r="B309" s="536"/>
      <c r="C309" s="534"/>
      <c r="D309" s="534"/>
      <c r="E309" s="534"/>
      <c r="F309" s="93" t="s">
        <v>199</v>
      </c>
      <c r="G309" s="534"/>
      <c r="H309" s="529"/>
      <c r="I309" s="529"/>
      <c r="J309" s="92">
        <v>4</v>
      </c>
      <c r="K309" s="599"/>
      <c r="L309" s="22"/>
      <c r="M309" s="57"/>
      <c r="N309" s="22"/>
      <c r="O309" s="3" t="s">
        <v>8</v>
      </c>
      <c r="P309" s="4"/>
      <c r="Q309" s="4"/>
      <c r="R309" s="3"/>
      <c r="S309" s="5"/>
      <c r="T309" s="3"/>
      <c r="U309" s="57"/>
      <c r="V309" s="22"/>
      <c r="W309" s="22"/>
    </row>
    <row r="310" spans="1:23" ht="30.75" thickBot="1" x14ac:dyDescent="0.3">
      <c r="A310" s="539"/>
      <c r="B310" s="91" t="s">
        <v>198</v>
      </c>
      <c r="C310" s="90"/>
      <c r="D310" s="90"/>
      <c r="E310" s="90"/>
      <c r="F310" s="90"/>
      <c r="G310" s="90"/>
      <c r="H310" s="90"/>
      <c r="I310" s="90"/>
      <c r="J310" s="89">
        <f>SUM(C310:I310)</f>
        <v>0</v>
      </c>
      <c r="K310" s="599"/>
      <c r="L310" s="22"/>
      <c r="M310" s="57"/>
      <c r="N310" s="22"/>
      <c r="O310" s="2" t="s">
        <v>26</v>
      </c>
      <c r="P310" s="1"/>
      <c r="Q310" s="1"/>
      <c r="R310" s="1"/>
      <c r="U310" s="57"/>
      <c r="V310" s="22"/>
      <c r="W310" s="22"/>
    </row>
    <row r="311" spans="1:23" ht="15.75" thickBot="1" x14ac:dyDescent="0.3">
      <c r="A311" s="84"/>
      <c r="B311" s="88" t="s">
        <v>197</v>
      </c>
      <c r="C311" s="87">
        <v>2</v>
      </c>
      <c r="D311" s="87">
        <v>4</v>
      </c>
      <c r="E311" s="87">
        <v>2</v>
      </c>
      <c r="F311" s="87">
        <v>7</v>
      </c>
      <c r="G311" s="87">
        <v>4</v>
      </c>
      <c r="H311" s="86"/>
      <c r="I311" s="86"/>
      <c r="J311" s="85">
        <f>SUM(J302:J310)</f>
        <v>23</v>
      </c>
      <c r="K311" s="75"/>
      <c r="L311" s="22"/>
      <c r="M311" s="57"/>
      <c r="N311" s="15"/>
      <c r="O311" s="15"/>
      <c r="P311" s="15"/>
      <c r="Q311" s="15"/>
      <c r="R311" s="15"/>
      <c r="S311" s="15"/>
      <c r="T311" s="15"/>
      <c r="U311" s="57"/>
      <c r="V311" s="22"/>
      <c r="W311" s="22"/>
    </row>
    <row r="312" spans="1:23" x14ac:dyDescent="0.25">
      <c r="A312" s="84"/>
      <c r="B312" s="83"/>
      <c r="C312" s="78"/>
      <c r="D312" s="78"/>
      <c r="E312" s="78"/>
      <c r="F312" s="78"/>
      <c r="G312" s="78"/>
      <c r="H312" s="82"/>
      <c r="I312" s="82"/>
      <c r="J312" s="81"/>
      <c r="K312" s="75"/>
      <c r="L312" s="22"/>
      <c r="M312" s="57"/>
      <c r="N312" s="15"/>
      <c r="O312" s="15"/>
      <c r="P312" s="15"/>
      <c r="Q312" s="15"/>
      <c r="R312" s="15"/>
      <c r="S312" s="15"/>
      <c r="T312" s="15"/>
      <c r="U312" s="57"/>
      <c r="V312" s="22"/>
      <c r="W312" s="22"/>
    </row>
    <row r="313" spans="1:23" x14ac:dyDescent="0.25">
      <c r="A313" s="15"/>
      <c r="B313" s="15"/>
      <c r="C313" s="15"/>
      <c r="D313" s="15"/>
      <c r="E313" s="15"/>
      <c r="F313" s="15"/>
      <c r="G313" s="15"/>
      <c r="H313" s="22"/>
      <c r="I313" s="22"/>
      <c r="J313" s="22"/>
      <c r="K313" s="22"/>
      <c r="L313" s="22"/>
      <c r="M313" s="57"/>
      <c r="N313" s="15"/>
      <c r="O313" s="15"/>
      <c r="P313" s="15"/>
      <c r="Q313" s="15"/>
      <c r="R313" s="15"/>
      <c r="S313" s="15"/>
      <c r="T313" s="15"/>
      <c r="U313" s="57"/>
      <c r="V313" s="22"/>
      <c r="W313" s="22"/>
    </row>
    <row r="314" spans="1:23" x14ac:dyDescent="0.25">
      <c r="A314" s="15"/>
      <c r="B314" s="15"/>
      <c r="C314" s="15"/>
      <c r="D314" s="15"/>
      <c r="E314" s="15"/>
      <c r="F314" s="15"/>
      <c r="G314" s="15"/>
      <c r="H314" s="22"/>
      <c r="I314" s="22"/>
      <c r="J314" s="22"/>
      <c r="K314" s="22"/>
      <c r="L314" s="22"/>
      <c r="M314" s="57"/>
      <c r="N314" s="15"/>
      <c r="O314" s="15"/>
      <c r="P314" s="15"/>
      <c r="Q314" s="15"/>
      <c r="R314" s="15"/>
      <c r="S314" s="15"/>
      <c r="T314" s="15"/>
      <c r="U314" s="57"/>
      <c r="V314" s="22"/>
      <c r="W314" s="22"/>
    </row>
    <row r="315" spans="1:23" x14ac:dyDescent="0.25">
      <c r="A315" s="15"/>
      <c r="B315" s="15"/>
      <c r="C315" s="15"/>
      <c r="D315" s="15"/>
      <c r="E315" s="15"/>
      <c r="F315" s="15"/>
      <c r="G315" s="15"/>
      <c r="H315" s="22"/>
      <c r="I315" s="22"/>
      <c r="J315" s="22"/>
      <c r="K315" s="22"/>
      <c r="L315" s="22"/>
      <c r="M315" s="57"/>
      <c r="N315" s="15"/>
      <c r="O315" s="15"/>
      <c r="P315" s="15"/>
      <c r="Q315" s="15"/>
      <c r="R315" s="15"/>
      <c r="S315" s="15"/>
      <c r="T315" s="15"/>
      <c r="U315" s="57"/>
      <c r="V315" s="22"/>
      <c r="W315" s="22"/>
    </row>
    <row r="316" spans="1:23" ht="31.5" x14ac:dyDescent="0.5">
      <c r="A316" s="530" t="s">
        <v>312</v>
      </c>
      <c r="B316" s="530"/>
      <c r="C316" s="530"/>
      <c r="D316" s="530"/>
      <c r="E316" s="530"/>
      <c r="F316" s="530"/>
      <c r="G316" s="530"/>
      <c r="H316" s="530"/>
      <c r="I316" s="530"/>
      <c r="J316" s="530"/>
      <c r="K316" s="530"/>
      <c r="L316" s="530"/>
      <c r="M316" s="530"/>
      <c r="N316" s="152"/>
      <c r="O316" s="152"/>
      <c r="P316" s="152"/>
      <c r="Q316" s="152"/>
      <c r="R316" s="152"/>
      <c r="S316" s="152"/>
      <c r="T316" s="152"/>
      <c r="U316" s="57"/>
      <c r="V316" s="22"/>
      <c r="W316" s="22"/>
    </row>
    <row r="317" spans="1:23" ht="31.5" x14ac:dyDescent="0.5">
      <c r="A317" s="530"/>
      <c r="B317" s="530"/>
      <c r="C317" s="530"/>
      <c r="D317" s="530"/>
      <c r="E317" s="530"/>
      <c r="F317" s="530"/>
      <c r="G317" s="530"/>
      <c r="H317" s="530"/>
      <c r="I317" s="530"/>
      <c r="J317" s="530"/>
      <c r="K317" s="530"/>
      <c r="L317" s="530"/>
      <c r="M317" s="530"/>
      <c r="N317" s="152"/>
      <c r="O317" s="152"/>
      <c r="P317" s="152"/>
      <c r="Q317" s="152"/>
      <c r="R317" s="152"/>
      <c r="S317" s="152"/>
      <c r="T317" s="152"/>
      <c r="U317" s="57"/>
      <c r="V317" s="22"/>
      <c r="W317" s="22"/>
    </row>
    <row r="318" spans="1:23" ht="75" x14ac:dyDescent="0.25">
      <c r="A318" s="137" t="s">
        <v>252</v>
      </c>
      <c r="B318" s="13" t="s">
        <v>302</v>
      </c>
      <c r="C318" s="13" t="s">
        <v>11</v>
      </c>
      <c r="D318" s="13" t="s">
        <v>12</v>
      </c>
      <c r="E318" s="13" t="s">
        <v>13</v>
      </c>
      <c r="F318" s="13" t="s">
        <v>14</v>
      </c>
      <c r="G318" s="13" t="s">
        <v>0</v>
      </c>
      <c r="H318" s="22"/>
      <c r="I318" s="15"/>
      <c r="J318" s="57" t="s">
        <v>187</v>
      </c>
      <c r="K318" s="57" t="s">
        <v>186</v>
      </c>
      <c r="L318" s="57"/>
      <c r="M318" s="57"/>
      <c r="N318" s="22"/>
      <c r="O318" s="13" t="s">
        <v>302</v>
      </c>
      <c r="P318" s="13" t="s">
        <v>11</v>
      </c>
      <c r="Q318" s="13" t="s">
        <v>12</v>
      </c>
      <c r="R318" s="13" t="s">
        <v>13</v>
      </c>
      <c r="S318" s="13" t="s">
        <v>14</v>
      </c>
      <c r="T318" s="13" t="s">
        <v>0</v>
      </c>
      <c r="U318" s="57"/>
      <c r="V318" s="22"/>
      <c r="W318" s="22"/>
    </row>
    <row r="319" spans="1:23" ht="45" x14ac:dyDescent="0.25">
      <c r="A319" s="137"/>
      <c r="B319" s="13"/>
      <c r="C319" s="13"/>
      <c r="D319" s="13"/>
      <c r="E319" s="13"/>
      <c r="F319" s="13"/>
      <c r="G319" s="13"/>
      <c r="H319" s="22"/>
      <c r="I319" s="15"/>
      <c r="J319" s="57" t="s">
        <v>182</v>
      </c>
      <c r="K319" s="57" t="s">
        <v>181</v>
      </c>
      <c r="L319" s="57"/>
      <c r="M319" s="57"/>
      <c r="N319" s="22"/>
      <c r="O319" s="13"/>
      <c r="P319" s="13"/>
      <c r="Q319" s="13"/>
      <c r="R319" s="13"/>
      <c r="S319" s="13"/>
      <c r="T319" s="13"/>
      <c r="U319" s="57"/>
      <c r="V319" s="22"/>
      <c r="W319" s="22"/>
    </row>
    <row r="320" spans="1:23" ht="105" x14ac:dyDescent="0.25">
      <c r="A320" s="137"/>
      <c r="B320" s="15"/>
      <c r="C320" s="15"/>
      <c r="D320" s="13"/>
      <c r="E320" s="13"/>
      <c r="F320" s="13"/>
      <c r="G320" s="13"/>
      <c r="H320" s="22"/>
      <c r="I320" s="15"/>
      <c r="J320" s="57" t="s">
        <v>180</v>
      </c>
      <c r="K320" s="57" t="s">
        <v>179</v>
      </c>
      <c r="L320" s="57"/>
      <c r="M320" s="57"/>
      <c r="N320" s="22"/>
      <c r="O320" s="13"/>
      <c r="P320" s="13"/>
      <c r="Q320" s="13"/>
      <c r="R320" s="13"/>
      <c r="S320" s="13"/>
      <c r="T320" s="13"/>
      <c r="U320" s="57"/>
      <c r="V320" s="22"/>
      <c r="W320" s="22"/>
    </row>
    <row r="321" spans="1:23" ht="18" customHeight="1" x14ac:dyDescent="0.25">
      <c r="A321" s="149"/>
      <c r="B321" s="57"/>
      <c r="C321" s="57"/>
      <c r="D321" s="59"/>
      <c r="E321" s="59"/>
      <c r="F321" s="59"/>
      <c r="G321" s="59"/>
      <c r="H321" s="57"/>
      <c r="I321" s="57"/>
      <c r="J321" s="57" t="s">
        <v>309</v>
      </c>
      <c r="K321" s="57" t="s">
        <v>310</v>
      </c>
      <c r="L321" s="57"/>
      <c r="M321" s="57"/>
      <c r="N321" s="57"/>
      <c r="O321" s="59"/>
      <c r="P321" s="59"/>
      <c r="Q321" s="59"/>
      <c r="R321" s="59"/>
      <c r="S321" s="59"/>
      <c r="T321" s="59"/>
      <c r="U321" s="57"/>
      <c r="V321" s="22"/>
      <c r="W321" s="22"/>
    </row>
    <row r="322" spans="1:23" x14ac:dyDescent="0.25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22"/>
      <c r="W322" s="22"/>
    </row>
    <row r="323" spans="1:23" x14ac:dyDescent="0.25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22"/>
      <c r="W323" s="22"/>
    </row>
    <row r="324" spans="1:23" x14ac:dyDescent="0.25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22"/>
      <c r="W324" s="22"/>
    </row>
    <row r="325" spans="1:23" x14ac:dyDescent="0.25">
      <c r="A325" s="607"/>
      <c r="B325" s="607"/>
      <c r="C325" s="607"/>
      <c r="D325" s="607"/>
      <c r="E325" s="607"/>
      <c r="F325" s="607"/>
      <c r="G325" s="607"/>
      <c r="H325" s="607"/>
      <c r="I325" s="607"/>
      <c r="J325" s="607"/>
      <c r="K325" s="607"/>
      <c r="L325" s="607"/>
      <c r="M325" s="607"/>
      <c r="N325" s="607"/>
      <c r="O325" s="607"/>
      <c r="P325" s="607"/>
      <c r="Q325" s="607"/>
      <c r="R325" s="607"/>
      <c r="S325" s="607"/>
      <c r="T325" s="607"/>
      <c r="U325" s="607"/>
      <c r="V325" s="22"/>
      <c r="W325" s="22"/>
    </row>
    <row r="326" spans="1:23" x14ac:dyDescent="0.25">
      <c r="A326" s="15"/>
      <c r="B326" s="15"/>
      <c r="C326" s="15"/>
      <c r="D326" s="15"/>
      <c r="E326" s="15"/>
      <c r="F326" s="15"/>
      <c r="G326" s="15"/>
      <c r="H326" s="22"/>
      <c r="I326" s="22"/>
      <c r="J326" s="22"/>
      <c r="K326" s="22"/>
      <c r="L326" s="22"/>
      <c r="M326" s="22"/>
      <c r="N326" s="22"/>
      <c r="O326" s="15"/>
      <c r="P326" s="15"/>
      <c r="Q326" s="15"/>
      <c r="R326" s="15"/>
      <c r="S326" s="15"/>
      <c r="T326" s="15"/>
      <c r="U326" s="15"/>
      <c r="V326" s="22"/>
      <c r="W326" s="22"/>
    </row>
    <row r="327" spans="1:23" x14ac:dyDescent="0.25">
      <c r="A327" s="531"/>
      <c r="B327" s="531"/>
      <c r="C327" s="531"/>
      <c r="D327" s="531"/>
      <c r="E327" s="531"/>
      <c r="F327" s="531"/>
      <c r="G327" s="531"/>
      <c r="H327" s="531"/>
      <c r="I327" s="531"/>
      <c r="J327" s="531"/>
      <c r="K327" s="531"/>
      <c r="L327" s="188"/>
      <c r="M327" s="188"/>
      <c r="N327" s="188"/>
      <c r="O327" s="188"/>
      <c r="P327" s="188"/>
      <c r="Q327" s="188"/>
      <c r="R327" s="188"/>
      <c r="S327" s="188"/>
      <c r="T327" s="188"/>
      <c r="U327" s="15"/>
      <c r="V327" s="22"/>
      <c r="W327" s="22"/>
    </row>
    <row r="328" spans="1:23" x14ac:dyDescent="0.25">
      <c r="A328" s="531"/>
      <c r="B328" s="531"/>
      <c r="C328" s="531"/>
      <c r="D328" s="531"/>
      <c r="E328" s="531"/>
      <c r="F328" s="531"/>
      <c r="G328" s="531"/>
      <c r="H328" s="531"/>
      <c r="I328" s="531"/>
      <c r="J328" s="531"/>
      <c r="K328" s="531"/>
      <c r="L328" s="188"/>
      <c r="M328" s="188"/>
      <c r="N328" s="188"/>
      <c r="O328" s="188"/>
      <c r="P328" s="188"/>
      <c r="Q328" s="188"/>
      <c r="R328" s="188"/>
      <c r="S328" s="188"/>
      <c r="T328" s="188"/>
      <c r="U328" s="15"/>
      <c r="V328" s="22"/>
      <c r="W328" s="22"/>
    </row>
    <row r="329" spans="1:23" x14ac:dyDescent="0.25">
      <c r="A329" s="188"/>
      <c r="B329" s="188"/>
      <c r="C329" s="188"/>
      <c r="D329" s="188"/>
      <c r="E329" s="188"/>
      <c r="F329" s="188"/>
      <c r="G329" s="188"/>
      <c r="H329" s="188"/>
      <c r="I329" s="188"/>
      <c r="J329" s="188"/>
      <c r="K329" s="188"/>
      <c r="L329" s="188"/>
      <c r="M329" s="188"/>
      <c r="N329" s="188"/>
      <c r="O329" s="188"/>
      <c r="P329" s="188"/>
      <c r="Q329" s="188"/>
      <c r="R329" s="188"/>
      <c r="S329" s="188"/>
      <c r="T329" s="188"/>
      <c r="U329" s="15"/>
      <c r="V329" s="15"/>
      <c r="W329" s="22"/>
    </row>
    <row r="330" spans="1:23" x14ac:dyDescent="0.25">
      <c r="A330" s="189"/>
      <c r="B330" s="76"/>
      <c r="C330" s="190"/>
      <c r="D330" s="190"/>
      <c r="E330" s="190"/>
      <c r="F330" s="190"/>
      <c r="G330" s="190"/>
      <c r="H330" s="190"/>
      <c r="I330" s="190"/>
      <c r="J330" s="190"/>
      <c r="K330" s="188"/>
      <c r="L330" s="188"/>
      <c r="M330" s="188"/>
      <c r="N330" s="188"/>
      <c r="O330" s="188"/>
      <c r="P330" s="188"/>
      <c r="Q330" s="188"/>
      <c r="R330" s="188"/>
      <c r="S330" s="188"/>
      <c r="T330" s="188"/>
      <c r="U330" s="15"/>
      <c r="V330" s="15"/>
      <c r="W330" s="22"/>
    </row>
    <row r="331" spans="1:23" x14ac:dyDescent="0.25">
      <c r="A331" s="189"/>
      <c r="B331" s="191"/>
      <c r="C331" s="188"/>
      <c r="D331" s="188"/>
      <c r="E331" s="188"/>
      <c r="F331" s="188"/>
      <c r="G331" s="188"/>
      <c r="H331" s="192"/>
      <c r="I331" s="192"/>
      <c r="J331" s="76"/>
      <c r="K331" s="193"/>
      <c r="L331" s="188"/>
      <c r="M331" s="188"/>
      <c r="N331" s="188"/>
      <c r="O331" s="188"/>
      <c r="P331" s="188"/>
      <c r="Q331" s="188"/>
      <c r="R331" s="188"/>
      <c r="S331" s="188"/>
      <c r="T331" s="188"/>
      <c r="U331" s="15"/>
      <c r="V331" s="15"/>
      <c r="W331" s="22"/>
    </row>
    <row r="332" spans="1:23" x14ac:dyDescent="0.25">
      <c r="A332" s="189"/>
      <c r="B332" s="191"/>
      <c r="C332" s="192"/>
      <c r="D332" s="192"/>
      <c r="E332" s="192"/>
      <c r="F332" s="192"/>
      <c r="G332" s="192"/>
      <c r="H332" s="188"/>
      <c r="I332" s="188"/>
      <c r="J332" s="76"/>
      <c r="K332" s="193"/>
      <c r="L332" s="188"/>
      <c r="M332" s="188"/>
      <c r="N332" s="188"/>
      <c r="O332" s="188"/>
      <c r="P332" s="188"/>
      <c r="Q332" s="188"/>
      <c r="R332" s="188"/>
      <c r="S332" s="188"/>
      <c r="T332" s="188"/>
      <c r="U332" s="15"/>
      <c r="V332" s="15"/>
      <c r="W332" s="22"/>
    </row>
    <row r="333" spans="1:23" x14ac:dyDescent="0.25">
      <c r="A333" s="189"/>
      <c r="B333" s="79"/>
      <c r="C333" s="77"/>
      <c r="D333" s="77"/>
      <c r="E333" s="192"/>
      <c r="F333" s="77"/>
      <c r="G333" s="77"/>
      <c r="H333" s="77"/>
      <c r="I333" s="192"/>
      <c r="J333" s="76"/>
      <c r="K333" s="193"/>
      <c r="L333" s="188"/>
      <c r="M333" s="188"/>
      <c r="N333" s="188"/>
      <c r="O333" s="188"/>
      <c r="P333" s="188"/>
      <c r="Q333" s="188"/>
      <c r="R333" s="188"/>
      <c r="S333" s="188"/>
      <c r="T333" s="188"/>
      <c r="U333" s="15"/>
      <c r="V333" s="15"/>
      <c r="W333" s="22"/>
    </row>
    <row r="334" spans="1:23" x14ac:dyDescent="0.25">
      <c r="A334" s="189"/>
      <c r="B334" s="79"/>
      <c r="C334" s="188"/>
      <c r="D334" s="188"/>
      <c r="E334" s="192"/>
      <c r="F334" s="76"/>
      <c r="G334" s="76"/>
      <c r="H334" s="76"/>
      <c r="I334" s="192"/>
      <c r="J334" s="76"/>
      <c r="K334" s="193"/>
      <c r="L334" s="188"/>
      <c r="M334" s="188"/>
      <c r="N334" s="188"/>
      <c r="O334" s="188"/>
      <c r="P334" s="188"/>
      <c r="Q334" s="188"/>
      <c r="R334" s="188"/>
      <c r="S334" s="188"/>
      <c r="T334" s="188"/>
      <c r="U334" s="15"/>
      <c r="V334" s="15"/>
      <c r="W334" s="22"/>
    </row>
    <row r="335" spans="1:23" x14ac:dyDescent="0.25">
      <c r="A335" s="189"/>
      <c r="B335" s="79"/>
      <c r="C335" s="192"/>
      <c r="D335" s="192"/>
      <c r="E335" s="192"/>
      <c r="F335" s="192"/>
      <c r="G335" s="192"/>
      <c r="H335" s="194"/>
      <c r="I335" s="194"/>
      <c r="J335" s="76"/>
      <c r="K335" s="193"/>
      <c r="L335" s="188"/>
      <c r="M335" s="188"/>
      <c r="N335" s="188"/>
      <c r="O335" s="188"/>
      <c r="P335" s="188"/>
      <c r="Q335" s="188"/>
      <c r="R335" s="188"/>
      <c r="S335" s="188"/>
      <c r="T335" s="188"/>
      <c r="U335" s="15"/>
      <c r="V335" s="15"/>
      <c r="W335" s="22"/>
    </row>
    <row r="336" spans="1:23" x14ac:dyDescent="0.25">
      <c r="A336" s="189"/>
      <c r="B336" s="79"/>
      <c r="C336" s="192"/>
      <c r="D336" s="192"/>
      <c r="E336" s="192"/>
      <c r="F336" s="192"/>
      <c r="G336" s="192"/>
      <c r="H336" s="194"/>
      <c r="I336" s="194"/>
      <c r="J336" s="76"/>
      <c r="K336" s="193"/>
      <c r="L336" s="188"/>
      <c r="M336" s="188"/>
      <c r="N336" s="188"/>
      <c r="O336" s="188"/>
      <c r="P336" s="188"/>
      <c r="Q336" s="188"/>
      <c r="R336" s="188"/>
      <c r="S336" s="188"/>
      <c r="T336" s="188"/>
      <c r="U336" s="15"/>
      <c r="V336" s="15"/>
      <c r="W336" s="22"/>
    </row>
    <row r="337" spans="1:23" x14ac:dyDescent="0.25">
      <c r="A337" s="189"/>
      <c r="B337" s="79"/>
      <c r="C337" s="192"/>
      <c r="D337" s="192"/>
      <c r="E337" s="192"/>
      <c r="F337" s="195"/>
      <c r="G337" s="192"/>
      <c r="H337" s="194"/>
      <c r="I337" s="194"/>
      <c r="J337" s="76"/>
      <c r="K337" s="193"/>
      <c r="L337" s="188"/>
      <c r="M337" s="188"/>
      <c r="N337" s="188"/>
      <c r="O337" s="188"/>
      <c r="P337" s="188"/>
      <c r="Q337" s="188"/>
      <c r="R337" s="188"/>
      <c r="S337" s="188"/>
      <c r="T337" s="188"/>
      <c r="U337" s="15"/>
      <c r="V337" s="15"/>
      <c r="W337" s="22"/>
    </row>
    <row r="338" spans="1:23" x14ac:dyDescent="0.25">
      <c r="A338" s="189"/>
      <c r="B338" s="79"/>
      <c r="C338" s="192"/>
      <c r="D338" s="192"/>
      <c r="E338" s="192"/>
      <c r="F338" s="196"/>
      <c r="G338" s="192"/>
      <c r="H338" s="194"/>
      <c r="I338" s="194"/>
      <c r="J338" s="76"/>
      <c r="K338" s="193"/>
      <c r="L338" s="188"/>
      <c r="M338" s="188"/>
      <c r="N338" s="188"/>
      <c r="O338" s="188"/>
      <c r="P338" s="188"/>
      <c r="Q338" s="188"/>
      <c r="R338" s="188"/>
      <c r="S338" s="188"/>
      <c r="T338" s="188"/>
      <c r="U338" s="15"/>
      <c r="V338" s="15"/>
      <c r="W338" s="22"/>
    </row>
    <row r="339" spans="1:23" x14ac:dyDescent="0.25">
      <c r="A339" s="189"/>
      <c r="B339" s="79"/>
      <c r="C339" s="77"/>
      <c r="D339" s="77"/>
      <c r="E339" s="77"/>
      <c r="F339" s="77"/>
      <c r="G339" s="77"/>
      <c r="H339" s="77"/>
      <c r="I339" s="77"/>
      <c r="J339" s="76"/>
      <c r="K339" s="193"/>
      <c r="L339" s="188"/>
      <c r="M339" s="188"/>
      <c r="N339" s="188"/>
      <c r="O339" s="188"/>
      <c r="P339" s="188"/>
      <c r="Q339" s="188"/>
      <c r="R339" s="188"/>
      <c r="S339" s="188"/>
      <c r="T339" s="188"/>
      <c r="U339" s="15"/>
      <c r="V339" s="15"/>
      <c r="W339" s="22"/>
    </row>
    <row r="340" spans="1:23" x14ac:dyDescent="0.25">
      <c r="A340" s="197"/>
      <c r="B340" s="79"/>
      <c r="C340" s="77"/>
      <c r="D340" s="77"/>
      <c r="E340" s="77"/>
      <c r="F340" s="77"/>
      <c r="G340" s="77"/>
      <c r="H340" s="77"/>
      <c r="I340" s="77"/>
      <c r="J340" s="76"/>
      <c r="K340" s="77"/>
      <c r="L340" s="188"/>
      <c r="M340" s="188"/>
      <c r="N340" s="188"/>
      <c r="O340" s="188"/>
      <c r="P340" s="188"/>
      <c r="Q340" s="188"/>
      <c r="R340" s="188"/>
      <c r="S340" s="188"/>
      <c r="T340" s="188"/>
      <c r="U340" s="15"/>
      <c r="V340" s="15"/>
      <c r="W340" s="22"/>
    </row>
    <row r="341" spans="1:23" x14ac:dyDescent="0.25">
      <c r="A341" s="197"/>
      <c r="B341" s="79"/>
      <c r="C341" s="77"/>
      <c r="D341" s="77"/>
      <c r="E341" s="77"/>
      <c r="F341" s="77"/>
      <c r="G341" s="77"/>
      <c r="H341" s="77"/>
      <c r="I341" s="77"/>
      <c r="J341" s="76"/>
      <c r="K341" s="77"/>
      <c r="L341" s="188"/>
      <c r="M341" s="188"/>
      <c r="N341" s="188"/>
      <c r="O341" s="188"/>
      <c r="P341" s="188"/>
      <c r="Q341" s="188"/>
      <c r="R341" s="188"/>
      <c r="S341" s="188"/>
      <c r="T341" s="188"/>
      <c r="U341" s="15"/>
      <c r="V341" s="15"/>
      <c r="W341" s="22"/>
    </row>
    <row r="342" spans="1:23" x14ac:dyDescent="0.25">
      <c r="A342" s="197"/>
      <c r="B342" s="79"/>
      <c r="C342" s="77"/>
      <c r="D342" s="197"/>
      <c r="E342" s="79"/>
      <c r="F342" s="77"/>
      <c r="G342" s="77"/>
      <c r="H342" s="77"/>
      <c r="I342" s="77"/>
      <c r="J342" s="76"/>
      <c r="K342" s="77"/>
      <c r="L342" s="188"/>
      <c r="M342" s="188"/>
      <c r="N342" s="188"/>
      <c r="O342" s="188"/>
      <c r="P342" s="188"/>
      <c r="Q342" s="188"/>
      <c r="R342" s="188"/>
      <c r="S342" s="188"/>
      <c r="T342" s="188"/>
      <c r="U342" s="15"/>
      <c r="V342" s="15"/>
      <c r="W342" s="22"/>
    </row>
    <row r="343" spans="1:23" x14ac:dyDescent="0.25">
      <c r="A343" s="188"/>
      <c r="B343" s="188"/>
      <c r="C343" s="188"/>
      <c r="D343" s="188"/>
      <c r="E343" s="188"/>
      <c r="F343" s="188"/>
      <c r="G343" s="188"/>
      <c r="H343" s="188"/>
      <c r="I343" s="188"/>
      <c r="J343" s="188"/>
      <c r="K343" s="188"/>
      <c r="L343" s="188"/>
      <c r="M343" s="188"/>
      <c r="N343" s="188"/>
      <c r="O343" s="188"/>
      <c r="P343" s="188"/>
      <c r="Q343" s="188"/>
      <c r="R343" s="188"/>
      <c r="S343" s="188"/>
      <c r="T343" s="188"/>
      <c r="U343" s="15"/>
      <c r="V343" s="15"/>
      <c r="W343" s="22"/>
    </row>
    <row r="344" spans="1:23" x14ac:dyDescent="0.25">
      <c r="A344" s="531"/>
      <c r="B344" s="531"/>
      <c r="C344" s="531"/>
      <c r="D344" s="531"/>
      <c r="E344" s="531"/>
      <c r="F344" s="531"/>
      <c r="G344" s="531"/>
      <c r="H344" s="531"/>
      <c r="I344" s="531"/>
      <c r="J344" s="531"/>
      <c r="K344" s="531"/>
      <c r="L344" s="188"/>
      <c r="M344" s="188"/>
      <c r="N344" s="188"/>
      <c r="O344" s="188"/>
      <c r="P344" s="188"/>
      <c r="Q344" s="188"/>
      <c r="R344" s="188"/>
      <c r="S344" s="188"/>
      <c r="T344" s="188"/>
      <c r="U344" s="15"/>
      <c r="V344" s="15"/>
      <c r="W344" s="22"/>
    </row>
    <row r="345" spans="1:23" x14ac:dyDescent="0.25">
      <c r="A345" s="531"/>
      <c r="B345" s="531"/>
      <c r="C345" s="531"/>
      <c r="D345" s="531"/>
      <c r="E345" s="531"/>
      <c r="F345" s="531"/>
      <c r="G345" s="531"/>
      <c r="H345" s="531"/>
      <c r="I345" s="531"/>
      <c r="J345" s="531"/>
      <c r="K345" s="531"/>
      <c r="L345" s="188"/>
      <c r="M345" s="188"/>
      <c r="N345" s="188"/>
      <c r="O345" s="188"/>
      <c r="P345" s="188"/>
      <c r="Q345" s="188"/>
      <c r="R345" s="188"/>
      <c r="S345" s="188"/>
      <c r="T345" s="188"/>
      <c r="U345" s="15"/>
      <c r="V345" s="15"/>
      <c r="W345" s="22"/>
    </row>
    <row r="346" spans="1:23" x14ac:dyDescent="0.25">
      <c r="A346" s="188"/>
      <c r="B346" s="188"/>
      <c r="C346" s="188"/>
      <c r="D346" s="188"/>
      <c r="E346" s="188"/>
      <c r="F346" s="188"/>
      <c r="G346" s="188"/>
      <c r="H346" s="188"/>
      <c r="I346" s="188"/>
      <c r="J346" s="188"/>
      <c r="K346" s="188"/>
      <c r="L346" s="188"/>
      <c r="M346" s="188"/>
      <c r="N346" s="188"/>
      <c r="O346" s="188"/>
      <c r="P346" s="188"/>
      <c r="Q346" s="188"/>
      <c r="R346" s="188"/>
      <c r="S346" s="188"/>
      <c r="T346" s="188"/>
      <c r="U346" s="15"/>
      <c r="V346" s="15"/>
      <c r="W346" s="22"/>
    </row>
    <row r="347" spans="1:23" x14ac:dyDescent="0.25">
      <c r="A347" s="188"/>
      <c r="B347" s="188"/>
      <c r="C347" s="79"/>
      <c r="D347" s="79"/>
      <c r="E347" s="79"/>
      <c r="F347" s="79"/>
      <c r="G347" s="79"/>
      <c r="H347" s="79"/>
      <c r="I347" s="188"/>
      <c r="J347" s="188"/>
      <c r="K347" s="188"/>
      <c r="L347" s="79"/>
      <c r="M347" s="188"/>
      <c r="N347" s="188"/>
      <c r="O347" s="188"/>
      <c r="P347" s="188"/>
      <c r="Q347" s="188"/>
      <c r="R347" s="188"/>
      <c r="S347" s="188"/>
      <c r="T347" s="188"/>
      <c r="U347" s="15"/>
      <c r="V347" s="15"/>
      <c r="W347" s="22"/>
    </row>
    <row r="348" spans="1:23" x14ac:dyDescent="0.25">
      <c r="A348" s="188"/>
      <c r="B348" s="188"/>
      <c r="C348" s="188"/>
      <c r="D348" s="188"/>
      <c r="E348" s="188"/>
      <c r="F348" s="188"/>
      <c r="G348" s="188"/>
      <c r="H348" s="188"/>
      <c r="I348" s="188"/>
      <c r="J348" s="188"/>
      <c r="K348" s="188"/>
      <c r="L348" s="188"/>
      <c r="M348" s="188"/>
      <c r="N348" s="188"/>
      <c r="O348" s="188"/>
      <c r="P348" s="188"/>
      <c r="Q348" s="188"/>
      <c r="R348" s="188"/>
      <c r="S348" s="188"/>
      <c r="T348" s="188"/>
      <c r="U348" s="15"/>
      <c r="V348" s="15"/>
      <c r="W348" s="22"/>
    </row>
    <row r="349" spans="1:23" x14ac:dyDescent="0.25">
      <c r="A349" s="188"/>
      <c r="B349" s="188"/>
      <c r="C349" s="188"/>
      <c r="D349" s="188"/>
      <c r="E349" s="188"/>
      <c r="F349" s="188"/>
      <c r="G349" s="188"/>
      <c r="H349" s="188"/>
      <c r="I349" s="188"/>
      <c r="J349" s="188"/>
      <c r="K349" s="188"/>
      <c r="L349" s="188"/>
      <c r="M349" s="188"/>
      <c r="N349" s="188"/>
      <c r="O349" s="188"/>
      <c r="P349" s="188"/>
      <c r="Q349" s="188"/>
      <c r="R349" s="188"/>
      <c r="S349" s="188"/>
      <c r="T349" s="188"/>
      <c r="U349" s="15"/>
      <c r="V349" s="15"/>
      <c r="W349" s="22"/>
    </row>
    <row r="350" spans="1:23" x14ac:dyDescent="0.25">
      <c r="A350" s="188"/>
      <c r="B350" s="188"/>
      <c r="C350" s="188"/>
      <c r="D350" s="188"/>
      <c r="E350" s="188"/>
      <c r="F350" s="188"/>
      <c r="G350" s="188"/>
      <c r="H350" s="188"/>
      <c r="I350" s="188"/>
      <c r="J350" s="188"/>
      <c r="K350" s="188"/>
      <c r="L350" s="188"/>
      <c r="M350" s="188"/>
      <c r="N350" s="188"/>
      <c r="O350" s="188"/>
      <c r="P350" s="188"/>
      <c r="Q350" s="188"/>
      <c r="R350" s="188"/>
      <c r="S350" s="188"/>
      <c r="T350" s="188"/>
      <c r="U350" s="15"/>
      <c r="V350" s="15"/>
      <c r="W350" s="22"/>
    </row>
    <row r="351" spans="1:23" x14ac:dyDescent="0.25">
      <c r="A351" s="188"/>
      <c r="B351" s="188"/>
      <c r="C351" s="188"/>
      <c r="D351" s="188"/>
      <c r="E351" s="188"/>
      <c r="F351" s="188"/>
      <c r="G351" s="198"/>
      <c r="H351" s="19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  <c r="T351" s="188"/>
      <c r="U351" s="15"/>
      <c r="V351" s="15"/>
      <c r="W351" s="22"/>
    </row>
    <row r="352" spans="1:23" x14ac:dyDescent="0.25">
      <c r="A352" s="188"/>
      <c r="B352" s="188"/>
      <c r="C352" s="188"/>
      <c r="D352" s="188"/>
      <c r="E352" s="188"/>
      <c r="F352" s="188"/>
      <c r="G352" s="198"/>
      <c r="H352" s="198"/>
      <c r="I352" s="188"/>
      <c r="J352" s="188"/>
      <c r="K352" s="188"/>
      <c r="L352" s="188"/>
      <c r="M352" s="188"/>
      <c r="N352" s="188"/>
      <c r="O352" s="188"/>
      <c r="P352" s="188"/>
      <c r="Q352" s="188"/>
      <c r="R352" s="188"/>
      <c r="S352" s="188"/>
      <c r="T352" s="188"/>
      <c r="U352" s="15"/>
      <c r="V352" s="15"/>
      <c r="W352" s="22"/>
    </row>
    <row r="353" spans="1:23" x14ac:dyDescent="0.25">
      <c r="A353" s="188"/>
      <c r="B353" s="188"/>
      <c r="C353" s="79"/>
      <c r="D353" s="79"/>
      <c r="E353" s="79"/>
      <c r="F353" s="79"/>
      <c r="G353" s="198"/>
      <c r="H353" s="198"/>
      <c r="I353" s="188"/>
      <c r="J353" s="188"/>
      <c r="K353" s="188"/>
      <c r="L353" s="188"/>
      <c r="M353" s="188"/>
      <c r="N353" s="188"/>
      <c r="O353" s="188"/>
      <c r="P353" s="188"/>
      <c r="Q353" s="188"/>
      <c r="R353" s="188"/>
      <c r="S353" s="188"/>
      <c r="T353" s="188"/>
      <c r="U353" s="15"/>
      <c r="V353" s="15"/>
      <c r="W353" s="22"/>
    </row>
    <row r="354" spans="1:23" x14ac:dyDescent="0.25">
      <c r="A354" s="188"/>
      <c r="B354" s="188"/>
      <c r="C354" s="79"/>
      <c r="D354" s="79"/>
      <c r="E354" s="79"/>
      <c r="F354" s="79"/>
      <c r="G354" s="198"/>
      <c r="H354" s="198"/>
      <c r="I354" s="188"/>
      <c r="J354" s="188"/>
      <c r="K354" s="188"/>
      <c r="L354" s="188"/>
      <c r="M354" s="188"/>
      <c r="N354" s="188"/>
      <c r="O354" s="188"/>
      <c r="P354" s="188"/>
      <c r="Q354" s="188"/>
      <c r="R354" s="188"/>
      <c r="S354" s="188"/>
      <c r="T354" s="188"/>
      <c r="U354" s="15"/>
      <c r="V354" s="15"/>
      <c r="W354" s="22"/>
    </row>
    <row r="355" spans="1:23" x14ac:dyDescent="0.25">
      <c r="A355" s="188"/>
      <c r="B355" s="188"/>
      <c r="C355" s="79"/>
      <c r="D355" s="79"/>
      <c r="E355" s="79"/>
      <c r="F355" s="79"/>
      <c r="G355" s="198"/>
      <c r="H355" s="198"/>
      <c r="I355" s="188"/>
      <c r="J355" s="188"/>
      <c r="K355" s="188"/>
      <c r="L355" s="188"/>
      <c r="M355" s="188"/>
      <c r="N355" s="188"/>
      <c r="O355" s="188"/>
      <c r="P355" s="188"/>
      <c r="Q355" s="188"/>
      <c r="R355" s="188"/>
      <c r="S355" s="188"/>
      <c r="T355" s="188"/>
      <c r="U355" s="15"/>
      <c r="V355" s="15"/>
      <c r="W355" s="22"/>
    </row>
    <row r="356" spans="1:23" x14ac:dyDescent="0.25">
      <c r="A356" s="188"/>
      <c r="B356" s="188"/>
      <c r="C356" s="79"/>
      <c r="D356" s="79"/>
      <c r="E356" s="79"/>
      <c r="F356" s="79"/>
      <c r="G356" s="198"/>
      <c r="H356" s="198"/>
      <c r="I356" s="188"/>
      <c r="J356" s="188"/>
      <c r="K356" s="188"/>
      <c r="L356" s="188"/>
      <c r="M356" s="188"/>
      <c r="N356" s="188"/>
      <c r="O356" s="188"/>
      <c r="P356" s="188"/>
      <c r="Q356" s="188"/>
      <c r="R356" s="188"/>
      <c r="S356" s="188"/>
      <c r="T356" s="188"/>
      <c r="U356" s="15"/>
      <c r="V356" s="15"/>
      <c r="W356" s="22"/>
    </row>
    <row r="357" spans="1:23" x14ac:dyDescent="0.25">
      <c r="A357" s="188"/>
      <c r="B357" s="188"/>
      <c r="C357" s="188"/>
      <c r="D357" s="188"/>
      <c r="E357" s="188"/>
      <c r="F357" s="188"/>
      <c r="G357" s="188"/>
      <c r="H357" s="188"/>
      <c r="I357" s="188"/>
      <c r="J357" s="188"/>
      <c r="K357" s="188"/>
      <c r="L357" s="188"/>
      <c r="M357" s="188"/>
      <c r="N357" s="188"/>
      <c r="O357" s="188"/>
      <c r="P357" s="188"/>
      <c r="Q357" s="188"/>
      <c r="R357" s="188"/>
      <c r="S357" s="188"/>
      <c r="T357" s="188"/>
      <c r="U357" s="15"/>
      <c r="V357" s="15"/>
      <c r="W357" s="22"/>
    </row>
    <row r="358" spans="1:23" x14ac:dyDescent="0.25">
      <c r="A358" s="188"/>
      <c r="B358" s="188"/>
      <c r="C358" s="188"/>
      <c r="D358" s="188"/>
      <c r="E358" s="188"/>
      <c r="F358" s="188"/>
      <c r="G358" s="188"/>
      <c r="H358" s="188"/>
      <c r="I358" s="188"/>
      <c r="J358" s="188"/>
      <c r="K358" s="188"/>
      <c r="L358" s="188"/>
      <c r="M358" s="188"/>
      <c r="N358" s="188"/>
      <c r="O358" s="188"/>
      <c r="P358" s="188"/>
      <c r="Q358" s="188"/>
      <c r="R358" s="188"/>
      <c r="S358" s="188"/>
      <c r="T358" s="188"/>
      <c r="U358" s="15"/>
      <c r="V358" s="15"/>
      <c r="W358" s="22"/>
    </row>
    <row r="359" spans="1:23" x14ac:dyDescent="0.25">
      <c r="A359" s="188"/>
      <c r="B359" s="76"/>
      <c r="C359" s="76"/>
      <c r="D359" s="188"/>
      <c r="E359" s="76"/>
      <c r="F359" s="76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88"/>
      <c r="S359" s="188"/>
      <c r="T359" s="188"/>
      <c r="U359" s="15"/>
      <c r="V359" s="15"/>
      <c r="W359" s="22"/>
    </row>
    <row r="360" spans="1:23" x14ac:dyDescent="0.25">
      <c r="A360" s="188"/>
      <c r="B360" s="79"/>
      <c r="C360" s="188"/>
      <c r="D360" s="188"/>
      <c r="E360" s="199"/>
      <c r="F360" s="79"/>
      <c r="G360" s="188"/>
      <c r="H360" s="188"/>
      <c r="I360" s="188"/>
      <c r="J360" s="188"/>
      <c r="K360" s="188"/>
      <c r="L360" s="188"/>
      <c r="M360" s="188"/>
      <c r="N360" s="188"/>
      <c r="O360" s="188"/>
      <c r="P360" s="188"/>
      <c r="Q360" s="188"/>
      <c r="R360" s="188"/>
      <c r="S360" s="188"/>
      <c r="T360" s="188"/>
      <c r="U360" s="15"/>
      <c r="V360" s="15"/>
      <c r="W360" s="22"/>
    </row>
    <row r="361" spans="1:23" x14ac:dyDescent="0.25">
      <c r="A361" s="188"/>
      <c r="B361" s="79"/>
      <c r="C361" s="200"/>
      <c r="D361" s="188"/>
      <c r="E361" s="199"/>
      <c r="F361" s="199"/>
      <c r="G361" s="188"/>
      <c r="H361" s="188"/>
      <c r="I361" s="188"/>
      <c r="J361" s="188"/>
      <c r="K361" s="188"/>
      <c r="L361" s="188"/>
      <c r="M361" s="188"/>
      <c r="N361" s="188"/>
      <c r="O361" s="188"/>
      <c r="P361" s="188"/>
      <c r="Q361" s="188"/>
      <c r="R361" s="188"/>
      <c r="S361" s="188"/>
      <c r="T361" s="188"/>
      <c r="U361" s="15"/>
      <c r="V361" s="15"/>
      <c r="W361" s="22"/>
    </row>
    <row r="362" spans="1:23" x14ac:dyDescent="0.25">
      <c r="A362" s="188"/>
      <c r="B362" s="79"/>
      <c r="C362" s="188"/>
      <c r="D362" s="188"/>
      <c r="E362" s="188"/>
      <c r="F362" s="188"/>
      <c r="G362" s="188"/>
      <c r="H362" s="188"/>
      <c r="I362" s="188"/>
      <c r="J362" s="188"/>
      <c r="K362" s="188"/>
      <c r="L362" s="188"/>
      <c r="M362" s="188"/>
      <c r="N362" s="188"/>
      <c r="O362" s="188"/>
      <c r="P362" s="188"/>
      <c r="Q362" s="188"/>
      <c r="R362" s="188"/>
      <c r="S362" s="188"/>
      <c r="T362" s="188"/>
      <c r="U362" s="15"/>
      <c r="V362" s="15"/>
      <c r="W362" s="22"/>
    </row>
    <row r="363" spans="1:23" x14ac:dyDescent="0.25">
      <c r="A363" s="188"/>
      <c r="B363" s="188"/>
      <c r="C363" s="188"/>
      <c r="D363" s="188"/>
      <c r="E363" s="188"/>
      <c r="F363" s="188"/>
      <c r="G363" s="188"/>
      <c r="H363" s="188"/>
      <c r="I363" s="188"/>
      <c r="J363" s="188"/>
      <c r="K363" s="188"/>
      <c r="L363" s="188"/>
      <c r="M363" s="188"/>
      <c r="N363" s="188"/>
      <c r="O363" s="188"/>
      <c r="P363" s="188"/>
      <c r="Q363" s="188"/>
      <c r="R363" s="188"/>
      <c r="S363" s="188"/>
      <c r="T363" s="188"/>
      <c r="U363" s="15"/>
      <c r="V363" s="15"/>
      <c r="W363" s="22"/>
    </row>
    <row r="364" spans="1:23" x14ac:dyDescent="0.25">
      <c r="A364" s="188"/>
      <c r="B364" s="188"/>
      <c r="C364" s="188"/>
      <c r="D364" s="188"/>
      <c r="E364" s="188"/>
      <c r="F364" s="188"/>
      <c r="G364" s="188"/>
      <c r="H364" s="188"/>
      <c r="I364" s="188"/>
      <c r="J364" s="188"/>
      <c r="K364" s="188"/>
      <c r="L364" s="188"/>
      <c r="M364" s="188"/>
      <c r="N364" s="188"/>
      <c r="O364" s="188"/>
      <c r="P364" s="188"/>
      <c r="Q364" s="188"/>
      <c r="R364" s="188"/>
      <c r="S364" s="188"/>
      <c r="T364" s="188"/>
      <c r="U364" s="15"/>
      <c r="V364" s="22"/>
      <c r="W364" s="22"/>
    </row>
    <row r="365" spans="1:23" x14ac:dyDescent="0.25">
      <c r="A365" s="531"/>
      <c r="B365" s="531"/>
      <c r="C365" s="531"/>
      <c r="D365" s="531"/>
      <c r="E365" s="531"/>
      <c r="F365" s="531"/>
      <c r="G365" s="531"/>
      <c r="H365" s="531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  <c r="T365" s="188"/>
      <c r="U365" s="15"/>
      <c r="V365" s="22"/>
      <c r="W365" s="22"/>
    </row>
    <row r="366" spans="1:23" x14ac:dyDescent="0.25">
      <c r="A366" s="531"/>
      <c r="B366" s="531"/>
      <c r="C366" s="531"/>
      <c r="D366" s="531"/>
      <c r="E366" s="531"/>
      <c r="F366" s="531"/>
      <c r="G366" s="531"/>
      <c r="H366" s="531"/>
      <c r="I366" s="188"/>
      <c r="J366" s="188"/>
      <c r="K366" s="188"/>
      <c r="L366" s="188"/>
      <c r="M366" s="188"/>
      <c r="N366" s="188"/>
      <c r="O366" s="188"/>
      <c r="P366" s="188"/>
      <c r="Q366" s="188"/>
      <c r="R366" s="188"/>
      <c r="S366" s="188"/>
      <c r="T366" s="188"/>
      <c r="U366" s="15"/>
      <c r="V366" s="22"/>
      <c r="W366" s="22"/>
    </row>
    <row r="367" spans="1:23" x14ac:dyDescent="0.25">
      <c r="A367" s="188"/>
      <c r="B367" s="188"/>
      <c r="C367" s="188"/>
      <c r="D367" s="188"/>
      <c r="E367" s="188"/>
      <c r="F367" s="188"/>
      <c r="G367" s="188"/>
      <c r="H367" s="188"/>
      <c r="I367" s="188"/>
      <c r="J367" s="188"/>
      <c r="K367" s="188"/>
      <c r="L367" s="188"/>
      <c r="M367" s="188"/>
      <c r="N367" s="188"/>
      <c r="O367" s="188"/>
      <c r="P367" s="188"/>
      <c r="Q367" s="188"/>
      <c r="R367" s="188"/>
      <c r="S367" s="188"/>
      <c r="T367" s="188"/>
      <c r="U367" s="15"/>
      <c r="V367" s="22"/>
      <c r="W367" s="22"/>
    </row>
    <row r="368" spans="1:23" x14ac:dyDescent="0.25">
      <c r="A368" s="188"/>
      <c r="B368" s="201"/>
      <c r="C368" s="201"/>
      <c r="D368" s="201"/>
      <c r="E368" s="201"/>
      <c r="F368" s="201"/>
      <c r="G368" s="201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  <c r="T368" s="188"/>
      <c r="U368" s="15"/>
      <c r="V368" s="22"/>
      <c r="W368" s="22"/>
    </row>
    <row r="369" spans="1:23" x14ac:dyDescent="0.25">
      <c r="A369" s="79"/>
      <c r="B369" s="202"/>
      <c r="C369" s="203"/>
      <c r="D369" s="204"/>
      <c r="E369" s="202"/>
      <c r="F369" s="205"/>
      <c r="G369" s="202"/>
      <c r="H369" s="188"/>
      <c r="I369" s="188"/>
      <c r="J369" s="188"/>
      <c r="K369" s="188"/>
      <c r="L369" s="188"/>
      <c r="M369" s="188"/>
      <c r="N369" s="188"/>
      <c r="O369" s="188"/>
      <c r="P369" s="188"/>
      <c r="Q369" s="188"/>
      <c r="R369" s="188"/>
      <c r="S369" s="188"/>
      <c r="T369" s="188"/>
      <c r="U369" s="15"/>
      <c r="V369" s="22"/>
      <c r="W369" s="22"/>
    </row>
    <row r="370" spans="1:23" x14ac:dyDescent="0.25">
      <c r="A370" s="79"/>
      <c r="B370" s="202"/>
      <c r="C370" s="206"/>
      <c r="D370" s="206"/>
      <c r="E370" s="207"/>
      <c r="F370" s="207"/>
      <c r="G370" s="207"/>
      <c r="H370" s="188"/>
      <c r="I370" s="188"/>
      <c r="J370" s="188"/>
      <c r="K370" s="188"/>
      <c r="L370" s="188"/>
      <c r="M370" s="188"/>
      <c r="N370" s="188"/>
      <c r="O370" s="188"/>
      <c r="P370" s="188"/>
      <c r="Q370" s="188"/>
      <c r="R370" s="188"/>
      <c r="S370" s="188"/>
      <c r="T370" s="188"/>
      <c r="U370" s="15"/>
      <c r="V370" s="22"/>
      <c r="W370" s="22"/>
    </row>
    <row r="371" spans="1:23" x14ac:dyDescent="0.25">
      <c r="A371" s="79"/>
      <c r="B371" s="202"/>
      <c r="C371" s="206"/>
      <c r="D371" s="206"/>
      <c r="E371" s="207"/>
      <c r="F371" s="207"/>
      <c r="G371" s="202"/>
      <c r="H371" s="188"/>
      <c r="I371" s="188"/>
      <c r="J371" s="188"/>
      <c r="K371" s="188"/>
      <c r="L371" s="188"/>
      <c r="M371" s="188"/>
      <c r="N371" s="188"/>
      <c r="O371" s="188"/>
      <c r="P371" s="188"/>
      <c r="Q371" s="188"/>
      <c r="R371" s="188"/>
      <c r="S371" s="188"/>
      <c r="T371" s="188"/>
      <c r="U371" s="15"/>
      <c r="V371" s="22"/>
      <c r="W371" s="22"/>
    </row>
    <row r="372" spans="1:23" x14ac:dyDescent="0.25">
      <c r="A372" s="79"/>
      <c r="B372" s="202"/>
      <c r="C372" s="204"/>
      <c r="D372" s="204"/>
      <c r="E372" s="202"/>
      <c r="F372" s="205"/>
      <c r="G372" s="202"/>
      <c r="H372" s="188"/>
      <c r="I372" s="188"/>
      <c r="J372" s="188"/>
      <c r="K372" s="188"/>
      <c r="L372" s="188"/>
      <c r="M372" s="188"/>
      <c r="N372" s="188"/>
      <c r="O372" s="188"/>
      <c r="P372" s="188"/>
      <c r="Q372" s="188"/>
      <c r="R372" s="188"/>
      <c r="S372" s="188"/>
      <c r="T372" s="188"/>
      <c r="U372" s="15"/>
      <c r="V372" s="22"/>
      <c r="W372" s="22"/>
    </row>
    <row r="373" spans="1:23" x14ac:dyDescent="0.25">
      <c r="A373" s="79"/>
      <c r="B373" s="202"/>
      <c r="C373" s="208"/>
      <c r="D373" s="208"/>
      <c r="E373" s="202"/>
      <c r="F373" s="207"/>
      <c r="G373" s="205"/>
      <c r="H373" s="188"/>
      <c r="I373" s="188"/>
      <c r="J373" s="188"/>
      <c r="K373" s="188"/>
      <c r="L373" s="188"/>
      <c r="M373" s="188"/>
      <c r="N373" s="188"/>
      <c r="O373" s="188"/>
      <c r="P373" s="188"/>
      <c r="Q373" s="188"/>
      <c r="R373" s="188"/>
      <c r="S373" s="188"/>
      <c r="T373" s="188"/>
      <c r="U373" s="15"/>
      <c r="V373" s="22"/>
      <c r="W373" s="22"/>
    </row>
    <row r="374" spans="1:23" x14ac:dyDescent="0.25">
      <c r="A374" s="79"/>
      <c r="B374" s="202"/>
      <c r="C374" s="208"/>
      <c r="D374" s="208"/>
      <c r="E374" s="202"/>
      <c r="F374" s="205"/>
      <c r="G374" s="202"/>
      <c r="H374" s="188"/>
      <c r="I374" s="188"/>
      <c r="J374" s="188"/>
      <c r="K374" s="188"/>
      <c r="L374" s="188"/>
      <c r="M374" s="188"/>
      <c r="N374" s="188"/>
      <c r="O374" s="188"/>
      <c r="P374" s="188"/>
      <c r="Q374" s="188"/>
      <c r="R374" s="188"/>
      <c r="S374" s="188"/>
      <c r="T374" s="188"/>
      <c r="U374" s="15"/>
      <c r="V374" s="22"/>
      <c r="W374" s="22"/>
    </row>
    <row r="375" spans="1:23" x14ac:dyDescent="0.25">
      <c r="A375" s="79"/>
      <c r="B375" s="202"/>
      <c r="C375" s="204"/>
      <c r="D375" s="204"/>
      <c r="E375" s="202"/>
      <c r="F375" s="205"/>
      <c r="G375" s="202"/>
      <c r="H375" s="188"/>
      <c r="I375" s="188"/>
      <c r="J375" s="188"/>
      <c r="K375" s="188"/>
      <c r="L375" s="188"/>
      <c r="M375" s="188"/>
      <c r="N375" s="188"/>
      <c r="O375" s="188"/>
      <c r="P375" s="188"/>
      <c r="Q375" s="188"/>
      <c r="R375" s="188"/>
      <c r="S375" s="188"/>
      <c r="T375" s="188"/>
      <c r="U375" s="15"/>
      <c r="V375" s="22"/>
      <c r="W375" s="22"/>
    </row>
    <row r="376" spans="1:23" x14ac:dyDescent="0.25">
      <c r="A376" s="79"/>
      <c r="B376" s="201"/>
      <c r="C376" s="209"/>
      <c r="D376" s="209"/>
      <c r="E376" s="209"/>
      <c r="F376" s="207"/>
      <c r="G376" s="79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88"/>
      <c r="S376" s="188"/>
      <c r="T376" s="188"/>
      <c r="U376" s="15"/>
      <c r="V376" s="22"/>
      <c r="W376" s="22"/>
    </row>
    <row r="377" spans="1:23" x14ac:dyDescent="0.25">
      <c r="A377" s="79"/>
      <c r="B377" s="210"/>
      <c r="C377" s="211"/>
      <c r="D377" s="212"/>
      <c r="E377" s="210"/>
      <c r="F377" s="210"/>
      <c r="G377" s="79"/>
      <c r="H377" s="213"/>
      <c r="I377" s="188"/>
      <c r="J377" s="188"/>
      <c r="K377" s="188"/>
      <c r="L377" s="188"/>
      <c r="M377" s="188"/>
      <c r="N377" s="188"/>
      <c r="O377" s="188"/>
      <c r="P377" s="188"/>
      <c r="Q377" s="188"/>
      <c r="R377" s="188"/>
      <c r="S377" s="188"/>
      <c r="T377" s="188"/>
      <c r="U377" s="15"/>
      <c r="V377" s="22"/>
      <c r="W377" s="22"/>
    </row>
    <row r="378" spans="1:23" x14ac:dyDescent="0.25">
      <c r="A378" s="79"/>
      <c r="B378" s="188"/>
      <c r="C378" s="188"/>
      <c r="D378" s="188"/>
      <c r="E378" s="188"/>
      <c r="F378" s="188"/>
      <c r="G378" s="188"/>
      <c r="H378" s="188"/>
      <c r="I378" s="188"/>
      <c r="J378" s="188"/>
      <c r="K378" s="188"/>
      <c r="L378" s="188"/>
      <c r="M378" s="188"/>
      <c r="N378" s="188"/>
      <c r="O378" s="188"/>
      <c r="P378" s="188"/>
      <c r="Q378" s="188"/>
      <c r="R378" s="188"/>
      <c r="S378" s="188"/>
      <c r="T378" s="188"/>
      <c r="U378" s="15"/>
      <c r="V378" s="22"/>
      <c r="W378" s="22"/>
    </row>
    <row r="379" spans="1:23" x14ac:dyDescent="0.25">
      <c r="A379" s="79"/>
      <c r="B379" s="201"/>
      <c r="C379" s="210"/>
      <c r="D379" s="210"/>
      <c r="E379" s="210"/>
      <c r="F379" s="210"/>
      <c r="G379" s="210"/>
      <c r="H379" s="188"/>
      <c r="I379" s="188"/>
      <c r="J379" s="188"/>
      <c r="K379" s="188"/>
      <c r="L379" s="188"/>
      <c r="M379" s="188"/>
      <c r="N379" s="188"/>
      <c r="O379" s="188"/>
      <c r="P379" s="188"/>
      <c r="Q379" s="188"/>
      <c r="R379" s="188"/>
      <c r="S379" s="188"/>
      <c r="T379" s="188"/>
      <c r="U379" s="15"/>
      <c r="V379" s="22"/>
      <c r="W379" s="22"/>
    </row>
    <row r="380" spans="1:23" x14ac:dyDescent="0.25">
      <c r="A380" s="79"/>
      <c r="B380" s="192"/>
      <c r="C380" s="214"/>
      <c r="D380" s="214"/>
      <c r="E380" s="215"/>
      <c r="F380" s="216"/>
      <c r="G380" s="192"/>
      <c r="H380" s="532"/>
      <c r="I380" s="188"/>
      <c r="J380" s="188"/>
      <c r="K380" s="188"/>
      <c r="L380" s="188"/>
      <c r="M380" s="188"/>
      <c r="N380" s="188"/>
      <c r="O380" s="188"/>
      <c r="P380" s="188"/>
      <c r="Q380" s="188"/>
      <c r="R380" s="188"/>
      <c r="S380" s="188"/>
      <c r="T380" s="188"/>
      <c r="U380" s="15"/>
      <c r="V380" s="22"/>
      <c r="W380" s="22"/>
    </row>
    <row r="381" spans="1:23" x14ac:dyDescent="0.25">
      <c r="A381" s="79"/>
      <c r="B381" s="192"/>
      <c r="C381" s="217"/>
      <c r="D381" s="214"/>
      <c r="E381" s="215"/>
      <c r="F381" s="216"/>
      <c r="G381" s="192"/>
      <c r="H381" s="532"/>
      <c r="I381" s="188"/>
      <c r="J381" s="188"/>
      <c r="K381" s="188"/>
      <c r="L381" s="188"/>
      <c r="M381" s="188"/>
      <c r="N381" s="188"/>
      <c r="O381" s="188"/>
      <c r="P381" s="188"/>
      <c r="Q381" s="188"/>
      <c r="R381" s="188"/>
      <c r="S381" s="188"/>
      <c r="T381" s="188"/>
      <c r="U381" s="15"/>
      <c r="V381" s="22"/>
      <c r="W381" s="22"/>
    </row>
    <row r="382" spans="1:23" x14ac:dyDescent="0.25">
      <c r="A382" s="79"/>
      <c r="B382" s="192"/>
      <c r="C382" s="218"/>
      <c r="D382" s="218"/>
      <c r="E382" s="215"/>
      <c r="F382" s="216"/>
      <c r="G382" s="188"/>
      <c r="H382" s="532"/>
      <c r="I382" s="188"/>
      <c r="J382" s="188"/>
      <c r="K382" s="188"/>
      <c r="L382" s="188"/>
      <c r="M382" s="188"/>
      <c r="N382" s="188"/>
      <c r="O382" s="188"/>
      <c r="P382" s="188"/>
      <c r="Q382" s="188"/>
      <c r="R382" s="188"/>
      <c r="S382" s="188"/>
      <c r="T382" s="188"/>
      <c r="U382" s="15"/>
      <c r="V382" s="22"/>
      <c r="W382" s="22"/>
    </row>
    <row r="383" spans="1:23" x14ac:dyDescent="0.25">
      <c r="A383" s="79"/>
      <c r="B383" s="192"/>
      <c r="C383" s="218"/>
      <c r="D383" s="218"/>
      <c r="E383" s="188"/>
      <c r="F383" s="188"/>
      <c r="G383" s="188"/>
      <c r="H383" s="532"/>
      <c r="I383" s="188"/>
      <c r="J383" s="188"/>
      <c r="K383" s="188"/>
      <c r="L383" s="188"/>
      <c r="M383" s="188"/>
      <c r="N383" s="188"/>
      <c r="O383" s="188"/>
      <c r="P383" s="188"/>
      <c r="Q383" s="188"/>
      <c r="R383" s="188"/>
      <c r="S383" s="188"/>
      <c r="T383" s="188"/>
      <c r="U383" s="15"/>
      <c r="V383" s="22"/>
      <c r="W383" s="22"/>
    </row>
    <row r="384" spans="1:23" x14ac:dyDescent="0.25">
      <c r="A384" s="79"/>
      <c r="B384" s="192"/>
      <c r="C384" s="218"/>
      <c r="D384" s="218"/>
      <c r="E384" s="215"/>
      <c r="F384" s="216"/>
      <c r="G384" s="192"/>
      <c r="H384" s="532"/>
      <c r="I384" s="188"/>
      <c r="J384" s="188"/>
      <c r="K384" s="188"/>
      <c r="L384" s="188"/>
      <c r="M384" s="188"/>
      <c r="N384" s="188"/>
      <c r="O384" s="188"/>
      <c r="P384" s="188"/>
      <c r="Q384" s="188"/>
      <c r="R384" s="188"/>
      <c r="S384" s="188"/>
      <c r="T384" s="188"/>
      <c r="U384" s="15"/>
      <c r="V384" s="22"/>
      <c r="W384" s="22"/>
    </row>
    <row r="385" spans="1:23" x14ac:dyDescent="0.25">
      <c r="A385" s="79"/>
      <c r="B385" s="192"/>
      <c r="C385" s="218"/>
      <c r="D385" s="218"/>
      <c r="E385" s="215"/>
      <c r="F385" s="216"/>
      <c r="G385" s="192"/>
      <c r="H385" s="532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  <c r="T385" s="188"/>
      <c r="U385" s="15"/>
      <c r="V385" s="22"/>
      <c r="W385" s="22"/>
    </row>
    <row r="386" spans="1:23" x14ac:dyDescent="0.25">
      <c r="A386" s="79"/>
      <c r="B386" s="202"/>
      <c r="C386" s="204"/>
      <c r="D386" s="204"/>
      <c r="E386" s="202"/>
      <c r="F386" s="205"/>
      <c r="G386" s="202"/>
      <c r="H386" s="532"/>
      <c r="I386" s="188"/>
      <c r="J386" s="188"/>
      <c r="K386" s="188"/>
      <c r="L386" s="188"/>
      <c r="M386" s="188"/>
      <c r="N386" s="188"/>
      <c r="O386" s="188"/>
      <c r="P386" s="188"/>
      <c r="Q386" s="188"/>
      <c r="R386" s="188"/>
      <c r="S386" s="188"/>
      <c r="T386" s="188"/>
      <c r="U386" s="15"/>
      <c r="V386" s="22"/>
      <c r="W386" s="22"/>
    </row>
    <row r="387" spans="1:23" x14ac:dyDescent="0.25">
      <c r="A387" s="79"/>
      <c r="B387" s="210"/>
      <c r="C387" s="79"/>
      <c r="D387" s="79"/>
      <c r="E387" s="79"/>
      <c r="F387" s="188"/>
      <c r="G387" s="79"/>
      <c r="H387" s="188"/>
      <c r="I387" s="188"/>
      <c r="J387" s="188"/>
      <c r="K387" s="188"/>
      <c r="L387" s="188"/>
      <c r="M387" s="188"/>
      <c r="N387" s="188"/>
      <c r="O387" s="188"/>
      <c r="P387" s="188"/>
      <c r="Q387" s="188"/>
      <c r="R387" s="188"/>
      <c r="S387" s="188"/>
      <c r="T387" s="188"/>
      <c r="U387" s="15"/>
      <c r="V387" s="22"/>
      <c r="W387" s="22"/>
    </row>
    <row r="388" spans="1:23" x14ac:dyDescent="0.25">
      <c r="A388" s="79"/>
      <c r="B388" s="210"/>
      <c r="C388" s="79"/>
      <c r="D388" s="79"/>
      <c r="E388" s="79"/>
      <c r="F388" s="188"/>
      <c r="G388" s="188"/>
      <c r="H388" s="188"/>
      <c r="I388" s="188"/>
      <c r="J388" s="188"/>
      <c r="K388" s="188"/>
      <c r="L388" s="188"/>
      <c r="M388" s="188"/>
      <c r="N388" s="188"/>
      <c r="O388" s="188"/>
      <c r="P388" s="188"/>
      <c r="Q388" s="188"/>
      <c r="R388" s="188"/>
      <c r="S388" s="188"/>
      <c r="T388" s="188"/>
      <c r="U388" s="22"/>
      <c r="V388" s="22"/>
      <c r="W388" s="22"/>
    </row>
    <row r="389" spans="1:23" x14ac:dyDescent="0.25">
      <c r="A389" s="79"/>
      <c r="B389" s="201"/>
      <c r="C389" s="210"/>
      <c r="D389" s="210"/>
      <c r="E389" s="210"/>
      <c r="F389" s="210"/>
      <c r="G389" s="210"/>
      <c r="H389" s="188"/>
      <c r="I389" s="188"/>
      <c r="J389" s="188"/>
      <c r="K389" s="188"/>
      <c r="L389" s="188"/>
      <c r="M389" s="188"/>
      <c r="N389" s="188"/>
      <c r="O389" s="188"/>
      <c r="P389" s="188"/>
      <c r="Q389" s="188"/>
      <c r="R389" s="188"/>
      <c r="S389" s="188"/>
      <c r="T389" s="188"/>
      <c r="U389" s="15"/>
      <c r="V389" s="22"/>
      <c r="W389" s="22"/>
    </row>
    <row r="390" spans="1:23" x14ac:dyDescent="0.25">
      <c r="A390" s="79"/>
      <c r="B390" s="202"/>
      <c r="C390" s="203"/>
      <c r="D390" s="204"/>
      <c r="E390" s="202"/>
      <c r="F390" s="205"/>
      <c r="G390" s="202"/>
      <c r="H390" s="188"/>
      <c r="I390" s="188"/>
      <c r="J390" s="188"/>
      <c r="K390" s="188"/>
      <c r="L390" s="188"/>
      <c r="M390" s="188"/>
      <c r="N390" s="188"/>
      <c r="O390" s="188"/>
      <c r="P390" s="188"/>
      <c r="Q390" s="188"/>
      <c r="R390" s="188"/>
      <c r="S390" s="188"/>
      <c r="T390" s="188"/>
      <c r="U390" s="15"/>
      <c r="V390" s="22"/>
      <c r="W390" s="22"/>
    </row>
    <row r="391" spans="1:23" x14ac:dyDescent="0.25">
      <c r="A391" s="79"/>
      <c r="B391" s="202"/>
      <c r="C391" s="206"/>
      <c r="D391" s="206"/>
      <c r="E391" s="207"/>
      <c r="F391" s="207"/>
      <c r="G391" s="207"/>
      <c r="H391" s="188"/>
      <c r="I391" s="188"/>
      <c r="J391" s="188"/>
      <c r="K391" s="188"/>
      <c r="L391" s="188"/>
      <c r="M391" s="188"/>
      <c r="N391" s="188"/>
      <c r="O391" s="188"/>
      <c r="P391" s="188"/>
      <c r="Q391" s="188"/>
      <c r="R391" s="188"/>
      <c r="S391" s="188"/>
      <c r="T391" s="188"/>
      <c r="U391" s="15"/>
      <c r="V391" s="22"/>
      <c r="W391" s="22"/>
    </row>
    <row r="392" spans="1:23" x14ac:dyDescent="0.25">
      <c r="A392" s="79"/>
      <c r="B392" s="202"/>
      <c r="C392" s="206"/>
      <c r="D392" s="206"/>
      <c r="E392" s="207"/>
      <c r="F392" s="207"/>
      <c r="G392" s="202"/>
      <c r="H392" s="188"/>
      <c r="I392" s="188"/>
      <c r="J392" s="188"/>
      <c r="K392" s="188"/>
      <c r="L392" s="188"/>
      <c r="M392" s="188"/>
      <c r="N392" s="188"/>
      <c r="O392" s="188"/>
      <c r="P392" s="188"/>
      <c r="Q392" s="188"/>
      <c r="R392" s="188"/>
      <c r="S392" s="188"/>
      <c r="T392" s="188"/>
      <c r="U392" s="15"/>
      <c r="V392" s="22"/>
      <c r="W392" s="22"/>
    </row>
    <row r="393" spans="1:23" x14ac:dyDescent="0.25">
      <c r="A393" s="79"/>
      <c r="B393" s="202"/>
      <c r="C393" s="206"/>
      <c r="D393" s="206"/>
      <c r="E393" s="207"/>
      <c r="F393" s="207"/>
      <c r="G393" s="202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88"/>
      <c r="S393" s="188"/>
      <c r="T393" s="188"/>
      <c r="U393" s="15"/>
      <c r="V393" s="22"/>
      <c r="W393" s="22"/>
    </row>
    <row r="394" spans="1:23" x14ac:dyDescent="0.25">
      <c r="A394" s="79"/>
      <c r="B394" s="202"/>
      <c r="C394" s="204"/>
      <c r="D394" s="204"/>
      <c r="E394" s="202"/>
      <c r="F394" s="205"/>
      <c r="G394" s="202"/>
      <c r="H394" s="188"/>
      <c r="I394" s="188"/>
      <c r="J394" s="188"/>
      <c r="K394" s="188"/>
      <c r="L394" s="188"/>
      <c r="M394" s="188"/>
      <c r="N394" s="188"/>
      <c r="O394" s="188"/>
      <c r="P394" s="188"/>
      <c r="Q394" s="188"/>
      <c r="R394" s="188"/>
      <c r="S394" s="188"/>
      <c r="T394" s="188"/>
      <c r="U394" s="15"/>
      <c r="V394" s="22"/>
      <c r="W394" s="22"/>
    </row>
    <row r="395" spans="1:23" x14ac:dyDescent="0.25">
      <c r="A395" s="79"/>
      <c r="B395" s="202"/>
      <c r="C395" s="208"/>
      <c r="D395" s="208"/>
      <c r="E395" s="202"/>
      <c r="F395" s="207"/>
      <c r="G395" s="205"/>
      <c r="H395" s="188"/>
      <c r="I395" s="188"/>
      <c r="J395" s="188"/>
      <c r="K395" s="188"/>
      <c r="L395" s="188"/>
      <c r="M395" s="188"/>
      <c r="N395" s="188"/>
      <c r="O395" s="188"/>
      <c r="P395" s="188"/>
      <c r="Q395" s="188"/>
      <c r="R395" s="188"/>
      <c r="S395" s="188"/>
      <c r="T395" s="188"/>
      <c r="U395" s="15"/>
      <c r="V395" s="22"/>
      <c r="W395" s="22"/>
    </row>
    <row r="396" spans="1:23" x14ac:dyDescent="0.25">
      <c r="A396" s="79"/>
      <c r="B396" s="202"/>
      <c r="C396" s="208"/>
      <c r="D396" s="208"/>
      <c r="E396" s="202"/>
      <c r="F396" s="205"/>
      <c r="G396" s="202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88"/>
      <c r="S396" s="188"/>
      <c r="T396" s="188"/>
      <c r="U396" s="15"/>
      <c r="V396" s="22"/>
      <c r="W396" s="22"/>
    </row>
    <row r="397" spans="1:23" x14ac:dyDescent="0.25">
      <c r="A397" s="79"/>
      <c r="B397" s="202"/>
      <c r="C397" s="204"/>
      <c r="D397" s="204"/>
      <c r="E397" s="202"/>
      <c r="F397" s="205"/>
      <c r="G397" s="202"/>
      <c r="H397" s="188"/>
      <c r="I397" s="188"/>
      <c r="J397" s="188"/>
      <c r="K397" s="188"/>
      <c r="L397" s="188"/>
      <c r="M397" s="188"/>
      <c r="N397" s="188"/>
      <c r="O397" s="188"/>
      <c r="P397" s="188"/>
      <c r="Q397" s="188"/>
      <c r="R397" s="188"/>
      <c r="S397" s="188"/>
      <c r="T397" s="188"/>
      <c r="U397" s="15"/>
      <c r="V397" s="22"/>
      <c r="W397" s="22"/>
    </row>
    <row r="398" spans="1:23" x14ac:dyDescent="0.25">
      <c r="A398" s="79"/>
      <c r="B398" s="201"/>
      <c r="C398" s="209"/>
      <c r="D398" s="209"/>
      <c r="E398" s="209"/>
      <c r="F398" s="207"/>
      <c r="G398" s="79"/>
      <c r="H398" s="188"/>
      <c r="I398" s="188"/>
      <c r="J398" s="188"/>
      <c r="K398" s="188"/>
      <c r="L398" s="188"/>
      <c r="M398" s="188"/>
      <c r="N398" s="188"/>
      <c r="O398" s="188"/>
      <c r="P398" s="188"/>
      <c r="Q398" s="188"/>
      <c r="R398" s="188"/>
      <c r="S398" s="188"/>
      <c r="T398" s="188"/>
      <c r="U398" s="15"/>
      <c r="V398" s="22"/>
      <c r="W398" s="22"/>
    </row>
    <row r="399" spans="1:23" x14ac:dyDescent="0.25">
      <c r="A399" s="79"/>
      <c r="B399" s="210"/>
      <c r="C399" s="211"/>
      <c r="D399" s="212"/>
      <c r="E399" s="210"/>
      <c r="F399" s="210"/>
      <c r="G399" s="79"/>
      <c r="H399" s="213"/>
      <c r="I399" s="188"/>
      <c r="J399" s="188"/>
      <c r="K399" s="188"/>
      <c r="L399" s="188"/>
      <c r="M399" s="188"/>
      <c r="N399" s="188"/>
      <c r="O399" s="188"/>
      <c r="P399" s="188"/>
      <c r="Q399" s="188"/>
      <c r="R399" s="188"/>
      <c r="S399" s="188"/>
      <c r="T399" s="188"/>
      <c r="U399" s="15"/>
      <c r="V399" s="22"/>
      <c r="W399" s="22"/>
    </row>
    <row r="400" spans="1:23" x14ac:dyDescent="0.25">
      <c r="A400" s="188"/>
      <c r="B400" s="188"/>
      <c r="C400" s="188"/>
      <c r="D400" s="188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R400" s="188"/>
      <c r="S400" s="188"/>
      <c r="T400" s="188"/>
      <c r="U400" s="15"/>
      <c r="V400" s="22"/>
      <c r="W400" s="22"/>
    </row>
    <row r="401" spans="1:23" x14ac:dyDescent="0.25">
      <c r="A401" s="188"/>
      <c r="B401" s="188"/>
      <c r="C401" s="188"/>
      <c r="D401" s="188"/>
      <c r="E401" s="188"/>
      <c r="F401" s="188"/>
      <c r="G401" s="188"/>
      <c r="H401" s="188"/>
      <c r="I401" s="188"/>
      <c r="J401" s="188"/>
      <c r="K401" s="188"/>
      <c r="L401" s="188"/>
      <c r="M401" s="188"/>
      <c r="N401" s="188"/>
      <c r="O401" s="188"/>
      <c r="P401" s="188"/>
      <c r="Q401" s="188"/>
      <c r="R401" s="188"/>
      <c r="S401" s="188"/>
      <c r="T401" s="188"/>
      <c r="U401" s="15"/>
      <c r="V401" s="22"/>
      <c r="W401" s="22"/>
    </row>
    <row r="402" spans="1:23" x14ac:dyDescent="0.25">
      <c r="A402" s="188"/>
      <c r="B402" s="188"/>
      <c r="C402" s="188"/>
      <c r="D402" s="188"/>
      <c r="E402" s="188"/>
      <c r="F402" s="188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</row>
    <row r="403" spans="1:23" x14ac:dyDescent="0.25">
      <c r="A403" s="188"/>
      <c r="B403" s="188"/>
      <c r="C403" s="188"/>
      <c r="D403" s="188"/>
      <c r="E403" s="188"/>
      <c r="F403" s="188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</row>
    <row r="404" spans="1:23" x14ac:dyDescent="0.25">
      <c r="A404" s="188"/>
      <c r="B404" s="188"/>
      <c r="C404" s="188"/>
      <c r="D404" s="188"/>
      <c r="E404" s="188"/>
      <c r="F404" s="188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</row>
    <row r="405" spans="1:23" x14ac:dyDescent="0.25">
      <c r="A405" s="188"/>
      <c r="B405" s="188"/>
      <c r="C405" s="188"/>
      <c r="D405" s="188"/>
      <c r="E405" s="188"/>
      <c r="F405" s="188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</row>
    <row r="406" spans="1:23" x14ac:dyDescent="0.25">
      <c r="A406" s="188"/>
      <c r="B406" s="188"/>
      <c r="C406" s="188"/>
      <c r="D406" s="188"/>
      <c r="E406" s="188"/>
      <c r="F406" s="188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</row>
    <row r="407" spans="1:23" x14ac:dyDescent="0.25">
      <c r="A407" s="188"/>
      <c r="B407" s="188"/>
      <c r="C407" s="188"/>
      <c r="D407" s="188"/>
      <c r="E407" s="188"/>
      <c r="F407" s="188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</row>
    <row r="408" spans="1:23" x14ac:dyDescent="0.25">
      <c r="A408" s="188"/>
      <c r="B408" s="188"/>
      <c r="C408" s="188"/>
      <c r="D408" s="188"/>
      <c r="E408" s="188"/>
      <c r="F408" s="188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</row>
    <row r="409" spans="1:23" x14ac:dyDescent="0.25">
      <c r="A409" s="188"/>
      <c r="B409" s="188"/>
      <c r="C409" s="188"/>
      <c r="D409" s="188"/>
      <c r="E409" s="188"/>
      <c r="F409" s="188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</row>
    <row r="410" spans="1:23" x14ac:dyDescent="0.25">
      <c r="A410" s="15"/>
      <c r="B410" s="15"/>
      <c r="C410" s="15"/>
      <c r="D410" s="15"/>
      <c r="E410" s="15"/>
      <c r="F410" s="15"/>
    </row>
    <row r="411" spans="1:23" x14ac:dyDescent="0.25">
      <c r="A411" s="15"/>
      <c r="B411" s="15"/>
      <c r="C411" s="15"/>
      <c r="D411" s="15"/>
      <c r="E411" s="15"/>
      <c r="F411" s="15"/>
    </row>
    <row r="412" spans="1:23" x14ac:dyDescent="0.25">
      <c r="A412" s="15"/>
      <c r="B412" s="15"/>
      <c r="C412" s="15"/>
      <c r="D412" s="15"/>
      <c r="E412" s="15"/>
      <c r="F412" s="15"/>
    </row>
    <row r="413" spans="1:23" x14ac:dyDescent="0.25">
      <c r="A413" s="15"/>
      <c r="B413" s="15"/>
      <c r="C413" s="15"/>
      <c r="D413" s="15"/>
      <c r="E413" s="15"/>
      <c r="F413" s="15"/>
    </row>
    <row r="414" spans="1:23" x14ac:dyDescent="0.25">
      <c r="A414" s="15"/>
      <c r="B414" s="15"/>
      <c r="C414" s="15"/>
      <c r="D414" s="15"/>
      <c r="E414" s="15"/>
      <c r="F414" s="15"/>
    </row>
    <row r="415" spans="1:23" x14ac:dyDescent="0.25">
      <c r="A415" s="15"/>
      <c r="B415" s="15"/>
      <c r="C415" s="15"/>
      <c r="D415" s="15"/>
      <c r="E415" s="15"/>
      <c r="F415" s="15"/>
    </row>
    <row r="416" spans="1:23" x14ac:dyDescent="0.25">
      <c r="A416" s="15"/>
      <c r="B416" s="15"/>
      <c r="C416" s="15"/>
      <c r="D416" s="15"/>
      <c r="E416" s="15"/>
      <c r="F416" s="15"/>
    </row>
    <row r="417" spans="1:6" x14ac:dyDescent="0.25">
      <c r="A417" s="15"/>
      <c r="B417" s="15"/>
      <c r="C417" s="15"/>
      <c r="D417" s="15"/>
      <c r="E417" s="15"/>
      <c r="F417" s="15"/>
    </row>
    <row r="418" spans="1:6" x14ac:dyDescent="0.25">
      <c r="A418" s="15"/>
      <c r="B418" s="15"/>
      <c r="C418" s="15"/>
      <c r="D418" s="15"/>
      <c r="E418" s="15"/>
      <c r="F418" s="15"/>
    </row>
    <row r="419" spans="1:6" x14ac:dyDescent="0.25">
      <c r="A419" s="15"/>
      <c r="B419" s="15"/>
      <c r="C419" s="15"/>
      <c r="D419" s="15"/>
      <c r="E419" s="15"/>
      <c r="F419" s="15"/>
    </row>
    <row r="420" spans="1:6" x14ac:dyDescent="0.25">
      <c r="A420" s="15"/>
      <c r="B420" s="15"/>
      <c r="C420" s="15"/>
      <c r="D420" s="15"/>
      <c r="E420" s="15"/>
      <c r="F420" s="15"/>
    </row>
    <row r="421" spans="1:6" x14ac:dyDescent="0.25">
      <c r="A421" s="15"/>
      <c r="B421" s="15"/>
      <c r="C421" s="15"/>
      <c r="D421" s="15"/>
      <c r="E421" s="15"/>
      <c r="F421" s="15"/>
    </row>
    <row r="422" spans="1:6" x14ac:dyDescent="0.25">
      <c r="A422" s="15"/>
      <c r="B422" s="15"/>
      <c r="C422" s="15"/>
      <c r="D422" s="15"/>
      <c r="E422" s="15"/>
      <c r="F422" s="15"/>
    </row>
    <row r="423" spans="1:6" x14ac:dyDescent="0.25">
      <c r="A423" s="15"/>
      <c r="B423" s="15"/>
      <c r="C423" s="15"/>
      <c r="D423" s="15"/>
      <c r="E423" s="15"/>
      <c r="F423" s="15"/>
    </row>
    <row r="424" spans="1:6" x14ac:dyDescent="0.25">
      <c r="A424" s="15"/>
      <c r="B424" s="15"/>
      <c r="C424" s="15"/>
      <c r="D424" s="15"/>
      <c r="E424" s="15"/>
      <c r="F424" s="15"/>
    </row>
    <row r="425" spans="1:6" x14ac:dyDescent="0.25">
      <c r="A425" s="15"/>
      <c r="B425" s="15"/>
      <c r="C425" s="15"/>
      <c r="D425" s="15"/>
      <c r="E425" s="15"/>
      <c r="F425" s="15"/>
    </row>
    <row r="426" spans="1:6" x14ac:dyDescent="0.25">
      <c r="A426" s="15"/>
      <c r="B426" s="15"/>
      <c r="C426" s="15"/>
      <c r="D426" s="15"/>
      <c r="E426" s="15"/>
      <c r="F426" s="15"/>
    </row>
    <row r="427" spans="1:6" x14ac:dyDescent="0.25">
      <c r="A427" s="15"/>
      <c r="B427" s="15"/>
      <c r="C427" s="15"/>
      <c r="D427" s="15"/>
      <c r="E427" s="15"/>
      <c r="F427" s="15"/>
    </row>
    <row r="428" spans="1:6" x14ac:dyDescent="0.25">
      <c r="A428" s="15"/>
      <c r="B428" s="15"/>
      <c r="C428" s="15"/>
      <c r="D428" s="15"/>
      <c r="E428" s="15"/>
      <c r="F428" s="15"/>
    </row>
    <row r="429" spans="1:6" x14ac:dyDescent="0.25">
      <c r="A429" s="15"/>
      <c r="B429" s="15"/>
      <c r="C429" s="15"/>
      <c r="D429" s="15"/>
      <c r="E429" s="15"/>
      <c r="F429" s="15"/>
    </row>
    <row r="430" spans="1:6" x14ac:dyDescent="0.25">
      <c r="A430" s="15"/>
      <c r="B430" s="15"/>
      <c r="C430" s="15"/>
      <c r="D430" s="15"/>
      <c r="E430" s="15"/>
      <c r="F430" s="15"/>
    </row>
    <row r="431" spans="1:6" x14ac:dyDescent="0.25">
      <c r="A431" s="15"/>
      <c r="B431" s="15"/>
      <c r="C431" s="15"/>
      <c r="D431" s="15"/>
      <c r="E431" s="15"/>
      <c r="F431" s="15"/>
    </row>
    <row r="432" spans="1:6" x14ac:dyDescent="0.25">
      <c r="A432" s="15"/>
      <c r="B432" s="15"/>
      <c r="C432" s="15"/>
      <c r="D432" s="15"/>
      <c r="E432" s="15"/>
      <c r="F432" s="15"/>
    </row>
    <row r="433" spans="1:6" x14ac:dyDescent="0.25">
      <c r="A433" s="15"/>
      <c r="B433" s="15"/>
      <c r="C433" s="15"/>
      <c r="D433" s="15"/>
      <c r="E433" s="15"/>
      <c r="F433" s="15"/>
    </row>
    <row r="434" spans="1:6" x14ac:dyDescent="0.25">
      <c r="A434" s="15"/>
      <c r="B434" s="15"/>
      <c r="C434" s="15"/>
      <c r="D434" s="15"/>
      <c r="E434" s="15"/>
      <c r="F434" s="15"/>
    </row>
    <row r="435" spans="1:6" x14ac:dyDescent="0.25">
      <c r="A435" s="15"/>
      <c r="B435" s="15"/>
      <c r="C435" s="15"/>
      <c r="D435" s="15"/>
      <c r="E435" s="15"/>
      <c r="F435" s="15"/>
    </row>
    <row r="436" spans="1:6" x14ac:dyDescent="0.25">
      <c r="A436" s="15"/>
      <c r="B436" s="15"/>
      <c r="C436" s="15"/>
      <c r="D436" s="15"/>
      <c r="E436" s="15"/>
      <c r="F436" s="15"/>
    </row>
    <row r="437" spans="1:6" x14ac:dyDescent="0.25">
      <c r="A437" s="15"/>
      <c r="B437" s="15"/>
      <c r="C437" s="15"/>
      <c r="D437" s="15"/>
      <c r="E437" s="15"/>
      <c r="F437" s="15"/>
    </row>
    <row r="438" spans="1:6" x14ac:dyDescent="0.25">
      <c r="A438" s="15"/>
      <c r="B438" s="15"/>
      <c r="C438" s="15"/>
      <c r="D438" s="15"/>
      <c r="E438" s="15"/>
      <c r="F438" s="15"/>
    </row>
    <row r="439" spans="1:6" x14ac:dyDescent="0.25">
      <c r="A439" s="15"/>
      <c r="B439" s="15"/>
      <c r="C439" s="15"/>
      <c r="D439" s="15"/>
      <c r="E439" s="15"/>
      <c r="F439" s="15"/>
    </row>
    <row r="440" spans="1:6" x14ac:dyDescent="0.25">
      <c r="A440" s="15"/>
      <c r="B440" s="15"/>
      <c r="C440" s="15"/>
      <c r="D440" s="15"/>
      <c r="E440" s="15"/>
      <c r="F440" s="15"/>
    </row>
    <row r="441" spans="1:6" x14ac:dyDescent="0.25">
      <c r="A441" s="15"/>
      <c r="B441" s="15"/>
      <c r="C441" s="15"/>
      <c r="D441" s="15"/>
      <c r="E441" s="15"/>
      <c r="F441" s="15"/>
    </row>
    <row r="442" spans="1:6" x14ac:dyDescent="0.25">
      <c r="A442" s="15"/>
      <c r="B442" s="15"/>
      <c r="C442" s="15"/>
      <c r="D442" s="15"/>
      <c r="E442" s="15"/>
      <c r="F442" s="15"/>
    </row>
    <row r="443" spans="1:6" x14ac:dyDescent="0.25">
      <c r="A443" s="15"/>
      <c r="B443" s="15"/>
      <c r="C443" s="15"/>
      <c r="D443" s="15"/>
      <c r="E443" s="15"/>
      <c r="F443" s="15"/>
    </row>
    <row r="444" spans="1:6" x14ac:dyDescent="0.25">
      <c r="A444" s="15"/>
      <c r="B444" s="15"/>
      <c r="C444" s="15"/>
      <c r="D444" s="15"/>
      <c r="E444" s="15"/>
      <c r="F444" s="15"/>
    </row>
    <row r="445" spans="1:6" x14ac:dyDescent="0.25">
      <c r="A445" s="15"/>
      <c r="B445" s="15"/>
      <c r="C445" s="15"/>
      <c r="D445" s="15"/>
      <c r="E445" s="15"/>
      <c r="F445" s="15"/>
    </row>
    <row r="446" spans="1:6" x14ac:dyDescent="0.25">
      <c r="A446" s="15"/>
      <c r="B446" s="15"/>
      <c r="C446" s="15"/>
      <c r="D446" s="15"/>
      <c r="E446" s="15"/>
      <c r="F446" s="15"/>
    </row>
    <row r="447" spans="1:6" x14ac:dyDescent="0.25">
      <c r="A447" s="15"/>
      <c r="B447" s="15"/>
      <c r="C447" s="15"/>
      <c r="D447" s="15"/>
      <c r="E447" s="15"/>
      <c r="F447" s="15"/>
    </row>
    <row r="448" spans="1:6" x14ac:dyDescent="0.25">
      <c r="A448" s="15"/>
      <c r="B448" s="15"/>
      <c r="C448" s="15"/>
      <c r="D448" s="15"/>
      <c r="E448" s="15"/>
      <c r="F448" s="15"/>
    </row>
    <row r="449" spans="1:6" x14ac:dyDescent="0.25">
      <c r="A449" s="15"/>
      <c r="B449" s="15"/>
      <c r="C449" s="15"/>
      <c r="D449" s="15"/>
      <c r="E449" s="15"/>
      <c r="F449" s="15"/>
    </row>
    <row r="450" spans="1:6" x14ac:dyDescent="0.25">
      <c r="A450" s="15"/>
      <c r="B450" s="15"/>
      <c r="C450" s="15"/>
      <c r="D450" s="15"/>
      <c r="E450" s="15"/>
      <c r="F450" s="15"/>
    </row>
    <row r="451" spans="1:6" x14ac:dyDescent="0.25">
      <c r="A451" s="15"/>
      <c r="B451" s="15"/>
      <c r="C451" s="15"/>
      <c r="D451" s="15"/>
      <c r="E451" s="15"/>
      <c r="F451" s="15"/>
    </row>
    <row r="452" spans="1:6" x14ac:dyDescent="0.25">
      <c r="A452" s="15"/>
      <c r="B452" s="15"/>
      <c r="C452" s="15"/>
      <c r="D452" s="15"/>
      <c r="E452" s="15"/>
      <c r="F452" s="15"/>
    </row>
    <row r="453" spans="1:6" x14ac:dyDescent="0.25">
      <c r="A453" s="15"/>
      <c r="B453" s="15"/>
      <c r="C453" s="15"/>
      <c r="D453" s="15"/>
      <c r="E453" s="15"/>
      <c r="F453" s="15"/>
    </row>
    <row r="454" spans="1:6" x14ac:dyDescent="0.25">
      <c r="A454" s="15"/>
      <c r="B454" s="15"/>
      <c r="C454" s="15"/>
      <c r="D454" s="15"/>
      <c r="E454" s="15"/>
      <c r="F454" s="15"/>
    </row>
    <row r="455" spans="1:6" x14ac:dyDescent="0.25">
      <c r="A455" s="15"/>
      <c r="B455" s="15"/>
      <c r="C455" s="15"/>
      <c r="D455" s="15"/>
      <c r="E455" s="15"/>
      <c r="F455" s="15"/>
    </row>
    <row r="456" spans="1:6" x14ac:dyDescent="0.25">
      <c r="A456" s="15"/>
      <c r="B456" s="15"/>
      <c r="C456" s="15"/>
      <c r="D456" s="15"/>
      <c r="E456" s="15"/>
      <c r="F456" s="15"/>
    </row>
    <row r="457" spans="1:6" x14ac:dyDescent="0.25">
      <c r="A457" s="15"/>
      <c r="B457" s="15"/>
      <c r="C457" s="15"/>
      <c r="D457" s="15"/>
      <c r="E457" s="15"/>
      <c r="F457" s="15"/>
    </row>
    <row r="458" spans="1:6" x14ac:dyDescent="0.25">
      <c r="A458" s="15"/>
      <c r="B458" s="15"/>
      <c r="C458" s="15"/>
      <c r="D458" s="15"/>
      <c r="E458" s="15"/>
      <c r="F458" s="15"/>
    </row>
    <row r="459" spans="1:6" x14ac:dyDescent="0.25">
      <c r="A459" s="15"/>
      <c r="B459" s="15"/>
      <c r="C459" s="15"/>
      <c r="D459" s="15"/>
      <c r="E459" s="15"/>
      <c r="F459" s="15"/>
    </row>
    <row r="460" spans="1:6" x14ac:dyDescent="0.25">
      <c r="A460" s="15"/>
      <c r="B460" s="15"/>
      <c r="C460" s="15"/>
      <c r="D460" s="15"/>
      <c r="E460" s="15"/>
      <c r="F460" s="15"/>
    </row>
    <row r="461" spans="1:6" x14ac:dyDescent="0.25">
      <c r="A461" s="15"/>
      <c r="B461" s="15"/>
      <c r="C461" s="15"/>
      <c r="D461" s="15"/>
      <c r="E461" s="15"/>
      <c r="F461" s="15"/>
    </row>
    <row r="462" spans="1:6" x14ac:dyDescent="0.25">
      <c r="A462" s="15"/>
      <c r="B462" s="15"/>
      <c r="C462" s="15"/>
      <c r="D462" s="15"/>
      <c r="E462" s="15"/>
      <c r="F462" s="15"/>
    </row>
    <row r="463" spans="1:6" x14ac:dyDescent="0.25">
      <c r="A463" s="15"/>
      <c r="B463" s="15"/>
      <c r="C463" s="15"/>
      <c r="D463" s="15"/>
      <c r="E463" s="15"/>
      <c r="F463" s="15"/>
    </row>
    <row r="464" spans="1:6" x14ac:dyDescent="0.25">
      <c r="A464" s="15"/>
      <c r="B464" s="15"/>
      <c r="C464" s="15"/>
      <c r="D464" s="15"/>
      <c r="E464" s="15"/>
      <c r="F464" s="15"/>
    </row>
    <row r="465" spans="1:6" x14ac:dyDescent="0.25">
      <c r="A465" s="15"/>
      <c r="B465" s="15"/>
      <c r="C465" s="15"/>
      <c r="D465" s="15"/>
      <c r="E465" s="15"/>
      <c r="F465" s="15"/>
    </row>
    <row r="466" spans="1:6" x14ac:dyDescent="0.25">
      <c r="A466" s="15"/>
      <c r="B466" s="15"/>
      <c r="C466" s="15"/>
      <c r="D466" s="15"/>
      <c r="E466" s="15"/>
      <c r="F466" s="15"/>
    </row>
    <row r="467" spans="1:6" x14ac:dyDescent="0.25">
      <c r="A467" s="15"/>
      <c r="B467" s="15"/>
      <c r="C467" s="15"/>
      <c r="D467" s="15"/>
      <c r="E467" s="15"/>
      <c r="F467" s="15"/>
    </row>
    <row r="468" spans="1:6" x14ac:dyDescent="0.25">
      <c r="A468" s="15"/>
      <c r="B468" s="15"/>
      <c r="C468" s="15"/>
      <c r="D468" s="15"/>
      <c r="E468" s="15"/>
      <c r="F468" s="15"/>
    </row>
    <row r="469" spans="1:6" x14ac:dyDescent="0.25">
      <c r="A469" s="15"/>
      <c r="B469" s="15"/>
      <c r="C469" s="15"/>
      <c r="D469" s="15"/>
      <c r="E469" s="15"/>
      <c r="F469" s="15"/>
    </row>
    <row r="470" spans="1:6" x14ac:dyDescent="0.25">
      <c r="A470" s="15"/>
      <c r="B470" s="15"/>
      <c r="C470" s="15"/>
      <c r="D470" s="15"/>
      <c r="E470" s="15"/>
      <c r="F470" s="15"/>
    </row>
    <row r="471" spans="1:6" x14ac:dyDescent="0.25">
      <c r="A471" s="15"/>
      <c r="B471" s="15"/>
      <c r="C471" s="15"/>
      <c r="D471" s="15"/>
      <c r="E471" s="15"/>
      <c r="F471" s="15"/>
    </row>
    <row r="472" spans="1:6" x14ac:dyDescent="0.25">
      <c r="A472" s="15"/>
      <c r="B472" s="15"/>
      <c r="C472" s="15"/>
      <c r="D472" s="15"/>
      <c r="E472" s="15"/>
      <c r="F472" s="15"/>
    </row>
    <row r="473" spans="1:6" x14ac:dyDescent="0.25">
      <c r="A473" s="15"/>
      <c r="B473" s="15"/>
      <c r="C473" s="15"/>
      <c r="D473" s="15"/>
      <c r="E473" s="15"/>
      <c r="F473" s="15"/>
    </row>
    <row r="474" spans="1:6" x14ac:dyDescent="0.25">
      <c r="A474" s="15"/>
      <c r="B474" s="15"/>
      <c r="C474" s="15"/>
      <c r="D474" s="15"/>
      <c r="E474" s="15"/>
      <c r="F474" s="15"/>
    </row>
    <row r="475" spans="1:6" x14ac:dyDescent="0.25">
      <c r="A475" s="15"/>
      <c r="B475" s="15"/>
      <c r="C475" s="15"/>
      <c r="D475" s="15"/>
      <c r="E475" s="15"/>
      <c r="F475" s="15"/>
    </row>
    <row r="476" spans="1:6" x14ac:dyDescent="0.25">
      <c r="A476" s="15"/>
      <c r="B476" s="15"/>
      <c r="C476" s="15"/>
      <c r="D476" s="15"/>
      <c r="E476" s="15"/>
      <c r="F476" s="15"/>
    </row>
    <row r="477" spans="1:6" x14ac:dyDescent="0.25">
      <c r="A477" s="15"/>
      <c r="B477" s="15"/>
      <c r="C477" s="15"/>
      <c r="D477" s="15"/>
      <c r="E477" s="15"/>
      <c r="F477" s="15"/>
    </row>
    <row r="478" spans="1:6" x14ac:dyDescent="0.25">
      <c r="A478" s="15"/>
      <c r="B478" s="15"/>
      <c r="C478" s="15"/>
      <c r="D478" s="15"/>
      <c r="E478" s="15"/>
      <c r="F478" s="15"/>
    </row>
    <row r="479" spans="1:6" x14ac:dyDescent="0.25">
      <c r="A479" s="15"/>
      <c r="B479" s="15"/>
      <c r="C479" s="15"/>
      <c r="D479" s="15"/>
      <c r="E479" s="15"/>
      <c r="F479" s="15"/>
    </row>
    <row r="480" spans="1:6" x14ac:dyDescent="0.25">
      <c r="A480" s="15"/>
      <c r="B480" s="15"/>
      <c r="C480" s="15"/>
      <c r="D480" s="15"/>
      <c r="E480" s="15"/>
      <c r="F480" s="15"/>
    </row>
    <row r="481" spans="1:6" x14ac:dyDescent="0.25">
      <c r="A481" s="15"/>
      <c r="B481" s="15"/>
      <c r="C481" s="15"/>
      <c r="D481" s="15"/>
      <c r="E481" s="15"/>
      <c r="F481" s="15"/>
    </row>
    <row r="482" spans="1:6" x14ac:dyDescent="0.25">
      <c r="A482" s="15"/>
      <c r="B482" s="15"/>
      <c r="C482" s="15"/>
      <c r="D482" s="15"/>
      <c r="E482" s="15"/>
      <c r="F482" s="15"/>
    </row>
    <row r="483" spans="1:6" x14ac:dyDescent="0.25">
      <c r="A483" s="15"/>
      <c r="B483" s="15"/>
      <c r="C483" s="15"/>
      <c r="D483" s="15"/>
      <c r="E483" s="15"/>
      <c r="F483" s="15"/>
    </row>
    <row r="484" spans="1:6" x14ac:dyDescent="0.25">
      <c r="A484" s="15"/>
      <c r="B484" s="15"/>
      <c r="C484" s="15"/>
      <c r="D484" s="15"/>
      <c r="E484" s="15"/>
      <c r="F484" s="15"/>
    </row>
    <row r="485" spans="1:6" x14ac:dyDescent="0.25">
      <c r="A485" s="15"/>
      <c r="B485" s="15"/>
      <c r="C485" s="15"/>
      <c r="D485" s="15"/>
      <c r="E485" s="15"/>
      <c r="F485" s="15"/>
    </row>
  </sheetData>
  <mergeCells count="142">
    <mergeCell ref="H380:H386"/>
    <mergeCell ref="H185:H191"/>
    <mergeCell ref="A117:L118"/>
    <mergeCell ref="A1:L2"/>
    <mergeCell ref="I308:I309"/>
    <mergeCell ref="A316:M317"/>
    <mergeCell ref="A325:U325"/>
    <mergeCell ref="A327:K328"/>
    <mergeCell ref="A344:K345"/>
    <mergeCell ref="A365:H366"/>
    <mergeCell ref="B308:B309"/>
    <mergeCell ref="C308:C309"/>
    <mergeCell ref="D308:D309"/>
    <mergeCell ref="E308:E309"/>
    <mergeCell ref="G308:G309"/>
    <mergeCell ref="H308:H309"/>
    <mergeCell ref="C306:C307"/>
    <mergeCell ref="D306:D307"/>
    <mergeCell ref="E306:E307"/>
    <mergeCell ref="F306:F307"/>
    <mergeCell ref="G306:G307"/>
    <mergeCell ref="H306:I307"/>
    <mergeCell ref="I295:I296"/>
    <mergeCell ref="A301:A310"/>
    <mergeCell ref="B302:B303"/>
    <mergeCell ref="K302:K310"/>
    <mergeCell ref="C303:G303"/>
    <mergeCell ref="B304:B305"/>
    <mergeCell ref="E304:E305"/>
    <mergeCell ref="I304:I305"/>
    <mergeCell ref="C305:D305"/>
    <mergeCell ref="B306:B307"/>
    <mergeCell ref="B295:B296"/>
    <mergeCell ref="C295:C296"/>
    <mergeCell ref="D295:D296"/>
    <mergeCell ref="E295:E296"/>
    <mergeCell ref="G295:G296"/>
    <mergeCell ref="H295:H296"/>
    <mergeCell ref="K289:K297"/>
    <mergeCell ref="A275:A284"/>
    <mergeCell ref="B276:B277"/>
    <mergeCell ref="C293:C294"/>
    <mergeCell ref="D293:D294"/>
    <mergeCell ref="E293:E294"/>
    <mergeCell ref="F293:F294"/>
    <mergeCell ref="G293:G294"/>
    <mergeCell ref="H293:I294"/>
    <mergeCell ref="I282:I283"/>
    <mergeCell ref="A288:A297"/>
    <mergeCell ref="B289:B290"/>
    <mergeCell ref="C290:G290"/>
    <mergeCell ref="B291:B292"/>
    <mergeCell ref="E291:E292"/>
    <mergeCell ref="I291:I292"/>
    <mergeCell ref="C292:D292"/>
    <mergeCell ref="B293:B294"/>
    <mergeCell ref="B282:B283"/>
    <mergeCell ref="C282:C283"/>
    <mergeCell ref="D282:D283"/>
    <mergeCell ref="E282:E283"/>
    <mergeCell ref="G282:G283"/>
    <mergeCell ref="H282:H283"/>
    <mergeCell ref="K276:K284"/>
    <mergeCell ref="C277:G277"/>
    <mergeCell ref="B278:B279"/>
    <mergeCell ref="E278:E279"/>
    <mergeCell ref="I278:I279"/>
    <mergeCell ref="C279:D279"/>
    <mergeCell ref="B280:B281"/>
    <mergeCell ref="B269:B270"/>
    <mergeCell ref="C269:C270"/>
    <mergeCell ref="D269:D270"/>
    <mergeCell ref="E269:E270"/>
    <mergeCell ref="G269:G270"/>
    <mergeCell ref="H269:H270"/>
    <mergeCell ref="K263:K271"/>
    <mergeCell ref="C280:C281"/>
    <mergeCell ref="D280:D281"/>
    <mergeCell ref="E280:E281"/>
    <mergeCell ref="F280:F281"/>
    <mergeCell ref="G280:G281"/>
    <mergeCell ref="H280:I281"/>
    <mergeCell ref="I269:I270"/>
    <mergeCell ref="A247:A258"/>
    <mergeCell ref="B248:B249"/>
    <mergeCell ref="C267:C268"/>
    <mergeCell ref="D267:D268"/>
    <mergeCell ref="E267:E268"/>
    <mergeCell ref="F267:F268"/>
    <mergeCell ref="G267:G268"/>
    <mergeCell ref="H267:I268"/>
    <mergeCell ref="I256:I257"/>
    <mergeCell ref="A262:A271"/>
    <mergeCell ref="B263:B264"/>
    <mergeCell ref="C264:G264"/>
    <mergeCell ref="B265:B266"/>
    <mergeCell ref="E265:E266"/>
    <mergeCell ref="I265:I266"/>
    <mergeCell ref="C266:D266"/>
    <mergeCell ref="B267:B268"/>
    <mergeCell ref="B256:B257"/>
    <mergeCell ref="C256:C257"/>
    <mergeCell ref="D256:D257"/>
    <mergeCell ref="E256:E257"/>
    <mergeCell ref="G256:G257"/>
    <mergeCell ref="H256:H257"/>
    <mergeCell ref="K248:K258"/>
    <mergeCell ref="C249:G249"/>
    <mergeCell ref="B250:B251"/>
    <mergeCell ref="E250:E251"/>
    <mergeCell ref="I250:I251"/>
    <mergeCell ref="C251:D251"/>
    <mergeCell ref="B252:B253"/>
    <mergeCell ref="B241:B242"/>
    <mergeCell ref="C241:C242"/>
    <mergeCell ref="D241:D242"/>
    <mergeCell ref="E241:E242"/>
    <mergeCell ref="G241:G242"/>
    <mergeCell ref="H241:H242"/>
    <mergeCell ref="C252:C253"/>
    <mergeCell ref="D252:D253"/>
    <mergeCell ref="E252:E253"/>
    <mergeCell ref="F252:F253"/>
    <mergeCell ref="G252:G253"/>
    <mergeCell ref="H252:I253"/>
    <mergeCell ref="I241:I242"/>
    <mergeCell ref="C239:C240"/>
    <mergeCell ref="D239:D240"/>
    <mergeCell ref="E239:E240"/>
    <mergeCell ref="F239:F240"/>
    <mergeCell ref="G239:G240"/>
    <mergeCell ref="H239:I240"/>
    <mergeCell ref="A208:T209"/>
    <mergeCell ref="A234:A243"/>
    <mergeCell ref="B235:B236"/>
    <mergeCell ref="K235:K243"/>
    <mergeCell ref="C236:G236"/>
    <mergeCell ref="B237:B238"/>
    <mergeCell ref="E237:E238"/>
    <mergeCell ref="I237:I238"/>
    <mergeCell ref="C238:D238"/>
    <mergeCell ref="B239:B24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BDF3-11A2-4F80-AF10-A6935D7462F7}">
  <dimension ref="A1:AC61"/>
  <sheetViews>
    <sheetView zoomScale="70" zoomScaleNormal="70" workbookViewId="0">
      <selection sqref="A1:L2"/>
    </sheetView>
  </sheetViews>
  <sheetFormatPr defaultRowHeight="15" x14ac:dyDescent="0.25"/>
  <sheetData>
    <row r="1" spans="1:29" ht="45" x14ac:dyDescent="0.25">
      <c r="A1" s="277" t="s">
        <v>347</v>
      </c>
      <c r="B1" s="277" t="s">
        <v>349</v>
      </c>
      <c r="C1" s="277" t="s">
        <v>350</v>
      </c>
      <c r="D1" s="277" t="s">
        <v>352</v>
      </c>
      <c r="E1" s="277" t="s">
        <v>353</v>
      </c>
      <c r="F1" s="277" t="s">
        <v>354</v>
      </c>
      <c r="G1" s="277" t="s">
        <v>355</v>
      </c>
      <c r="H1" s="336" t="s">
        <v>356</v>
      </c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</row>
    <row r="2" spans="1:29" x14ac:dyDescent="0.25">
      <c r="A2" s="608">
        <v>43124</v>
      </c>
      <c r="B2" s="609"/>
      <c r="C2" s="609"/>
      <c r="D2" s="609"/>
      <c r="E2" s="609"/>
      <c r="F2" s="609"/>
      <c r="G2" s="609"/>
      <c r="H2" s="609"/>
      <c r="I2" s="227"/>
      <c r="J2" s="335"/>
      <c r="K2" s="335"/>
      <c r="L2" s="335"/>
      <c r="M2" s="335"/>
      <c r="N2" s="335"/>
      <c r="O2" s="335"/>
      <c r="P2" s="335"/>
      <c r="Q2" s="335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</row>
    <row r="3" spans="1:29" ht="23.25" x14ac:dyDescent="0.25">
      <c r="A3" s="278">
        <v>43124</v>
      </c>
      <c r="B3" s="281" t="s">
        <v>360</v>
      </c>
      <c r="C3" s="281" t="s">
        <v>207</v>
      </c>
      <c r="D3" s="281" t="s">
        <v>362</v>
      </c>
      <c r="E3" s="281" t="s">
        <v>363</v>
      </c>
      <c r="F3" s="283" t="s">
        <v>364</v>
      </c>
      <c r="G3" s="284">
        <v>12.5</v>
      </c>
      <c r="H3" s="337">
        <v>716.91</v>
      </c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</row>
    <row r="4" spans="1:29" x14ac:dyDescent="0.25">
      <c r="A4" s="278">
        <v>43124</v>
      </c>
      <c r="B4" s="281" t="s">
        <v>360</v>
      </c>
      <c r="C4" s="281" t="s">
        <v>207</v>
      </c>
      <c r="D4" s="281" t="s">
        <v>365</v>
      </c>
      <c r="E4" s="281" t="s">
        <v>366</v>
      </c>
      <c r="F4" s="283" t="s">
        <v>365</v>
      </c>
      <c r="G4" s="284"/>
      <c r="H4" s="337">
        <v>49.11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</row>
    <row r="5" spans="1:29" x14ac:dyDescent="0.25">
      <c r="A5" s="278">
        <v>43124</v>
      </c>
      <c r="B5" s="281" t="s">
        <v>360</v>
      </c>
      <c r="C5" s="281" t="s">
        <v>207</v>
      </c>
      <c r="D5" s="281" t="s">
        <v>365</v>
      </c>
      <c r="E5" s="281" t="s">
        <v>367</v>
      </c>
      <c r="F5" s="283" t="s">
        <v>365</v>
      </c>
      <c r="G5" s="284"/>
      <c r="H5" s="337">
        <v>4.67</v>
      </c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  <c r="AA5" s="227"/>
      <c r="AB5" s="227"/>
      <c r="AC5" s="227"/>
    </row>
    <row r="6" spans="1:29" x14ac:dyDescent="0.25">
      <c r="A6" s="278">
        <v>43124</v>
      </c>
      <c r="B6" s="281" t="s">
        <v>360</v>
      </c>
      <c r="C6" s="281" t="s">
        <v>207</v>
      </c>
      <c r="D6" s="281" t="s">
        <v>365</v>
      </c>
      <c r="E6" s="281" t="s">
        <v>368</v>
      </c>
      <c r="F6" s="283" t="s">
        <v>365</v>
      </c>
      <c r="G6" s="284"/>
      <c r="H6" s="337">
        <v>8.9499999999999993</v>
      </c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</row>
    <row r="7" spans="1:29" x14ac:dyDescent="0.25">
      <c r="A7" s="278">
        <v>43124</v>
      </c>
      <c r="B7" s="281" t="s">
        <v>360</v>
      </c>
      <c r="C7" s="281" t="s">
        <v>207</v>
      </c>
      <c r="D7" s="281" t="s">
        <v>369</v>
      </c>
      <c r="E7" s="281" t="s">
        <v>370</v>
      </c>
      <c r="F7" s="283" t="s">
        <v>371</v>
      </c>
      <c r="G7" s="284"/>
      <c r="H7" s="337">
        <v>68.11</v>
      </c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</row>
    <row r="8" spans="1:29" x14ac:dyDescent="0.25">
      <c r="A8" s="608">
        <v>43138</v>
      </c>
      <c r="B8" s="609"/>
      <c r="C8" s="609"/>
      <c r="D8" s="609"/>
      <c r="E8" s="609"/>
      <c r="F8" s="609"/>
      <c r="G8" s="609"/>
      <c r="H8" s="609"/>
      <c r="I8" s="227"/>
      <c r="J8" s="335"/>
      <c r="K8" s="335"/>
      <c r="L8" s="335"/>
      <c r="M8" s="335"/>
      <c r="N8" s="335"/>
      <c r="O8" s="335"/>
      <c r="P8" s="335"/>
      <c r="Q8" s="335"/>
      <c r="R8" s="227"/>
      <c r="S8" s="227"/>
      <c r="T8" s="227"/>
      <c r="U8" s="227"/>
      <c r="V8" s="227"/>
      <c r="W8" s="227"/>
      <c r="X8" s="227"/>
      <c r="Y8" s="227"/>
      <c r="Z8" s="227"/>
      <c r="AA8" s="227"/>
      <c r="AB8" s="227"/>
      <c r="AC8" s="227"/>
    </row>
    <row r="9" spans="1:29" ht="23.25" x14ac:dyDescent="0.25">
      <c r="A9" s="278">
        <v>43138</v>
      </c>
      <c r="B9" s="281" t="s">
        <v>360</v>
      </c>
      <c r="C9" s="281" t="s">
        <v>207</v>
      </c>
      <c r="D9" s="281" t="s">
        <v>362</v>
      </c>
      <c r="E9" s="281" t="s">
        <v>363</v>
      </c>
      <c r="F9" s="283" t="s">
        <v>364</v>
      </c>
      <c r="G9" s="284">
        <v>73.5</v>
      </c>
      <c r="H9" s="337">
        <v>4258.2</v>
      </c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  <c r="AB9" s="227"/>
      <c r="AC9" s="227"/>
    </row>
    <row r="10" spans="1:29" x14ac:dyDescent="0.25">
      <c r="A10" s="278">
        <v>43138</v>
      </c>
      <c r="B10" s="281" t="s">
        <v>360</v>
      </c>
      <c r="C10" s="281" t="s">
        <v>207</v>
      </c>
      <c r="D10" s="281" t="s">
        <v>365</v>
      </c>
      <c r="E10" s="281" t="s">
        <v>366</v>
      </c>
      <c r="F10" s="283" t="s">
        <v>365</v>
      </c>
      <c r="G10" s="284"/>
      <c r="H10" s="337">
        <v>291.7</v>
      </c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</row>
    <row r="11" spans="1:29" x14ac:dyDescent="0.25">
      <c r="A11" s="278">
        <v>43138</v>
      </c>
      <c r="B11" s="281" t="s">
        <v>360</v>
      </c>
      <c r="C11" s="281" t="s">
        <v>207</v>
      </c>
      <c r="D11" s="281" t="s">
        <v>365</v>
      </c>
      <c r="E11" s="281" t="s">
        <v>367</v>
      </c>
      <c r="F11" s="283" t="s">
        <v>365</v>
      </c>
      <c r="G11" s="284"/>
      <c r="H11" s="337">
        <v>27.71</v>
      </c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  <c r="AB11" s="227"/>
      <c r="AC11" s="227"/>
    </row>
    <row r="12" spans="1:29" x14ac:dyDescent="0.25">
      <c r="A12" s="278">
        <v>43138</v>
      </c>
      <c r="B12" s="281" t="s">
        <v>360</v>
      </c>
      <c r="C12" s="281" t="s">
        <v>207</v>
      </c>
      <c r="D12" s="281" t="s">
        <v>365</v>
      </c>
      <c r="E12" s="281" t="s">
        <v>368</v>
      </c>
      <c r="F12" s="283" t="s">
        <v>365</v>
      </c>
      <c r="G12" s="284"/>
      <c r="H12" s="337">
        <v>53.22</v>
      </c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</row>
    <row r="13" spans="1:29" x14ac:dyDescent="0.25">
      <c r="A13" s="278">
        <v>43138</v>
      </c>
      <c r="B13" s="281" t="s">
        <v>360</v>
      </c>
      <c r="C13" s="281" t="s">
        <v>207</v>
      </c>
      <c r="D13" s="281" t="s">
        <v>369</v>
      </c>
      <c r="E13" s="281" t="s">
        <v>370</v>
      </c>
      <c r="F13" s="283" t="s">
        <v>371</v>
      </c>
      <c r="G13" s="284"/>
      <c r="H13" s="337">
        <v>404.53</v>
      </c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  <c r="AA13" s="227"/>
      <c r="AB13" s="227"/>
      <c r="AC13" s="227"/>
    </row>
    <row r="14" spans="1:29" x14ac:dyDescent="0.25">
      <c r="A14" s="608">
        <v>43166</v>
      </c>
      <c r="B14" s="609"/>
      <c r="C14" s="609"/>
      <c r="D14" s="609"/>
      <c r="E14" s="609"/>
      <c r="F14" s="609"/>
      <c r="G14" s="609"/>
      <c r="H14" s="609"/>
      <c r="I14" s="227"/>
      <c r="J14" s="335"/>
      <c r="K14" s="335"/>
      <c r="L14" s="335"/>
      <c r="M14" s="335"/>
      <c r="N14" s="335"/>
      <c r="O14" s="335"/>
      <c r="P14" s="335"/>
      <c r="Q14" s="335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</row>
    <row r="15" spans="1:29" ht="23.25" x14ac:dyDescent="0.25">
      <c r="A15" s="278">
        <v>43166</v>
      </c>
      <c r="B15" s="281" t="s">
        <v>360</v>
      </c>
      <c r="C15" s="281" t="s">
        <v>207</v>
      </c>
      <c r="D15" s="281" t="s">
        <v>362</v>
      </c>
      <c r="E15" s="281" t="s">
        <v>363</v>
      </c>
      <c r="F15" s="283" t="s">
        <v>364</v>
      </c>
      <c r="G15" s="284">
        <v>6</v>
      </c>
      <c r="H15" s="337">
        <v>347.6</v>
      </c>
      <c r="I15" s="227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</row>
    <row r="16" spans="1:29" x14ac:dyDescent="0.25">
      <c r="A16" s="278">
        <v>43166</v>
      </c>
      <c r="B16" s="281" t="s">
        <v>360</v>
      </c>
      <c r="C16" s="281" t="s">
        <v>207</v>
      </c>
      <c r="D16" s="281" t="s">
        <v>365</v>
      </c>
      <c r="E16" s="281" t="s">
        <v>366</v>
      </c>
      <c r="F16" s="283" t="s">
        <v>365</v>
      </c>
      <c r="G16" s="284"/>
      <c r="H16" s="337">
        <v>23.81</v>
      </c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</row>
    <row r="17" spans="1:29" x14ac:dyDescent="0.25">
      <c r="A17" s="278">
        <v>43166</v>
      </c>
      <c r="B17" s="281" t="s">
        <v>360</v>
      </c>
      <c r="C17" s="281" t="s">
        <v>207</v>
      </c>
      <c r="D17" s="281" t="s">
        <v>365</v>
      </c>
      <c r="E17" s="281" t="s">
        <v>368</v>
      </c>
      <c r="F17" s="283" t="s">
        <v>365</v>
      </c>
      <c r="G17" s="284"/>
      <c r="H17" s="337">
        <v>4.3499999999999996</v>
      </c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</row>
    <row r="18" spans="1:29" x14ac:dyDescent="0.25">
      <c r="A18" s="608">
        <v>43180</v>
      </c>
      <c r="B18" s="609"/>
      <c r="C18" s="609"/>
      <c r="D18" s="609"/>
      <c r="E18" s="609"/>
      <c r="F18" s="609"/>
      <c r="G18" s="609"/>
      <c r="H18" s="609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</row>
    <row r="19" spans="1:29" ht="23.25" x14ac:dyDescent="0.25">
      <c r="A19" s="278">
        <v>43180</v>
      </c>
      <c r="B19" s="281" t="s">
        <v>360</v>
      </c>
      <c r="C19" s="281" t="s">
        <v>207</v>
      </c>
      <c r="D19" s="281" t="s">
        <v>362</v>
      </c>
      <c r="E19" s="281" t="s">
        <v>363</v>
      </c>
      <c r="F19" s="283" t="s">
        <v>364</v>
      </c>
      <c r="G19" s="284">
        <v>1</v>
      </c>
      <c r="H19" s="337">
        <v>57.93</v>
      </c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</row>
    <row r="20" spans="1:29" x14ac:dyDescent="0.25">
      <c r="A20" s="278">
        <v>43180</v>
      </c>
      <c r="B20" s="281" t="s">
        <v>360</v>
      </c>
      <c r="C20" s="281" t="s">
        <v>207</v>
      </c>
      <c r="D20" s="281" t="s">
        <v>365</v>
      </c>
      <c r="E20" s="281" t="s">
        <v>366</v>
      </c>
      <c r="F20" s="283" t="s">
        <v>365</v>
      </c>
      <c r="G20" s="284"/>
      <c r="H20" s="337">
        <v>3.97</v>
      </c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</row>
    <row r="21" spans="1:29" x14ac:dyDescent="0.25">
      <c r="A21" s="278">
        <v>43180</v>
      </c>
      <c r="B21" s="281" t="s">
        <v>360</v>
      </c>
      <c r="C21" s="281" t="s">
        <v>207</v>
      </c>
      <c r="D21" s="281" t="s">
        <v>365</v>
      </c>
      <c r="E21" s="281" t="s">
        <v>368</v>
      </c>
      <c r="F21" s="283" t="s">
        <v>365</v>
      </c>
      <c r="G21" s="284"/>
      <c r="H21" s="337">
        <v>0.72</v>
      </c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</row>
    <row r="22" spans="1:29" x14ac:dyDescent="0.25">
      <c r="A22" s="608">
        <v>43222</v>
      </c>
      <c r="B22" s="609"/>
      <c r="C22" s="609"/>
      <c r="D22" s="609"/>
      <c r="E22" s="609"/>
      <c r="F22" s="609"/>
      <c r="G22" s="609"/>
      <c r="H22" s="609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</row>
    <row r="23" spans="1:29" ht="23.25" x14ac:dyDescent="0.25">
      <c r="A23" s="278">
        <v>43222</v>
      </c>
      <c r="B23" s="281" t="s">
        <v>360</v>
      </c>
      <c r="C23" s="281" t="s">
        <v>207</v>
      </c>
      <c r="D23" s="281" t="s">
        <v>362</v>
      </c>
      <c r="E23" s="281" t="s">
        <v>378</v>
      </c>
      <c r="F23" s="283" t="s">
        <v>387</v>
      </c>
      <c r="G23" s="284">
        <v>40.75</v>
      </c>
      <c r="H23" s="337">
        <v>1845.12</v>
      </c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</row>
    <row r="24" spans="1:29" x14ac:dyDescent="0.25">
      <c r="A24" s="278">
        <v>43222</v>
      </c>
      <c r="B24" s="281" t="s">
        <v>360</v>
      </c>
      <c r="C24" s="281" t="s">
        <v>207</v>
      </c>
      <c r="D24" s="281" t="s">
        <v>365</v>
      </c>
      <c r="E24" s="281" t="s">
        <v>380</v>
      </c>
      <c r="F24" s="283" t="s">
        <v>365</v>
      </c>
      <c r="G24" s="284"/>
      <c r="H24" s="337">
        <v>126.39</v>
      </c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</row>
    <row r="25" spans="1:29" x14ac:dyDescent="0.25">
      <c r="A25" s="278">
        <v>43222</v>
      </c>
      <c r="B25" s="281" t="s">
        <v>360</v>
      </c>
      <c r="C25" s="281" t="s">
        <v>207</v>
      </c>
      <c r="D25" s="281" t="s">
        <v>365</v>
      </c>
      <c r="E25" s="281" t="s">
        <v>381</v>
      </c>
      <c r="F25" s="283" t="s">
        <v>365</v>
      </c>
      <c r="G25" s="284"/>
      <c r="H25" s="337">
        <v>12.01</v>
      </c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</row>
    <row r="26" spans="1:29" x14ac:dyDescent="0.25">
      <c r="A26" s="278">
        <v>43222</v>
      </c>
      <c r="B26" s="281" t="s">
        <v>360</v>
      </c>
      <c r="C26" s="281" t="s">
        <v>207</v>
      </c>
      <c r="D26" s="281" t="s">
        <v>365</v>
      </c>
      <c r="E26" s="281" t="s">
        <v>382</v>
      </c>
      <c r="F26" s="283" t="s">
        <v>365</v>
      </c>
      <c r="G26" s="284"/>
      <c r="H26" s="337">
        <v>23.06</v>
      </c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</row>
    <row r="27" spans="1:29" x14ac:dyDescent="0.25">
      <c r="A27" s="278">
        <v>43222</v>
      </c>
      <c r="B27" s="281" t="s">
        <v>360</v>
      </c>
      <c r="C27" s="281" t="s">
        <v>207</v>
      </c>
      <c r="D27" s="281" t="s">
        <v>369</v>
      </c>
      <c r="E27" s="281" t="s">
        <v>383</v>
      </c>
      <c r="F27" s="283" t="s">
        <v>371</v>
      </c>
      <c r="G27" s="284"/>
      <c r="H27" s="337">
        <v>175.29</v>
      </c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</row>
    <row r="28" spans="1:29" x14ac:dyDescent="0.25">
      <c r="A28" s="608">
        <v>43236</v>
      </c>
      <c r="B28" s="609"/>
      <c r="C28" s="609"/>
      <c r="D28" s="609"/>
      <c r="E28" s="609"/>
      <c r="F28" s="609"/>
      <c r="G28" s="609"/>
      <c r="H28" s="609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</row>
    <row r="29" spans="1:29" ht="23.25" x14ac:dyDescent="0.25">
      <c r="A29" s="278">
        <v>43236</v>
      </c>
      <c r="B29" s="281" t="s">
        <v>360</v>
      </c>
      <c r="C29" s="281" t="s">
        <v>207</v>
      </c>
      <c r="D29" s="281" t="s">
        <v>362</v>
      </c>
      <c r="E29" s="281" t="s">
        <v>378</v>
      </c>
      <c r="F29" s="283" t="s">
        <v>387</v>
      </c>
      <c r="G29" s="284">
        <v>10</v>
      </c>
      <c r="H29" s="337">
        <v>452.79</v>
      </c>
      <c r="I29" s="227"/>
      <c r="J29" s="227"/>
      <c r="K29" s="227"/>
      <c r="L29" s="227"/>
      <c r="M29" s="610"/>
      <c r="N29" s="610"/>
      <c r="O29" s="610"/>
      <c r="P29" s="610"/>
      <c r="Q29" s="610"/>
      <c r="R29" s="610"/>
      <c r="S29" s="610"/>
      <c r="T29" s="610"/>
      <c r="U29" s="227"/>
      <c r="V29" s="227"/>
      <c r="W29" s="227"/>
      <c r="X29" s="227"/>
      <c r="Y29" s="227"/>
      <c r="Z29" s="227"/>
      <c r="AA29" s="227"/>
      <c r="AB29" s="227"/>
      <c r="AC29" s="227"/>
    </row>
    <row r="30" spans="1:29" x14ac:dyDescent="0.25">
      <c r="A30" s="278">
        <v>43236</v>
      </c>
      <c r="B30" s="281" t="s">
        <v>360</v>
      </c>
      <c r="C30" s="281" t="s">
        <v>207</v>
      </c>
      <c r="D30" s="281" t="s">
        <v>365</v>
      </c>
      <c r="E30" s="281" t="s">
        <v>380</v>
      </c>
      <c r="F30" s="283" t="s">
        <v>365</v>
      </c>
      <c r="G30" s="284"/>
      <c r="H30" s="337">
        <v>31.02</v>
      </c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</row>
    <row r="31" spans="1:29" x14ac:dyDescent="0.25">
      <c r="A31" s="278">
        <v>43236</v>
      </c>
      <c r="B31" s="281" t="s">
        <v>360</v>
      </c>
      <c r="C31" s="281" t="s">
        <v>207</v>
      </c>
      <c r="D31" s="281" t="s">
        <v>365</v>
      </c>
      <c r="E31" s="281" t="s">
        <v>381</v>
      </c>
      <c r="F31" s="283" t="s">
        <v>365</v>
      </c>
      <c r="G31" s="284"/>
      <c r="H31" s="337">
        <v>2.95</v>
      </c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</row>
    <row r="32" spans="1:29" x14ac:dyDescent="0.25">
      <c r="A32" s="278">
        <v>43236</v>
      </c>
      <c r="B32" s="281" t="s">
        <v>360</v>
      </c>
      <c r="C32" s="281" t="s">
        <v>207</v>
      </c>
      <c r="D32" s="281" t="s">
        <v>365</v>
      </c>
      <c r="E32" s="281" t="s">
        <v>382</v>
      </c>
      <c r="F32" s="283" t="s">
        <v>365</v>
      </c>
      <c r="G32" s="284"/>
      <c r="H32" s="337">
        <v>5.66</v>
      </c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</row>
    <row r="33" spans="1:29" x14ac:dyDescent="0.25">
      <c r="A33" s="278">
        <v>43236</v>
      </c>
      <c r="B33" s="281" t="s">
        <v>360</v>
      </c>
      <c r="C33" s="281" t="s">
        <v>207</v>
      </c>
      <c r="D33" s="281" t="s">
        <v>369</v>
      </c>
      <c r="E33" s="281" t="s">
        <v>383</v>
      </c>
      <c r="F33" s="283" t="s">
        <v>371</v>
      </c>
      <c r="G33" s="284"/>
      <c r="H33" s="337">
        <v>43.02</v>
      </c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</row>
    <row r="34" spans="1:29" x14ac:dyDescent="0.25">
      <c r="A34" s="608">
        <v>43250</v>
      </c>
      <c r="B34" s="609"/>
      <c r="C34" s="609"/>
      <c r="D34" s="609"/>
      <c r="E34" s="609"/>
      <c r="F34" s="609"/>
      <c r="G34" s="609"/>
      <c r="H34" s="609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</row>
    <row r="35" spans="1:29" ht="23.25" x14ac:dyDescent="0.25">
      <c r="A35" s="278">
        <v>43250</v>
      </c>
      <c r="B35" s="281" t="s">
        <v>360</v>
      </c>
      <c r="C35" s="281" t="s">
        <v>207</v>
      </c>
      <c r="D35" s="281" t="s">
        <v>362</v>
      </c>
      <c r="E35" s="281" t="s">
        <v>378</v>
      </c>
      <c r="F35" s="283" t="s">
        <v>387</v>
      </c>
      <c r="G35" s="284">
        <v>65.5</v>
      </c>
      <c r="H35" s="337">
        <v>2965.78</v>
      </c>
      <c r="I35" s="227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</row>
    <row r="36" spans="1:29" x14ac:dyDescent="0.25">
      <c r="A36" s="278">
        <v>43250</v>
      </c>
      <c r="B36" s="281" t="s">
        <v>360</v>
      </c>
      <c r="C36" s="281" t="s">
        <v>207</v>
      </c>
      <c r="D36" s="281" t="s">
        <v>365</v>
      </c>
      <c r="E36" s="281" t="s">
        <v>380</v>
      </c>
      <c r="F36" s="283" t="s">
        <v>365</v>
      </c>
      <c r="G36" s="284"/>
      <c r="H36" s="337">
        <v>203.15</v>
      </c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</row>
    <row r="37" spans="1:29" x14ac:dyDescent="0.25">
      <c r="A37" s="278">
        <v>43250</v>
      </c>
      <c r="B37" s="281" t="s">
        <v>360</v>
      </c>
      <c r="C37" s="281" t="s">
        <v>207</v>
      </c>
      <c r="D37" s="281" t="s">
        <v>365</v>
      </c>
      <c r="E37" s="281" t="s">
        <v>381</v>
      </c>
      <c r="F37" s="283" t="s">
        <v>365</v>
      </c>
      <c r="G37" s="284"/>
      <c r="H37" s="337">
        <v>19.3</v>
      </c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</row>
    <row r="38" spans="1:29" x14ac:dyDescent="0.25">
      <c r="A38" s="278">
        <v>43250</v>
      </c>
      <c r="B38" s="281" t="s">
        <v>360</v>
      </c>
      <c r="C38" s="281" t="s">
        <v>207</v>
      </c>
      <c r="D38" s="281" t="s">
        <v>365</v>
      </c>
      <c r="E38" s="281" t="s">
        <v>382</v>
      </c>
      <c r="F38" s="283" t="s">
        <v>365</v>
      </c>
      <c r="G38" s="284"/>
      <c r="H38" s="337">
        <v>37.07</v>
      </c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</row>
    <row r="39" spans="1:29" x14ac:dyDescent="0.25">
      <c r="A39" s="278">
        <v>43250</v>
      </c>
      <c r="B39" s="281" t="s">
        <v>360</v>
      </c>
      <c r="C39" s="281" t="s">
        <v>207</v>
      </c>
      <c r="D39" s="281" t="s">
        <v>369</v>
      </c>
      <c r="E39" s="281" t="s">
        <v>383</v>
      </c>
      <c r="F39" s="283" t="s">
        <v>371</v>
      </c>
      <c r="G39" s="284"/>
      <c r="H39" s="337">
        <v>281.75</v>
      </c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</row>
    <row r="40" spans="1:29" x14ac:dyDescent="0.25">
      <c r="A40" s="608">
        <v>43264</v>
      </c>
      <c r="B40" s="609"/>
      <c r="C40" s="609"/>
      <c r="D40" s="609"/>
      <c r="E40" s="609"/>
      <c r="F40" s="609"/>
      <c r="G40" s="609"/>
      <c r="H40" s="609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</row>
    <row r="41" spans="1:29" ht="23.25" x14ac:dyDescent="0.25">
      <c r="A41" s="278">
        <v>43264</v>
      </c>
      <c r="B41" s="281" t="s">
        <v>360</v>
      </c>
      <c r="C41" s="281" t="s">
        <v>207</v>
      </c>
      <c r="D41" s="281" t="s">
        <v>362</v>
      </c>
      <c r="E41" s="281" t="s">
        <v>378</v>
      </c>
      <c r="F41" s="283" t="s">
        <v>387</v>
      </c>
      <c r="G41" s="284">
        <v>4</v>
      </c>
      <c r="H41" s="337">
        <v>181.12</v>
      </c>
      <c r="I41" s="227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</row>
    <row r="42" spans="1:29" x14ac:dyDescent="0.25">
      <c r="A42" s="278">
        <v>43264</v>
      </c>
      <c r="B42" s="281" t="s">
        <v>360</v>
      </c>
      <c r="C42" s="281" t="s">
        <v>207</v>
      </c>
      <c r="D42" s="281" t="s">
        <v>365</v>
      </c>
      <c r="E42" s="281" t="s">
        <v>380</v>
      </c>
      <c r="F42" s="283" t="s">
        <v>365</v>
      </c>
      <c r="G42" s="284"/>
      <c r="H42" s="337">
        <v>12.4</v>
      </c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</row>
    <row r="43" spans="1:29" x14ac:dyDescent="0.25">
      <c r="A43" s="278">
        <v>43264</v>
      </c>
      <c r="B43" s="281" t="s">
        <v>360</v>
      </c>
      <c r="C43" s="281" t="s">
        <v>207</v>
      </c>
      <c r="D43" s="281" t="s">
        <v>365</v>
      </c>
      <c r="E43" s="281" t="s">
        <v>382</v>
      </c>
      <c r="F43" s="283" t="s">
        <v>365</v>
      </c>
      <c r="G43" s="284"/>
      <c r="H43" s="337">
        <v>2.2599999999999998</v>
      </c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</row>
    <row r="44" spans="1:29" x14ac:dyDescent="0.25">
      <c r="A44" s="608">
        <v>43278</v>
      </c>
      <c r="B44" s="609"/>
      <c r="C44" s="609"/>
      <c r="D44" s="609"/>
      <c r="E44" s="609"/>
      <c r="F44" s="609"/>
      <c r="G44" s="609"/>
      <c r="H44" s="609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</row>
    <row r="45" spans="1:29" ht="23.25" x14ac:dyDescent="0.25">
      <c r="A45" s="278">
        <v>43278</v>
      </c>
      <c r="B45" s="281" t="s">
        <v>360</v>
      </c>
      <c r="C45" s="281" t="s">
        <v>207</v>
      </c>
      <c r="D45" s="281" t="s">
        <v>362</v>
      </c>
      <c r="E45" s="281" t="s">
        <v>378</v>
      </c>
      <c r="F45" s="283" t="s">
        <v>387</v>
      </c>
      <c r="G45" s="284">
        <v>4</v>
      </c>
      <c r="H45" s="337">
        <v>181.12</v>
      </c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</row>
    <row r="46" spans="1:29" x14ac:dyDescent="0.25">
      <c r="A46" s="278">
        <v>43278</v>
      </c>
      <c r="B46" s="281" t="s">
        <v>360</v>
      </c>
      <c r="C46" s="281" t="s">
        <v>207</v>
      </c>
      <c r="D46" s="281" t="s">
        <v>365</v>
      </c>
      <c r="E46" s="281" t="s">
        <v>380</v>
      </c>
      <c r="F46" s="283" t="s">
        <v>365</v>
      </c>
      <c r="G46" s="284"/>
      <c r="H46" s="337">
        <v>12.4</v>
      </c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</row>
    <row r="47" spans="1:29" x14ac:dyDescent="0.25">
      <c r="A47" s="278">
        <v>43278</v>
      </c>
      <c r="B47" s="281" t="s">
        <v>360</v>
      </c>
      <c r="C47" s="281" t="s">
        <v>207</v>
      </c>
      <c r="D47" s="281" t="s">
        <v>365</v>
      </c>
      <c r="E47" s="281" t="s">
        <v>382</v>
      </c>
      <c r="F47" s="283" t="s">
        <v>365</v>
      </c>
      <c r="G47" s="284"/>
      <c r="H47" s="337">
        <v>2.2599999999999998</v>
      </c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</row>
    <row r="48" spans="1:29" x14ac:dyDescent="0.25">
      <c r="A48" s="608">
        <v>43292</v>
      </c>
      <c r="B48" s="609"/>
      <c r="C48" s="609"/>
      <c r="D48" s="609"/>
      <c r="E48" s="609"/>
      <c r="F48" s="609"/>
      <c r="G48" s="609"/>
      <c r="H48" s="609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</row>
    <row r="49" spans="1:29" ht="23.25" x14ac:dyDescent="0.25">
      <c r="A49" s="278">
        <v>43292</v>
      </c>
      <c r="B49" s="281" t="s">
        <v>360</v>
      </c>
      <c r="C49" s="281" t="s">
        <v>207</v>
      </c>
      <c r="D49" s="281" t="s">
        <v>362</v>
      </c>
      <c r="E49" s="281" t="s">
        <v>378</v>
      </c>
      <c r="F49" s="283" t="s">
        <v>387</v>
      </c>
      <c r="G49" s="284">
        <v>2</v>
      </c>
      <c r="H49" s="337">
        <v>90.56</v>
      </c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</row>
    <row r="50" spans="1:29" x14ac:dyDescent="0.25">
      <c r="A50" s="278">
        <v>43292</v>
      </c>
      <c r="B50" s="281" t="s">
        <v>360</v>
      </c>
      <c r="C50" s="281" t="s">
        <v>207</v>
      </c>
      <c r="D50" s="281" t="s">
        <v>365</v>
      </c>
      <c r="E50" s="281" t="s">
        <v>380</v>
      </c>
      <c r="F50" s="283" t="s">
        <v>365</v>
      </c>
      <c r="G50" s="284"/>
      <c r="H50" s="337">
        <v>6.2</v>
      </c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</row>
    <row r="51" spans="1:29" x14ac:dyDescent="0.25">
      <c r="A51" s="278">
        <v>43292</v>
      </c>
      <c r="B51" s="281" t="s">
        <v>360</v>
      </c>
      <c r="C51" s="281" t="s">
        <v>207</v>
      </c>
      <c r="D51" s="281" t="s">
        <v>365</v>
      </c>
      <c r="E51" s="281" t="s">
        <v>382</v>
      </c>
      <c r="F51" s="283" t="s">
        <v>365</v>
      </c>
      <c r="G51" s="284"/>
      <c r="H51" s="337">
        <v>1.1299999999999999</v>
      </c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</row>
    <row r="52" spans="1:29" x14ac:dyDescent="0.25">
      <c r="A52" s="300" t="s">
        <v>26</v>
      </c>
      <c r="B52" s="302"/>
      <c r="C52" s="302"/>
      <c r="D52" s="302"/>
      <c r="E52" s="302"/>
      <c r="F52" s="302"/>
      <c r="G52" s="301">
        <f>SUM(G3:G51)</f>
        <v>219.25</v>
      </c>
      <c r="H52" s="301">
        <f>SUM(H3:H51)</f>
        <v>13035.300000000005</v>
      </c>
      <c r="I52" s="301">
        <f>SUM(H52/G52)</f>
        <v>59.454047890535939</v>
      </c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</row>
    <row r="53" spans="1:29" x14ac:dyDescent="0.25"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</row>
    <row r="54" spans="1:29" x14ac:dyDescent="0.25"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</row>
    <row r="55" spans="1:29" x14ac:dyDescent="0.25"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</row>
    <row r="56" spans="1:29" x14ac:dyDescent="0.25"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</row>
    <row r="57" spans="1:29" x14ac:dyDescent="0.25"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</row>
    <row r="58" spans="1:29" x14ac:dyDescent="0.25"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</row>
    <row r="59" spans="1:29" x14ac:dyDescent="0.25"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</row>
    <row r="60" spans="1:29" x14ac:dyDescent="0.25"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</row>
    <row r="61" spans="1:29" x14ac:dyDescent="0.25"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</row>
  </sheetData>
  <mergeCells count="11">
    <mergeCell ref="M29:T29"/>
    <mergeCell ref="A22:H22"/>
    <mergeCell ref="A28:H28"/>
    <mergeCell ref="A34:H34"/>
    <mergeCell ref="A40:H40"/>
    <mergeCell ref="A44:H44"/>
    <mergeCell ref="A48:H48"/>
    <mergeCell ref="A2:H2"/>
    <mergeCell ref="A8:H8"/>
    <mergeCell ref="A14:H14"/>
    <mergeCell ref="A18:H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5DF7-DE09-4E49-A1AE-2C1D4F76F0C2}">
  <dimension ref="A1:I54"/>
  <sheetViews>
    <sheetView topLeftCell="A28" zoomScale="115" zoomScaleNormal="115" workbookViewId="0">
      <selection activeCell="G405" sqref="G405"/>
    </sheetView>
  </sheetViews>
  <sheetFormatPr defaultRowHeight="15" x14ac:dyDescent="0.25"/>
  <cols>
    <col min="1" max="1" width="8.5703125" bestFit="1" customWidth="1"/>
    <col min="6" max="6" width="12.5703125" customWidth="1"/>
    <col min="8" max="8" width="12.140625" bestFit="1" customWidth="1"/>
  </cols>
  <sheetData>
    <row r="1" spans="1:8" ht="45" x14ac:dyDescent="0.25">
      <c r="A1" s="277" t="s">
        <v>347</v>
      </c>
      <c r="B1" s="277" t="s">
        <v>349</v>
      </c>
      <c r="C1" s="277" t="s">
        <v>350</v>
      </c>
      <c r="D1" s="277" t="s">
        <v>352</v>
      </c>
      <c r="E1" s="277" t="s">
        <v>353</v>
      </c>
      <c r="F1" s="277" t="s">
        <v>354</v>
      </c>
      <c r="G1" s="277" t="s">
        <v>355</v>
      </c>
      <c r="H1" s="277" t="s">
        <v>356</v>
      </c>
    </row>
    <row r="2" spans="1:8" x14ac:dyDescent="0.25">
      <c r="A2" s="608">
        <v>43180</v>
      </c>
      <c r="B2" s="609"/>
      <c r="C2" s="609"/>
      <c r="D2" s="609"/>
      <c r="E2" s="609"/>
      <c r="F2" s="609"/>
      <c r="G2" s="609"/>
      <c r="H2" s="611"/>
    </row>
    <row r="3" spans="1:8" x14ac:dyDescent="0.25">
      <c r="A3" s="278">
        <v>43180</v>
      </c>
      <c r="B3" s="281" t="s">
        <v>385</v>
      </c>
      <c r="C3" s="281" t="s">
        <v>202</v>
      </c>
      <c r="D3" s="281" t="s">
        <v>362</v>
      </c>
      <c r="E3" s="281" t="s">
        <v>378</v>
      </c>
      <c r="F3" s="283" t="s">
        <v>387</v>
      </c>
      <c r="G3" s="284">
        <v>5</v>
      </c>
      <c r="H3" s="285">
        <v>226.4</v>
      </c>
    </row>
    <row r="4" spans="1:8" x14ac:dyDescent="0.25">
      <c r="A4" s="278">
        <v>43180</v>
      </c>
      <c r="B4" s="281" t="s">
        <v>385</v>
      </c>
      <c r="C4" s="281" t="s">
        <v>202</v>
      </c>
      <c r="D4" s="281" t="s">
        <v>365</v>
      </c>
      <c r="E4" s="281" t="s">
        <v>380</v>
      </c>
      <c r="F4" s="283" t="s">
        <v>365</v>
      </c>
      <c r="G4" s="284"/>
      <c r="H4" s="285">
        <v>15.51</v>
      </c>
    </row>
    <row r="5" spans="1:8" x14ac:dyDescent="0.25">
      <c r="A5" s="278">
        <v>43180</v>
      </c>
      <c r="B5" s="281" t="s">
        <v>385</v>
      </c>
      <c r="C5" s="281" t="s">
        <v>202</v>
      </c>
      <c r="D5" s="281" t="s">
        <v>365</v>
      </c>
      <c r="E5" s="281" t="s">
        <v>381</v>
      </c>
      <c r="F5" s="283" t="s">
        <v>365</v>
      </c>
      <c r="G5" s="284"/>
      <c r="H5" s="285">
        <v>1.47</v>
      </c>
    </row>
    <row r="6" spans="1:8" x14ac:dyDescent="0.25">
      <c r="A6" s="278">
        <v>43180</v>
      </c>
      <c r="B6" s="281" t="s">
        <v>385</v>
      </c>
      <c r="C6" s="281" t="s">
        <v>202</v>
      </c>
      <c r="D6" s="281" t="s">
        <v>365</v>
      </c>
      <c r="E6" s="281" t="s">
        <v>382</v>
      </c>
      <c r="F6" s="283" t="s">
        <v>365</v>
      </c>
      <c r="G6" s="284"/>
      <c r="H6" s="285">
        <v>2.83</v>
      </c>
    </row>
    <row r="7" spans="1:8" x14ac:dyDescent="0.25">
      <c r="A7" s="278">
        <v>43180</v>
      </c>
      <c r="B7" s="281" t="s">
        <v>385</v>
      </c>
      <c r="C7" s="281" t="s">
        <v>202</v>
      </c>
      <c r="D7" s="281" t="s">
        <v>369</v>
      </c>
      <c r="E7" s="281" t="s">
        <v>383</v>
      </c>
      <c r="F7" s="283" t="s">
        <v>371</v>
      </c>
      <c r="G7" s="284"/>
      <c r="H7" s="285">
        <v>21.51</v>
      </c>
    </row>
    <row r="8" spans="1:8" x14ac:dyDescent="0.25">
      <c r="A8" s="608">
        <v>43194</v>
      </c>
      <c r="B8" s="609"/>
      <c r="C8" s="609"/>
      <c r="D8" s="609"/>
      <c r="E8" s="609"/>
      <c r="F8" s="609"/>
      <c r="G8" s="609"/>
      <c r="H8" s="611"/>
    </row>
    <row r="9" spans="1:8" x14ac:dyDescent="0.25">
      <c r="A9" s="278">
        <v>43194</v>
      </c>
      <c r="B9" s="281" t="s">
        <v>385</v>
      </c>
      <c r="C9" s="281" t="s">
        <v>202</v>
      </c>
      <c r="D9" s="281" t="s">
        <v>362</v>
      </c>
      <c r="E9" s="281" t="s">
        <v>378</v>
      </c>
      <c r="F9" s="283" t="s">
        <v>387</v>
      </c>
      <c r="G9" s="284">
        <v>5</v>
      </c>
      <c r="H9" s="285">
        <v>226.4</v>
      </c>
    </row>
    <row r="10" spans="1:8" x14ac:dyDescent="0.25">
      <c r="A10" s="278">
        <v>43194</v>
      </c>
      <c r="B10" s="281" t="s">
        <v>385</v>
      </c>
      <c r="C10" s="281" t="s">
        <v>202</v>
      </c>
      <c r="D10" s="281" t="s">
        <v>365</v>
      </c>
      <c r="E10" s="281" t="s">
        <v>380</v>
      </c>
      <c r="F10" s="283" t="s">
        <v>365</v>
      </c>
      <c r="G10" s="284"/>
      <c r="H10" s="285">
        <v>15.51</v>
      </c>
    </row>
    <row r="11" spans="1:8" x14ac:dyDescent="0.25">
      <c r="A11" s="278">
        <v>43194</v>
      </c>
      <c r="B11" s="281" t="s">
        <v>385</v>
      </c>
      <c r="C11" s="281" t="s">
        <v>202</v>
      </c>
      <c r="D11" s="281" t="s">
        <v>365</v>
      </c>
      <c r="E11" s="281" t="s">
        <v>382</v>
      </c>
      <c r="F11" s="283" t="s">
        <v>365</v>
      </c>
      <c r="G11" s="284"/>
      <c r="H11" s="285">
        <v>2.83</v>
      </c>
    </row>
    <row r="12" spans="1:8" x14ac:dyDescent="0.25">
      <c r="A12" s="278">
        <v>43208</v>
      </c>
      <c r="B12" s="281" t="s">
        <v>385</v>
      </c>
      <c r="C12" s="281" t="s">
        <v>202</v>
      </c>
      <c r="D12" s="281" t="s">
        <v>365</v>
      </c>
      <c r="E12" s="281" t="s">
        <v>381</v>
      </c>
      <c r="F12" s="283" t="s">
        <v>365</v>
      </c>
      <c r="G12" s="284"/>
      <c r="H12" s="285">
        <v>1.47</v>
      </c>
    </row>
    <row r="13" spans="1:8" x14ac:dyDescent="0.25">
      <c r="A13" s="278">
        <v>43208</v>
      </c>
      <c r="B13" s="281" t="s">
        <v>385</v>
      </c>
      <c r="C13" s="281" t="s">
        <v>202</v>
      </c>
      <c r="D13" s="281" t="s">
        <v>369</v>
      </c>
      <c r="E13" s="281" t="s">
        <v>383</v>
      </c>
      <c r="F13" s="283" t="s">
        <v>371</v>
      </c>
      <c r="G13" s="284"/>
      <c r="H13" s="285">
        <v>21.51</v>
      </c>
    </row>
    <row r="14" spans="1:8" x14ac:dyDescent="0.25">
      <c r="A14" s="608">
        <v>43222</v>
      </c>
      <c r="B14" s="609"/>
      <c r="C14" s="609"/>
      <c r="D14" s="609"/>
      <c r="E14" s="609"/>
      <c r="F14" s="609"/>
      <c r="G14" s="609"/>
      <c r="H14" s="611"/>
    </row>
    <row r="15" spans="1:8" x14ac:dyDescent="0.25">
      <c r="A15" s="278">
        <v>43222</v>
      </c>
      <c r="B15" s="281" t="s">
        <v>385</v>
      </c>
      <c r="C15" s="281" t="s">
        <v>202</v>
      </c>
      <c r="D15" s="281" t="s">
        <v>362</v>
      </c>
      <c r="E15" s="281" t="s">
        <v>378</v>
      </c>
      <c r="F15" s="283" t="s">
        <v>387</v>
      </c>
      <c r="G15" s="284">
        <v>10</v>
      </c>
      <c r="H15" s="285">
        <v>452.78</v>
      </c>
    </row>
    <row r="16" spans="1:8" x14ac:dyDescent="0.25">
      <c r="A16" s="278">
        <v>43222</v>
      </c>
      <c r="B16" s="281" t="s">
        <v>385</v>
      </c>
      <c r="C16" s="281" t="s">
        <v>202</v>
      </c>
      <c r="D16" s="281" t="s">
        <v>365</v>
      </c>
      <c r="E16" s="281" t="s">
        <v>380</v>
      </c>
      <c r="F16" s="283" t="s">
        <v>365</v>
      </c>
      <c r="G16" s="284"/>
      <c r="H16" s="285">
        <v>31.02</v>
      </c>
    </row>
    <row r="17" spans="1:8" x14ac:dyDescent="0.25">
      <c r="A17" s="278">
        <v>43222</v>
      </c>
      <c r="B17" s="281" t="s">
        <v>385</v>
      </c>
      <c r="C17" s="281" t="s">
        <v>202</v>
      </c>
      <c r="D17" s="281" t="s">
        <v>365</v>
      </c>
      <c r="E17" s="281" t="s">
        <v>381</v>
      </c>
      <c r="F17" s="283" t="s">
        <v>365</v>
      </c>
      <c r="G17" s="284"/>
      <c r="H17" s="285">
        <v>2.95</v>
      </c>
    </row>
    <row r="18" spans="1:8" x14ac:dyDescent="0.25">
      <c r="A18" s="278">
        <v>43222</v>
      </c>
      <c r="B18" s="281" t="s">
        <v>385</v>
      </c>
      <c r="C18" s="281" t="s">
        <v>202</v>
      </c>
      <c r="D18" s="281" t="s">
        <v>365</v>
      </c>
      <c r="E18" s="281" t="s">
        <v>382</v>
      </c>
      <c r="F18" s="283" t="s">
        <v>365</v>
      </c>
      <c r="G18" s="284"/>
      <c r="H18" s="285">
        <v>5.66</v>
      </c>
    </row>
    <row r="19" spans="1:8" x14ac:dyDescent="0.25">
      <c r="A19" s="278">
        <v>43222</v>
      </c>
      <c r="B19" s="281" t="s">
        <v>385</v>
      </c>
      <c r="C19" s="281" t="s">
        <v>202</v>
      </c>
      <c r="D19" s="281" t="s">
        <v>369</v>
      </c>
      <c r="E19" s="281" t="s">
        <v>383</v>
      </c>
      <c r="F19" s="283" t="s">
        <v>371</v>
      </c>
      <c r="G19" s="284"/>
      <c r="H19" s="285">
        <v>43.01</v>
      </c>
    </row>
    <row r="20" spans="1:8" x14ac:dyDescent="0.25">
      <c r="A20" s="608">
        <v>43236</v>
      </c>
      <c r="B20" s="609"/>
      <c r="C20" s="609"/>
      <c r="D20" s="609"/>
      <c r="E20" s="609"/>
      <c r="F20" s="609"/>
      <c r="G20" s="609"/>
      <c r="H20" s="611"/>
    </row>
    <row r="21" spans="1:8" x14ac:dyDescent="0.25">
      <c r="A21" s="278">
        <v>43236</v>
      </c>
      <c r="B21" s="281" t="s">
        <v>385</v>
      </c>
      <c r="C21" s="281" t="s">
        <v>202</v>
      </c>
      <c r="D21" s="281" t="s">
        <v>362</v>
      </c>
      <c r="E21" s="281" t="s">
        <v>378</v>
      </c>
      <c r="F21" s="283" t="s">
        <v>390</v>
      </c>
      <c r="G21" s="284">
        <v>22.5</v>
      </c>
      <c r="H21" s="285">
        <v>1215.8699999999999</v>
      </c>
    </row>
    <row r="22" spans="1:8" x14ac:dyDescent="0.25">
      <c r="A22" s="278">
        <v>43236</v>
      </c>
      <c r="B22" s="281" t="s">
        <v>385</v>
      </c>
      <c r="C22" s="281" t="s">
        <v>202</v>
      </c>
      <c r="D22" s="281" t="s">
        <v>365</v>
      </c>
      <c r="E22" s="281" t="s">
        <v>380</v>
      </c>
      <c r="F22" s="283" t="s">
        <v>365</v>
      </c>
      <c r="G22" s="284"/>
      <c r="H22" s="285">
        <v>83.29</v>
      </c>
    </row>
    <row r="23" spans="1:8" x14ac:dyDescent="0.25">
      <c r="A23" s="278">
        <v>43236</v>
      </c>
      <c r="B23" s="281" t="s">
        <v>385</v>
      </c>
      <c r="C23" s="281" t="s">
        <v>202</v>
      </c>
      <c r="D23" s="281" t="s">
        <v>365</v>
      </c>
      <c r="E23" s="281" t="s">
        <v>381</v>
      </c>
      <c r="F23" s="283" t="s">
        <v>365</v>
      </c>
      <c r="G23" s="284"/>
      <c r="H23" s="285">
        <v>7.91</v>
      </c>
    </row>
    <row r="24" spans="1:8" x14ac:dyDescent="0.25">
      <c r="A24" s="278">
        <v>43236</v>
      </c>
      <c r="B24" s="281" t="s">
        <v>385</v>
      </c>
      <c r="C24" s="281" t="s">
        <v>202</v>
      </c>
      <c r="D24" s="281" t="s">
        <v>365</v>
      </c>
      <c r="E24" s="281" t="s">
        <v>382</v>
      </c>
      <c r="F24" s="283" t="s">
        <v>365</v>
      </c>
      <c r="G24" s="284"/>
      <c r="H24" s="285">
        <v>15.19</v>
      </c>
    </row>
    <row r="25" spans="1:8" x14ac:dyDescent="0.25">
      <c r="A25" s="278">
        <v>43236</v>
      </c>
      <c r="B25" s="281" t="s">
        <v>385</v>
      </c>
      <c r="C25" s="281" t="s">
        <v>202</v>
      </c>
      <c r="D25" s="281" t="s">
        <v>369</v>
      </c>
      <c r="E25" s="281" t="s">
        <v>383</v>
      </c>
      <c r="F25" s="283" t="s">
        <v>371</v>
      </c>
      <c r="G25" s="284"/>
      <c r="H25" s="285">
        <v>115.51</v>
      </c>
    </row>
    <row r="26" spans="1:8" x14ac:dyDescent="0.25">
      <c r="A26" s="608">
        <v>43250</v>
      </c>
      <c r="B26" s="609"/>
      <c r="C26" s="609"/>
      <c r="D26" s="609"/>
      <c r="E26" s="609"/>
      <c r="F26" s="609"/>
      <c r="G26" s="609"/>
      <c r="H26" s="611"/>
    </row>
    <row r="27" spans="1:8" x14ac:dyDescent="0.25">
      <c r="A27" s="278">
        <v>43250</v>
      </c>
      <c r="B27" s="281" t="s">
        <v>385</v>
      </c>
      <c r="C27" s="281" t="s">
        <v>202</v>
      </c>
      <c r="D27" s="281" t="s">
        <v>362</v>
      </c>
      <c r="E27" s="281" t="s">
        <v>378</v>
      </c>
      <c r="F27" s="283" t="s">
        <v>390</v>
      </c>
      <c r="G27" s="284">
        <v>-22.5</v>
      </c>
      <c r="H27" s="285">
        <v>-1215.8699999999999</v>
      </c>
    </row>
    <row r="28" spans="1:8" x14ac:dyDescent="0.25">
      <c r="A28" s="278">
        <v>43250</v>
      </c>
      <c r="B28" s="281" t="s">
        <v>385</v>
      </c>
      <c r="C28" s="281" t="s">
        <v>202</v>
      </c>
      <c r="D28" s="281" t="s">
        <v>362</v>
      </c>
      <c r="E28" s="281" t="s">
        <v>378</v>
      </c>
      <c r="F28" s="283" t="s">
        <v>387</v>
      </c>
      <c r="G28" s="284">
        <v>52.5</v>
      </c>
      <c r="H28" s="285">
        <v>2377.15</v>
      </c>
    </row>
    <row r="29" spans="1:8" x14ac:dyDescent="0.25">
      <c r="A29" s="278">
        <v>43250</v>
      </c>
      <c r="B29" s="281" t="s">
        <v>385</v>
      </c>
      <c r="C29" s="281" t="s">
        <v>202</v>
      </c>
      <c r="D29" s="281" t="s">
        <v>362</v>
      </c>
      <c r="E29" s="281" t="s">
        <v>378</v>
      </c>
      <c r="F29" s="283" t="s">
        <v>391</v>
      </c>
      <c r="G29" s="284">
        <v>25</v>
      </c>
      <c r="H29" s="285">
        <v>1350.96</v>
      </c>
    </row>
    <row r="30" spans="1:8" x14ac:dyDescent="0.25">
      <c r="A30" s="278">
        <v>43250</v>
      </c>
      <c r="B30" s="281" t="s">
        <v>385</v>
      </c>
      <c r="C30" s="281" t="s">
        <v>202</v>
      </c>
      <c r="D30" s="281" t="s">
        <v>365</v>
      </c>
      <c r="E30" s="281" t="s">
        <v>380</v>
      </c>
      <c r="F30" s="283" t="s">
        <v>365</v>
      </c>
      <c r="G30" s="284"/>
      <c r="H30" s="285">
        <v>172.08</v>
      </c>
    </row>
    <row r="31" spans="1:8" x14ac:dyDescent="0.25">
      <c r="A31" s="278">
        <v>43250</v>
      </c>
      <c r="B31" s="281" t="s">
        <v>385</v>
      </c>
      <c r="C31" s="281" t="s">
        <v>202</v>
      </c>
      <c r="D31" s="281" t="s">
        <v>365</v>
      </c>
      <c r="E31" s="281" t="s">
        <v>381</v>
      </c>
      <c r="F31" s="283" t="s">
        <v>365</v>
      </c>
      <c r="G31" s="284"/>
      <c r="H31" s="285">
        <v>17.82</v>
      </c>
    </row>
    <row r="32" spans="1:8" x14ac:dyDescent="0.25">
      <c r="A32" s="278">
        <v>43250</v>
      </c>
      <c r="B32" s="281" t="s">
        <v>385</v>
      </c>
      <c r="C32" s="281" t="s">
        <v>202</v>
      </c>
      <c r="D32" s="281" t="s">
        <v>365</v>
      </c>
      <c r="E32" s="281" t="s">
        <v>382</v>
      </c>
      <c r="F32" s="283" t="s">
        <v>365</v>
      </c>
      <c r="G32" s="284"/>
      <c r="H32" s="285">
        <v>31.4</v>
      </c>
    </row>
    <row r="33" spans="1:8" x14ac:dyDescent="0.25">
      <c r="A33" s="278">
        <v>43250</v>
      </c>
      <c r="B33" s="281" t="s">
        <v>385</v>
      </c>
      <c r="C33" s="281" t="s">
        <v>202</v>
      </c>
      <c r="D33" s="281" t="s">
        <v>369</v>
      </c>
      <c r="E33" s="281" t="s">
        <v>383</v>
      </c>
      <c r="F33" s="283" t="s">
        <v>371</v>
      </c>
      <c r="G33" s="284"/>
      <c r="H33" s="285">
        <v>260.17</v>
      </c>
    </row>
    <row r="34" spans="1:8" x14ac:dyDescent="0.25">
      <c r="A34" s="608">
        <v>43264</v>
      </c>
      <c r="B34" s="609"/>
      <c r="C34" s="609"/>
      <c r="D34" s="609"/>
      <c r="E34" s="609"/>
      <c r="F34" s="609"/>
      <c r="G34" s="609"/>
      <c r="H34" s="611"/>
    </row>
    <row r="35" spans="1:8" x14ac:dyDescent="0.25">
      <c r="A35" s="278">
        <v>43264</v>
      </c>
      <c r="B35" s="281" t="s">
        <v>385</v>
      </c>
      <c r="C35" s="281" t="s">
        <v>202</v>
      </c>
      <c r="D35" s="281" t="s">
        <v>362</v>
      </c>
      <c r="E35" s="281" t="s">
        <v>378</v>
      </c>
      <c r="F35" s="283" t="s">
        <v>387</v>
      </c>
      <c r="G35" s="284">
        <v>30</v>
      </c>
      <c r="H35" s="285">
        <v>1358.37</v>
      </c>
    </row>
    <row r="36" spans="1:8" x14ac:dyDescent="0.25">
      <c r="A36" s="278">
        <v>43264</v>
      </c>
      <c r="B36" s="281" t="s">
        <v>385</v>
      </c>
      <c r="C36" s="281" t="s">
        <v>202</v>
      </c>
      <c r="D36" s="281" t="s">
        <v>365</v>
      </c>
      <c r="E36" s="281" t="s">
        <v>380</v>
      </c>
      <c r="F36" s="283" t="s">
        <v>365</v>
      </c>
      <c r="G36" s="284"/>
      <c r="H36" s="285">
        <v>93.04</v>
      </c>
    </row>
    <row r="37" spans="1:8" x14ac:dyDescent="0.25">
      <c r="A37" s="278">
        <v>43264</v>
      </c>
      <c r="B37" s="281" t="s">
        <v>385</v>
      </c>
      <c r="C37" s="281" t="s">
        <v>202</v>
      </c>
      <c r="D37" s="281" t="s">
        <v>365</v>
      </c>
      <c r="E37" s="281" t="s">
        <v>381</v>
      </c>
      <c r="F37" s="283" t="s">
        <v>365</v>
      </c>
      <c r="G37" s="284"/>
      <c r="H37" s="285">
        <v>8.84</v>
      </c>
    </row>
    <row r="38" spans="1:8" x14ac:dyDescent="0.25">
      <c r="A38" s="278">
        <v>43264</v>
      </c>
      <c r="B38" s="281" t="s">
        <v>385</v>
      </c>
      <c r="C38" s="281" t="s">
        <v>202</v>
      </c>
      <c r="D38" s="281" t="s">
        <v>365</v>
      </c>
      <c r="E38" s="281" t="s">
        <v>382</v>
      </c>
      <c r="F38" s="283" t="s">
        <v>365</v>
      </c>
      <c r="G38" s="284"/>
      <c r="H38" s="285">
        <v>16.98</v>
      </c>
    </row>
    <row r="39" spans="1:8" x14ac:dyDescent="0.25">
      <c r="A39" s="278">
        <v>43264</v>
      </c>
      <c r="B39" s="281" t="s">
        <v>385</v>
      </c>
      <c r="C39" s="281" t="s">
        <v>202</v>
      </c>
      <c r="D39" s="281" t="s">
        <v>369</v>
      </c>
      <c r="E39" s="281" t="s">
        <v>383</v>
      </c>
      <c r="F39" s="283" t="s">
        <v>371</v>
      </c>
      <c r="G39" s="284"/>
      <c r="H39" s="285">
        <v>129.05000000000001</v>
      </c>
    </row>
    <row r="40" spans="1:8" x14ac:dyDescent="0.25">
      <c r="A40" s="608">
        <v>43278</v>
      </c>
      <c r="B40" s="609"/>
      <c r="C40" s="609"/>
      <c r="D40" s="609"/>
      <c r="E40" s="609"/>
      <c r="F40" s="609"/>
      <c r="G40" s="609"/>
      <c r="H40" s="611"/>
    </row>
    <row r="41" spans="1:8" x14ac:dyDescent="0.25">
      <c r="A41" s="278">
        <v>43278</v>
      </c>
      <c r="B41" s="281" t="s">
        <v>385</v>
      </c>
      <c r="C41" s="281" t="s">
        <v>202</v>
      </c>
      <c r="D41" s="281" t="s">
        <v>362</v>
      </c>
      <c r="E41" s="281" t="s">
        <v>378</v>
      </c>
      <c r="F41" s="283" t="s">
        <v>387</v>
      </c>
      <c r="G41" s="284">
        <v>30</v>
      </c>
      <c r="H41" s="285">
        <v>1358.37</v>
      </c>
    </row>
    <row r="42" spans="1:8" x14ac:dyDescent="0.25">
      <c r="A42" s="278">
        <v>43278</v>
      </c>
      <c r="B42" s="281" t="s">
        <v>385</v>
      </c>
      <c r="C42" s="281" t="s">
        <v>202</v>
      </c>
      <c r="D42" s="281" t="s">
        <v>365</v>
      </c>
      <c r="E42" s="281" t="s">
        <v>380</v>
      </c>
      <c r="F42" s="283" t="s">
        <v>365</v>
      </c>
      <c r="G42" s="284"/>
      <c r="H42" s="285">
        <v>93.04</v>
      </c>
    </row>
    <row r="43" spans="1:8" x14ac:dyDescent="0.25">
      <c r="A43" s="278">
        <v>43278</v>
      </c>
      <c r="B43" s="281" t="s">
        <v>385</v>
      </c>
      <c r="C43" s="281" t="s">
        <v>202</v>
      </c>
      <c r="D43" s="281" t="s">
        <v>365</v>
      </c>
      <c r="E43" s="281" t="s">
        <v>381</v>
      </c>
      <c r="F43" s="283" t="s">
        <v>365</v>
      </c>
      <c r="G43" s="284"/>
      <c r="H43" s="285">
        <v>8.84</v>
      </c>
    </row>
    <row r="44" spans="1:8" x14ac:dyDescent="0.25">
      <c r="A44" s="278">
        <v>43278</v>
      </c>
      <c r="B44" s="281" t="s">
        <v>385</v>
      </c>
      <c r="C44" s="281" t="s">
        <v>202</v>
      </c>
      <c r="D44" s="281" t="s">
        <v>365</v>
      </c>
      <c r="E44" s="281" t="s">
        <v>382</v>
      </c>
      <c r="F44" s="283" t="s">
        <v>365</v>
      </c>
      <c r="G44" s="284"/>
      <c r="H44" s="285">
        <v>16.98</v>
      </c>
    </row>
    <row r="45" spans="1:8" x14ac:dyDescent="0.25">
      <c r="A45" s="278">
        <v>43278</v>
      </c>
      <c r="B45" s="281" t="s">
        <v>385</v>
      </c>
      <c r="C45" s="281" t="s">
        <v>202</v>
      </c>
      <c r="D45" s="281" t="s">
        <v>369</v>
      </c>
      <c r="E45" s="281" t="s">
        <v>383</v>
      </c>
      <c r="F45" s="283" t="s">
        <v>371</v>
      </c>
      <c r="G45" s="284"/>
      <c r="H45" s="285">
        <v>129.05000000000001</v>
      </c>
    </row>
    <row r="46" spans="1:8" x14ac:dyDescent="0.25">
      <c r="A46" s="608">
        <v>43292</v>
      </c>
      <c r="B46" s="609"/>
      <c r="C46" s="609"/>
      <c r="D46" s="609"/>
      <c r="E46" s="609"/>
      <c r="F46" s="609"/>
      <c r="G46" s="609"/>
      <c r="H46" s="611"/>
    </row>
    <row r="47" spans="1:8" x14ac:dyDescent="0.25">
      <c r="A47" s="278">
        <v>43292</v>
      </c>
      <c r="B47" s="281" t="s">
        <v>385</v>
      </c>
      <c r="C47" s="281" t="s">
        <v>202</v>
      </c>
      <c r="D47" s="281" t="s">
        <v>362</v>
      </c>
      <c r="E47" s="281" t="s">
        <v>378</v>
      </c>
      <c r="F47" s="283" t="s">
        <v>387</v>
      </c>
      <c r="G47" s="284">
        <v>15</v>
      </c>
      <c r="H47" s="285">
        <v>679.19</v>
      </c>
    </row>
    <row r="48" spans="1:8" x14ac:dyDescent="0.25">
      <c r="A48" s="278">
        <v>43292</v>
      </c>
      <c r="B48" s="281" t="s">
        <v>385</v>
      </c>
      <c r="C48" s="281" t="s">
        <v>202</v>
      </c>
      <c r="D48" s="281" t="s">
        <v>362</v>
      </c>
      <c r="E48" s="281" t="s">
        <v>378</v>
      </c>
      <c r="F48" s="283" t="s">
        <v>391</v>
      </c>
      <c r="G48" s="284">
        <v>16</v>
      </c>
      <c r="H48" s="285">
        <v>864.62</v>
      </c>
    </row>
    <row r="49" spans="1:9" x14ac:dyDescent="0.25">
      <c r="A49" s="278">
        <v>43292</v>
      </c>
      <c r="B49" s="281" t="s">
        <v>385</v>
      </c>
      <c r="C49" s="281" t="s">
        <v>202</v>
      </c>
      <c r="D49" s="281" t="s">
        <v>365</v>
      </c>
      <c r="E49" s="281" t="s">
        <v>380</v>
      </c>
      <c r="F49" s="283" t="s">
        <v>365</v>
      </c>
      <c r="G49" s="284"/>
      <c r="H49" s="285">
        <v>105.75</v>
      </c>
    </row>
    <row r="50" spans="1:9" x14ac:dyDescent="0.25">
      <c r="A50" s="278">
        <v>43292</v>
      </c>
      <c r="B50" s="281" t="s">
        <v>385</v>
      </c>
      <c r="C50" s="281" t="s">
        <v>202</v>
      </c>
      <c r="D50" s="281" t="s">
        <v>365</v>
      </c>
      <c r="E50" s="281" t="s">
        <v>381</v>
      </c>
      <c r="F50" s="283" t="s">
        <v>365</v>
      </c>
      <c r="G50" s="284"/>
      <c r="H50" s="285">
        <v>10.050000000000001</v>
      </c>
    </row>
    <row r="51" spans="1:9" x14ac:dyDescent="0.25">
      <c r="A51" s="278">
        <v>43292</v>
      </c>
      <c r="B51" s="281" t="s">
        <v>385</v>
      </c>
      <c r="C51" s="281" t="s">
        <v>202</v>
      </c>
      <c r="D51" s="281" t="s">
        <v>365</v>
      </c>
      <c r="E51" s="281" t="s">
        <v>382</v>
      </c>
      <c r="F51" s="283" t="s">
        <v>365</v>
      </c>
      <c r="G51" s="284"/>
      <c r="H51" s="285">
        <v>19.3</v>
      </c>
    </row>
    <row r="52" spans="1:9" x14ac:dyDescent="0.25">
      <c r="A52" s="278">
        <v>43292</v>
      </c>
      <c r="B52" s="281" t="s">
        <v>385</v>
      </c>
      <c r="C52" s="281" t="s">
        <v>202</v>
      </c>
      <c r="D52" s="281" t="s">
        <v>369</v>
      </c>
      <c r="E52" s="281" t="s">
        <v>383</v>
      </c>
      <c r="F52" s="283" t="s">
        <v>371</v>
      </c>
      <c r="G52" s="284"/>
      <c r="H52" s="285">
        <v>146.66</v>
      </c>
    </row>
    <row r="54" spans="1:9" x14ac:dyDescent="0.25">
      <c r="A54" s="300" t="s">
        <v>26</v>
      </c>
      <c r="B54" s="302"/>
      <c r="C54" s="302"/>
      <c r="D54" s="302"/>
      <c r="E54" s="302"/>
      <c r="F54" s="302"/>
      <c r="G54" s="301">
        <f>SUM(G47:G52,G41:G45,G35:G39,G27:G33,G21:G25,G15:G19,G9:G13,G3:G7)</f>
        <v>188.5</v>
      </c>
      <c r="H54" s="301">
        <f>SUM(H47:H52,H41:H45,H35:H39,H27:H33,H21:H25,H15:H19,H9:H13,H3:H7)</f>
        <v>10540.470000000001</v>
      </c>
      <c r="I54" s="300">
        <f>SUM(H54/G54)</f>
        <v>55.917612732095499</v>
      </c>
    </row>
  </sheetData>
  <sortState ref="A3:H52">
    <sortCondition ref="A1"/>
  </sortState>
  <mergeCells count="8">
    <mergeCell ref="A40:H40"/>
    <mergeCell ref="A46:H46"/>
    <mergeCell ref="A2:H2"/>
    <mergeCell ref="A8:H8"/>
    <mergeCell ref="A14:H14"/>
    <mergeCell ref="A20:H20"/>
    <mergeCell ref="A26:H26"/>
    <mergeCell ref="A34:H3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A4B4-05E3-4F1E-ACA7-8F8FD2FFD042}">
  <dimension ref="A1:P48"/>
  <sheetViews>
    <sheetView zoomScaleNormal="100" workbookViewId="0">
      <selection activeCell="G368" sqref="G368"/>
    </sheetView>
  </sheetViews>
  <sheetFormatPr defaultRowHeight="15" x14ac:dyDescent="0.25"/>
  <cols>
    <col min="1" max="1" width="8.7109375" bestFit="1" customWidth="1"/>
  </cols>
  <sheetData>
    <row r="1" spans="1:16" ht="45" x14ac:dyDescent="0.25">
      <c r="A1" s="277" t="s">
        <v>347</v>
      </c>
      <c r="B1" s="277" t="s">
        <v>349</v>
      </c>
      <c r="C1" s="277" t="s">
        <v>350</v>
      </c>
      <c r="D1" s="277" t="s">
        <v>352</v>
      </c>
      <c r="E1" s="277" t="s">
        <v>353</v>
      </c>
      <c r="F1" s="277" t="s">
        <v>354</v>
      </c>
      <c r="G1" s="277" t="s">
        <v>355</v>
      </c>
      <c r="H1" s="277" t="s">
        <v>356</v>
      </c>
      <c r="I1" s="326"/>
      <c r="J1" s="327"/>
      <c r="K1" s="327"/>
      <c r="L1" s="327"/>
      <c r="M1" s="327"/>
      <c r="N1" s="327"/>
      <c r="O1" s="327"/>
      <c r="P1" s="328"/>
    </row>
    <row r="2" spans="1:16" x14ac:dyDescent="0.25">
      <c r="A2" s="608">
        <v>43180</v>
      </c>
      <c r="B2" s="609"/>
      <c r="C2" s="609"/>
      <c r="D2" s="609"/>
      <c r="E2" s="609"/>
      <c r="F2" s="609"/>
      <c r="G2" s="609"/>
      <c r="H2" s="611"/>
      <c r="I2" s="326"/>
      <c r="J2" s="327"/>
      <c r="K2" s="327"/>
      <c r="L2" s="327"/>
      <c r="M2" s="327"/>
      <c r="N2" s="327"/>
      <c r="O2" s="327"/>
      <c r="P2" s="328"/>
    </row>
    <row r="3" spans="1:16" ht="23.25" x14ac:dyDescent="0.25">
      <c r="A3" s="278">
        <v>43180</v>
      </c>
      <c r="B3" s="281" t="s">
        <v>389</v>
      </c>
      <c r="C3" s="281" t="s">
        <v>9</v>
      </c>
      <c r="D3" s="281" t="s">
        <v>362</v>
      </c>
      <c r="E3" s="281" t="s">
        <v>378</v>
      </c>
      <c r="F3" s="283" t="s">
        <v>387</v>
      </c>
      <c r="G3" s="284">
        <v>5</v>
      </c>
      <c r="H3" s="285">
        <v>226.4</v>
      </c>
      <c r="I3" s="326"/>
      <c r="J3" s="327"/>
      <c r="K3" s="327"/>
      <c r="L3" s="327"/>
      <c r="M3" s="327"/>
      <c r="N3" s="327"/>
      <c r="O3" s="327"/>
      <c r="P3" s="328"/>
    </row>
    <row r="4" spans="1:16" x14ac:dyDescent="0.25">
      <c r="A4" s="278">
        <v>43180</v>
      </c>
      <c r="B4" s="281" t="s">
        <v>389</v>
      </c>
      <c r="C4" s="281" t="s">
        <v>9</v>
      </c>
      <c r="D4" s="281" t="s">
        <v>365</v>
      </c>
      <c r="E4" s="281" t="s">
        <v>380</v>
      </c>
      <c r="F4" s="283" t="s">
        <v>365</v>
      </c>
      <c r="G4" s="284"/>
      <c r="H4" s="285">
        <v>15.51</v>
      </c>
    </row>
    <row r="5" spans="1:16" x14ac:dyDescent="0.25">
      <c r="A5" s="278">
        <v>43180</v>
      </c>
      <c r="B5" s="281" t="s">
        <v>389</v>
      </c>
      <c r="C5" s="281" t="s">
        <v>9</v>
      </c>
      <c r="D5" s="281" t="s">
        <v>365</v>
      </c>
      <c r="E5" s="281" t="s">
        <v>381</v>
      </c>
      <c r="F5" s="283" t="s">
        <v>365</v>
      </c>
      <c r="G5" s="284"/>
      <c r="H5" s="285">
        <v>1.47</v>
      </c>
      <c r="I5" s="326"/>
      <c r="J5" s="327"/>
      <c r="K5" s="327"/>
      <c r="L5" s="327"/>
      <c r="M5" s="327"/>
      <c r="N5" s="327"/>
      <c r="O5" s="327"/>
      <c r="P5" s="328"/>
    </row>
    <row r="6" spans="1:16" x14ac:dyDescent="0.25">
      <c r="A6" s="278">
        <v>43180</v>
      </c>
      <c r="B6" s="281" t="s">
        <v>389</v>
      </c>
      <c r="C6" s="281" t="s">
        <v>9</v>
      </c>
      <c r="D6" s="281" t="s">
        <v>365</v>
      </c>
      <c r="E6" s="281" t="s">
        <v>382</v>
      </c>
      <c r="F6" s="283" t="s">
        <v>365</v>
      </c>
      <c r="G6" s="284"/>
      <c r="H6" s="285">
        <v>2.83</v>
      </c>
    </row>
    <row r="7" spans="1:16" x14ac:dyDescent="0.25">
      <c r="A7" s="278">
        <v>43180</v>
      </c>
      <c r="B7" s="281" t="s">
        <v>389</v>
      </c>
      <c r="C7" s="281" t="s">
        <v>9</v>
      </c>
      <c r="D7" s="281" t="s">
        <v>369</v>
      </c>
      <c r="E7" s="281" t="s">
        <v>383</v>
      </c>
      <c r="F7" s="283" t="s">
        <v>371</v>
      </c>
      <c r="G7" s="284"/>
      <c r="H7" s="285">
        <v>21.51</v>
      </c>
    </row>
    <row r="8" spans="1:16" x14ac:dyDescent="0.25">
      <c r="A8" s="608">
        <v>43194</v>
      </c>
      <c r="B8" s="609"/>
      <c r="C8" s="609"/>
      <c r="D8" s="609"/>
      <c r="E8" s="609"/>
      <c r="F8" s="609"/>
      <c r="G8" s="609"/>
      <c r="H8" s="611"/>
    </row>
    <row r="9" spans="1:16" ht="23.25" x14ac:dyDescent="0.25">
      <c r="A9" s="278">
        <v>43194</v>
      </c>
      <c r="B9" s="281" t="s">
        <v>389</v>
      </c>
      <c r="C9" s="281" t="s">
        <v>9</v>
      </c>
      <c r="D9" s="281" t="s">
        <v>362</v>
      </c>
      <c r="E9" s="281" t="s">
        <v>378</v>
      </c>
      <c r="F9" s="283" t="s">
        <v>387</v>
      </c>
      <c r="G9" s="284">
        <v>5</v>
      </c>
      <c r="H9" s="285">
        <v>226.4</v>
      </c>
    </row>
    <row r="10" spans="1:16" x14ac:dyDescent="0.25">
      <c r="A10" s="278">
        <v>43194</v>
      </c>
      <c r="B10" s="281" t="s">
        <v>389</v>
      </c>
      <c r="C10" s="281" t="s">
        <v>9</v>
      </c>
      <c r="D10" s="281" t="s">
        <v>365</v>
      </c>
      <c r="E10" s="281" t="s">
        <v>380</v>
      </c>
      <c r="F10" s="283" t="s">
        <v>365</v>
      </c>
      <c r="G10" s="284"/>
      <c r="H10" s="285">
        <v>15.51</v>
      </c>
    </row>
    <row r="11" spans="1:16" x14ac:dyDescent="0.25">
      <c r="A11" s="278">
        <v>43194</v>
      </c>
      <c r="B11" s="281" t="s">
        <v>389</v>
      </c>
      <c r="C11" s="281" t="s">
        <v>9</v>
      </c>
      <c r="D11" s="281" t="s">
        <v>365</v>
      </c>
      <c r="E11" s="281" t="s">
        <v>381</v>
      </c>
      <c r="F11" s="283" t="s">
        <v>365</v>
      </c>
      <c r="G11" s="284"/>
      <c r="H11" s="285">
        <v>1.47</v>
      </c>
    </row>
    <row r="12" spans="1:16" x14ac:dyDescent="0.25">
      <c r="A12" s="278">
        <v>43194</v>
      </c>
      <c r="B12" s="281" t="s">
        <v>389</v>
      </c>
      <c r="C12" s="281" t="s">
        <v>9</v>
      </c>
      <c r="D12" s="281" t="s">
        <v>365</v>
      </c>
      <c r="E12" s="281" t="s">
        <v>382</v>
      </c>
      <c r="F12" s="283" t="s">
        <v>365</v>
      </c>
      <c r="G12" s="284"/>
      <c r="H12" s="285">
        <v>2.83</v>
      </c>
    </row>
    <row r="13" spans="1:16" x14ac:dyDescent="0.25">
      <c r="A13" s="278">
        <v>43194</v>
      </c>
      <c r="B13" s="281" t="s">
        <v>389</v>
      </c>
      <c r="C13" s="281" t="s">
        <v>9</v>
      </c>
      <c r="D13" s="281" t="s">
        <v>369</v>
      </c>
      <c r="E13" s="281" t="s">
        <v>383</v>
      </c>
      <c r="F13" s="283" t="s">
        <v>371</v>
      </c>
      <c r="G13" s="284"/>
      <c r="H13" s="285">
        <v>21.51</v>
      </c>
    </row>
    <row r="14" spans="1:16" x14ac:dyDescent="0.25">
      <c r="A14" s="608">
        <v>43222</v>
      </c>
      <c r="B14" s="609"/>
      <c r="C14" s="609"/>
      <c r="D14" s="609"/>
      <c r="E14" s="609"/>
      <c r="F14" s="609"/>
      <c r="G14" s="609"/>
      <c r="H14" s="611"/>
    </row>
    <row r="15" spans="1:16" ht="23.25" x14ac:dyDescent="0.25">
      <c r="A15" s="278">
        <v>43222</v>
      </c>
      <c r="B15" s="281" t="s">
        <v>389</v>
      </c>
      <c r="C15" s="281" t="s">
        <v>9</v>
      </c>
      <c r="D15" s="281" t="s">
        <v>362</v>
      </c>
      <c r="E15" s="281" t="s">
        <v>378</v>
      </c>
      <c r="F15" s="283" t="s">
        <v>387</v>
      </c>
      <c r="G15" s="284">
        <v>18</v>
      </c>
      <c r="H15" s="285">
        <v>815.01</v>
      </c>
    </row>
    <row r="16" spans="1:16" x14ac:dyDescent="0.25">
      <c r="A16" s="278">
        <v>43222</v>
      </c>
      <c r="B16" s="281" t="s">
        <v>389</v>
      </c>
      <c r="C16" s="281" t="s">
        <v>9</v>
      </c>
      <c r="D16" s="281" t="s">
        <v>365</v>
      </c>
      <c r="E16" s="281" t="s">
        <v>380</v>
      </c>
      <c r="F16" s="283" t="s">
        <v>365</v>
      </c>
      <c r="G16" s="284"/>
      <c r="H16" s="285">
        <v>55.83</v>
      </c>
    </row>
    <row r="17" spans="1:8" x14ac:dyDescent="0.25">
      <c r="A17" s="278">
        <v>43222</v>
      </c>
      <c r="B17" s="281" t="s">
        <v>389</v>
      </c>
      <c r="C17" s="281" t="s">
        <v>9</v>
      </c>
      <c r="D17" s="281" t="s">
        <v>365</v>
      </c>
      <c r="E17" s="281" t="s">
        <v>381</v>
      </c>
      <c r="F17" s="283" t="s">
        <v>365</v>
      </c>
      <c r="G17" s="284"/>
      <c r="H17" s="285">
        <v>5.31</v>
      </c>
    </row>
    <row r="18" spans="1:8" x14ac:dyDescent="0.25">
      <c r="A18" s="278">
        <v>43222</v>
      </c>
      <c r="B18" s="281" t="s">
        <v>389</v>
      </c>
      <c r="C18" s="281" t="s">
        <v>9</v>
      </c>
      <c r="D18" s="281" t="s">
        <v>365</v>
      </c>
      <c r="E18" s="281" t="s">
        <v>382</v>
      </c>
      <c r="F18" s="283" t="s">
        <v>365</v>
      </c>
      <c r="G18" s="284"/>
      <c r="H18" s="285">
        <v>10.19</v>
      </c>
    </row>
    <row r="19" spans="1:8" x14ac:dyDescent="0.25">
      <c r="A19" s="278">
        <v>43222</v>
      </c>
      <c r="B19" s="281" t="s">
        <v>389</v>
      </c>
      <c r="C19" s="281" t="s">
        <v>9</v>
      </c>
      <c r="D19" s="281" t="s">
        <v>369</v>
      </c>
      <c r="E19" s="281" t="s">
        <v>383</v>
      </c>
      <c r="F19" s="283" t="s">
        <v>371</v>
      </c>
      <c r="G19" s="284"/>
      <c r="H19" s="285">
        <v>77.430000000000007</v>
      </c>
    </row>
    <row r="20" spans="1:8" x14ac:dyDescent="0.25">
      <c r="A20" s="608">
        <v>43236</v>
      </c>
      <c r="B20" s="609"/>
      <c r="C20" s="609"/>
      <c r="D20" s="609"/>
      <c r="E20" s="609"/>
      <c r="F20" s="609"/>
      <c r="G20" s="609"/>
      <c r="H20" s="611"/>
    </row>
    <row r="21" spans="1:8" ht="23.25" x14ac:dyDescent="0.25">
      <c r="A21" s="278">
        <v>43236</v>
      </c>
      <c r="B21" s="281" t="s">
        <v>389</v>
      </c>
      <c r="C21" s="281" t="s">
        <v>9</v>
      </c>
      <c r="D21" s="281" t="s">
        <v>362</v>
      </c>
      <c r="E21" s="281" t="s">
        <v>378</v>
      </c>
      <c r="F21" s="283" t="s">
        <v>387</v>
      </c>
      <c r="G21" s="284">
        <v>10</v>
      </c>
      <c r="H21" s="285">
        <v>452.79</v>
      </c>
    </row>
    <row r="22" spans="1:8" x14ac:dyDescent="0.25">
      <c r="A22" s="278">
        <v>43236</v>
      </c>
      <c r="B22" s="281" t="s">
        <v>389</v>
      </c>
      <c r="C22" s="281" t="s">
        <v>9</v>
      </c>
      <c r="D22" s="281" t="s">
        <v>365</v>
      </c>
      <c r="E22" s="281" t="s">
        <v>380</v>
      </c>
      <c r="F22" s="283" t="s">
        <v>365</v>
      </c>
      <c r="G22" s="284"/>
      <c r="H22" s="285">
        <v>31.02</v>
      </c>
    </row>
    <row r="23" spans="1:8" x14ac:dyDescent="0.25">
      <c r="A23" s="278">
        <v>43236</v>
      </c>
      <c r="B23" s="281" t="s">
        <v>389</v>
      </c>
      <c r="C23" s="281" t="s">
        <v>9</v>
      </c>
      <c r="D23" s="281" t="s">
        <v>365</v>
      </c>
      <c r="E23" s="281" t="s">
        <v>381</v>
      </c>
      <c r="F23" s="283" t="s">
        <v>365</v>
      </c>
      <c r="G23" s="284"/>
      <c r="H23" s="285">
        <v>2.95</v>
      </c>
    </row>
    <row r="24" spans="1:8" x14ac:dyDescent="0.25">
      <c r="A24" s="278">
        <v>43236</v>
      </c>
      <c r="B24" s="281" t="s">
        <v>389</v>
      </c>
      <c r="C24" s="281" t="s">
        <v>9</v>
      </c>
      <c r="D24" s="281" t="s">
        <v>365</v>
      </c>
      <c r="E24" s="281" t="s">
        <v>382</v>
      </c>
      <c r="F24" s="283" t="s">
        <v>365</v>
      </c>
      <c r="G24" s="284"/>
      <c r="H24" s="285">
        <v>5.66</v>
      </c>
    </row>
    <row r="25" spans="1:8" x14ac:dyDescent="0.25">
      <c r="A25" s="278">
        <v>43236</v>
      </c>
      <c r="B25" s="281" t="s">
        <v>389</v>
      </c>
      <c r="C25" s="281" t="s">
        <v>9</v>
      </c>
      <c r="D25" s="281" t="s">
        <v>369</v>
      </c>
      <c r="E25" s="281" t="s">
        <v>383</v>
      </c>
      <c r="F25" s="283" t="s">
        <v>371</v>
      </c>
      <c r="G25" s="284"/>
      <c r="H25" s="285">
        <v>43.02</v>
      </c>
    </row>
    <row r="26" spans="1:8" x14ac:dyDescent="0.25">
      <c r="A26" s="608">
        <v>43250</v>
      </c>
      <c r="B26" s="609"/>
      <c r="C26" s="609"/>
      <c r="D26" s="609"/>
      <c r="E26" s="609"/>
      <c r="F26" s="609"/>
      <c r="G26" s="609"/>
      <c r="H26" s="611"/>
    </row>
    <row r="27" spans="1:8" ht="23.25" x14ac:dyDescent="0.25">
      <c r="A27" s="278">
        <v>43250</v>
      </c>
      <c r="B27" s="281" t="s">
        <v>389</v>
      </c>
      <c r="C27" s="281" t="s">
        <v>9</v>
      </c>
      <c r="D27" s="281" t="s">
        <v>362</v>
      </c>
      <c r="E27" s="281" t="s">
        <v>378</v>
      </c>
      <c r="F27" s="283" t="s">
        <v>387</v>
      </c>
      <c r="G27" s="284">
        <v>14</v>
      </c>
      <c r="H27" s="285">
        <v>633.91</v>
      </c>
    </row>
    <row r="28" spans="1:8" x14ac:dyDescent="0.25">
      <c r="A28" s="278">
        <v>43250</v>
      </c>
      <c r="B28" s="281" t="s">
        <v>389</v>
      </c>
      <c r="C28" s="281" t="s">
        <v>9</v>
      </c>
      <c r="D28" s="281" t="s">
        <v>365</v>
      </c>
      <c r="E28" s="281" t="s">
        <v>380</v>
      </c>
      <c r="F28" s="283" t="s">
        <v>365</v>
      </c>
      <c r="G28" s="284"/>
      <c r="H28" s="285">
        <v>43.42</v>
      </c>
    </row>
    <row r="29" spans="1:8" x14ac:dyDescent="0.25">
      <c r="A29" s="278">
        <v>43250</v>
      </c>
      <c r="B29" s="281" t="s">
        <v>389</v>
      </c>
      <c r="C29" s="281" t="s">
        <v>9</v>
      </c>
      <c r="D29" s="281" t="s">
        <v>365</v>
      </c>
      <c r="E29" s="281" t="s">
        <v>381</v>
      </c>
      <c r="F29" s="283" t="s">
        <v>365</v>
      </c>
      <c r="G29" s="284"/>
      <c r="H29" s="285">
        <v>4.1399999999999997</v>
      </c>
    </row>
    <row r="30" spans="1:8" x14ac:dyDescent="0.25">
      <c r="A30" s="278">
        <v>43250</v>
      </c>
      <c r="B30" s="281" t="s">
        <v>389</v>
      </c>
      <c r="C30" s="281" t="s">
        <v>9</v>
      </c>
      <c r="D30" s="281" t="s">
        <v>365</v>
      </c>
      <c r="E30" s="281" t="s">
        <v>382</v>
      </c>
      <c r="F30" s="283" t="s">
        <v>365</v>
      </c>
      <c r="G30" s="284"/>
      <c r="H30" s="285">
        <v>7.92</v>
      </c>
    </row>
    <row r="31" spans="1:8" x14ac:dyDescent="0.25">
      <c r="A31" s="278">
        <v>43250</v>
      </c>
      <c r="B31" s="281" t="s">
        <v>389</v>
      </c>
      <c r="C31" s="281" t="s">
        <v>9</v>
      </c>
      <c r="D31" s="281" t="s">
        <v>369</v>
      </c>
      <c r="E31" s="281" t="s">
        <v>383</v>
      </c>
      <c r="F31" s="283" t="s">
        <v>371</v>
      </c>
      <c r="G31" s="284"/>
      <c r="H31" s="285">
        <v>60.22</v>
      </c>
    </row>
    <row r="32" spans="1:8" x14ac:dyDescent="0.25">
      <c r="A32" s="608">
        <v>43264</v>
      </c>
      <c r="B32" s="609"/>
      <c r="C32" s="609"/>
      <c r="D32" s="609"/>
      <c r="E32" s="609"/>
      <c r="F32" s="609"/>
      <c r="G32" s="609"/>
      <c r="H32" s="611"/>
    </row>
    <row r="33" spans="1:9" ht="23.25" x14ac:dyDescent="0.25">
      <c r="A33" s="278">
        <v>43264</v>
      </c>
      <c r="B33" s="281" t="s">
        <v>389</v>
      </c>
      <c r="C33" s="281" t="s">
        <v>9</v>
      </c>
      <c r="D33" s="281" t="s">
        <v>362</v>
      </c>
      <c r="E33" s="281" t="s">
        <v>378</v>
      </c>
      <c r="F33" s="283" t="s">
        <v>387</v>
      </c>
      <c r="G33" s="284">
        <v>14</v>
      </c>
      <c r="H33" s="285">
        <v>633.91</v>
      </c>
    </row>
    <row r="34" spans="1:9" x14ac:dyDescent="0.25">
      <c r="A34" s="278">
        <v>43264</v>
      </c>
      <c r="B34" s="281" t="s">
        <v>389</v>
      </c>
      <c r="C34" s="281" t="s">
        <v>9</v>
      </c>
      <c r="D34" s="281" t="s">
        <v>365</v>
      </c>
      <c r="E34" s="281" t="s">
        <v>380</v>
      </c>
      <c r="F34" s="283" t="s">
        <v>365</v>
      </c>
      <c r="G34" s="284"/>
      <c r="H34" s="285">
        <v>43.42</v>
      </c>
    </row>
    <row r="35" spans="1:9" x14ac:dyDescent="0.25">
      <c r="A35" s="278">
        <v>43264</v>
      </c>
      <c r="B35" s="281" t="s">
        <v>389</v>
      </c>
      <c r="C35" s="281" t="s">
        <v>9</v>
      </c>
      <c r="D35" s="281" t="s">
        <v>365</v>
      </c>
      <c r="E35" s="281" t="s">
        <v>381</v>
      </c>
      <c r="F35" s="283" t="s">
        <v>365</v>
      </c>
      <c r="G35" s="284"/>
      <c r="H35" s="285">
        <v>4.13</v>
      </c>
    </row>
    <row r="36" spans="1:9" x14ac:dyDescent="0.25">
      <c r="A36" s="278">
        <v>43264</v>
      </c>
      <c r="B36" s="281" t="s">
        <v>389</v>
      </c>
      <c r="C36" s="281" t="s">
        <v>9</v>
      </c>
      <c r="D36" s="281" t="s">
        <v>365</v>
      </c>
      <c r="E36" s="281" t="s">
        <v>382</v>
      </c>
      <c r="F36" s="283" t="s">
        <v>365</v>
      </c>
      <c r="G36" s="284"/>
      <c r="H36" s="285">
        <v>7.92</v>
      </c>
    </row>
    <row r="37" spans="1:9" x14ac:dyDescent="0.25">
      <c r="A37" s="278">
        <v>43264</v>
      </c>
      <c r="B37" s="281" t="s">
        <v>389</v>
      </c>
      <c r="C37" s="281" t="s">
        <v>9</v>
      </c>
      <c r="D37" s="281" t="s">
        <v>369</v>
      </c>
      <c r="E37" s="281" t="s">
        <v>383</v>
      </c>
      <c r="F37" s="283" t="s">
        <v>371</v>
      </c>
      <c r="G37" s="284"/>
      <c r="H37" s="285">
        <v>60.22</v>
      </c>
    </row>
    <row r="38" spans="1:9" x14ac:dyDescent="0.25">
      <c r="A38" s="608">
        <v>43278</v>
      </c>
      <c r="B38" s="609"/>
      <c r="C38" s="609"/>
      <c r="D38" s="609"/>
      <c r="E38" s="609"/>
      <c r="F38" s="609"/>
      <c r="G38" s="609"/>
      <c r="H38" s="611"/>
    </row>
    <row r="39" spans="1:9" ht="23.25" x14ac:dyDescent="0.25">
      <c r="A39" s="278">
        <v>43278</v>
      </c>
      <c r="B39" s="281" t="s">
        <v>389</v>
      </c>
      <c r="C39" s="281" t="s">
        <v>9</v>
      </c>
      <c r="D39" s="281" t="s">
        <v>362</v>
      </c>
      <c r="E39" s="281" t="s">
        <v>378</v>
      </c>
      <c r="F39" s="283" t="s">
        <v>387</v>
      </c>
      <c r="G39" s="284">
        <v>14</v>
      </c>
      <c r="H39" s="285">
        <v>633.91</v>
      </c>
    </row>
    <row r="40" spans="1:9" x14ac:dyDescent="0.25">
      <c r="A40" s="278">
        <v>43278</v>
      </c>
      <c r="B40" s="281" t="s">
        <v>389</v>
      </c>
      <c r="C40" s="281" t="s">
        <v>9</v>
      </c>
      <c r="D40" s="281" t="s">
        <v>365</v>
      </c>
      <c r="E40" s="281" t="s">
        <v>380</v>
      </c>
      <c r="F40" s="283" t="s">
        <v>365</v>
      </c>
      <c r="G40" s="284"/>
      <c r="H40" s="285">
        <v>43.42</v>
      </c>
    </row>
    <row r="41" spans="1:9" x14ac:dyDescent="0.25">
      <c r="A41" s="278">
        <v>43278</v>
      </c>
      <c r="B41" s="281" t="s">
        <v>389</v>
      </c>
      <c r="C41" s="281" t="s">
        <v>9</v>
      </c>
      <c r="D41" s="281" t="s">
        <v>365</v>
      </c>
      <c r="E41" s="281" t="s">
        <v>381</v>
      </c>
      <c r="F41" s="283" t="s">
        <v>365</v>
      </c>
      <c r="G41" s="284"/>
      <c r="H41" s="285">
        <v>4.13</v>
      </c>
    </row>
    <row r="42" spans="1:9" x14ac:dyDescent="0.25">
      <c r="A42" s="278">
        <v>43278</v>
      </c>
      <c r="B42" s="281" t="s">
        <v>389</v>
      </c>
      <c r="C42" s="281" t="s">
        <v>9</v>
      </c>
      <c r="D42" s="281" t="s">
        <v>365</v>
      </c>
      <c r="E42" s="281" t="s">
        <v>382</v>
      </c>
      <c r="F42" s="283" t="s">
        <v>365</v>
      </c>
      <c r="G42" s="284"/>
      <c r="H42" s="285">
        <v>7.92</v>
      </c>
    </row>
    <row r="43" spans="1:9" x14ac:dyDescent="0.25">
      <c r="A43" s="278">
        <v>43278</v>
      </c>
      <c r="B43" s="281" t="s">
        <v>389</v>
      </c>
      <c r="C43" s="281" t="s">
        <v>9</v>
      </c>
      <c r="D43" s="281" t="s">
        <v>369</v>
      </c>
      <c r="E43" s="281" t="s">
        <v>383</v>
      </c>
      <c r="F43" s="283" t="s">
        <v>371</v>
      </c>
      <c r="G43" s="284"/>
      <c r="H43" s="285">
        <v>60.22</v>
      </c>
    </row>
    <row r="44" spans="1:9" x14ac:dyDescent="0.25">
      <c r="A44" s="608">
        <v>43292</v>
      </c>
      <c r="B44" s="609"/>
      <c r="C44" s="609"/>
      <c r="D44" s="609"/>
      <c r="E44" s="609"/>
      <c r="F44" s="609"/>
      <c r="G44" s="609"/>
      <c r="H44" s="611"/>
    </row>
    <row r="45" spans="1:9" ht="23.25" x14ac:dyDescent="0.25">
      <c r="A45" s="278">
        <v>43292</v>
      </c>
      <c r="B45" s="281" t="s">
        <v>389</v>
      </c>
      <c r="C45" s="281" t="s">
        <v>9</v>
      </c>
      <c r="D45" s="281" t="s">
        <v>362</v>
      </c>
      <c r="E45" s="281" t="s">
        <v>378</v>
      </c>
      <c r="F45" s="283" t="s">
        <v>387</v>
      </c>
      <c r="G45" s="284">
        <v>7</v>
      </c>
      <c r="H45" s="285">
        <v>316.95</v>
      </c>
    </row>
    <row r="46" spans="1:9" x14ac:dyDescent="0.25">
      <c r="A46" s="278">
        <v>43292</v>
      </c>
      <c r="B46" s="281" t="s">
        <v>389</v>
      </c>
      <c r="C46" s="281" t="s">
        <v>9</v>
      </c>
      <c r="D46" s="281" t="s">
        <v>365</v>
      </c>
      <c r="E46" s="281" t="s">
        <v>380</v>
      </c>
      <c r="F46" s="283" t="s">
        <v>365</v>
      </c>
      <c r="G46" s="284"/>
      <c r="H46" s="285">
        <v>21.71</v>
      </c>
    </row>
    <row r="47" spans="1:9" x14ac:dyDescent="0.25">
      <c r="A47" s="278">
        <v>43292</v>
      </c>
      <c r="B47" s="281" t="s">
        <v>389</v>
      </c>
      <c r="C47" s="281" t="s">
        <v>9</v>
      </c>
      <c r="D47" s="281" t="s">
        <v>365</v>
      </c>
      <c r="E47" s="281" t="s">
        <v>382</v>
      </c>
      <c r="F47" s="283" t="s">
        <v>365</v>
      </c>
      <c r="G47" s="284"/>
      <c r="H47" s="285">
        <v>3.96</v>
      </c>
    </row>
    <row r="48" spans="1:9" x14ac:dyDescent="0.25">
      <c r="A48" s="300" t="s">
        <v>26</v>
      </c>
      <c r="B48" s="302"/>
      <c r="C48" s="302"/>
      <c r="D48" s="302"/>
      <c r="E48" s="302"/>
      <c r="F48" s="302"/>
      <c r="G48" s="301">
        <f>SUM(G3:G47)</f>
        <v>87</v>
      </c>
      <c r="H48" s="301">
        <f>SUM(H3:H47)</f>
        <v>4626.08</v>
      </c>
      <c r="I48" s="300">
        <f>SUM(H48/G48)</f>
        <v>53.173333333333332</v>
      </c>
    </row>
  </sheetData>
  <mergeCells count="8">
    <mergeCell ref="A44:H44"/>
    <mergeCell ref="A2:H2"/>
    <mergeCell ref="A8:H8"/>
    <mergeCell ref="A14:H14"/>
    <mergeCell ref="A20:H20"/>
    <mergeCell ref="A26:H26"/>
    <mergeCell ref="A32:H32"/>
    <mergeCell ref="A38:H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D1B6-932B-4214-9945-06FF2B34D4BB}">
  <dimension ref="A1:Q67"/>
  <sheetViews>
    <sheetView topLeftCell="A35" zoomScaleNormal="100" workbookViewId="0"/>
  </sheetViews>
  <sheetFormatPr defaultRowHeight="15" x14ac:dyDescent="0.25"/>
  <cols>
    <col min="8" max="8" width="12.140625" bestFit="1" customWidth="1"/>
  </cols>
  <sheetData>
    <row r="1" spans="1:17" ht="45" x14ac:dyDescent="0.25">
      <c r="A1" s="277" t="s">
        <v>347</v>
      </c>
      <c r="B1" s="277" t="s">
        <v>349</v>
      </c>
      <c r="C1" s="277" t="s">
        <v>350</v>
      </c>
      <c r="D1" s="277" t="s">
        <v>352</v>
      </c>
      <c r="E1" s="277" t="s">
        <v>353</v>
      </c>
      <c r="F1" s="277" t="s">
        <v>354</v>
      </c>
      <c r="G1" s="277" t="s">
        <v>355</v>
      </c>
      <c r="H1" s="277" t="s">
        <v>356</v>
      </c>
    </row>
    <row r="2" spans="1:17" x14ac:dyDescent="0.25">
      <c r="A2" s="608">
        <v>43124</v>
      </c>
      <c r="B2" s="609"/>
      <c r="C2" s="609"/>
      <c r="D2" s="609"/>
      <c r="E2" s="609"/>
      <c r="F2" s="609"/>
      <c r="G2" s="609"/>
      <c r="H2" s="611"/>
    </row>
    <row r="3" spans="1:17" ht="23.25" x14ac:dyDescent="0.25">
      <c r="A3" s="278">
        <v>43124</v>
      </c>
      <c r="B3" s="281" t="s">
        <v>373</v>
      </c>
      <c r="C3" s="281" t="s">
        <v>1</v>
      </c>
      <c r="D3" s="281" t="s">
        <v>362</v>
      </c>
      <c r="E3" s="281" t="s">
        <v>363</v>
      </c>
      <c r="F3" s="283" t="s">
        <v>364</v>
      </c>
      <c r="G3" s="284">
        <v>6.5</v>
      </c>
      <c r="H3" s="285">
        <v>376.58</v>
      </c>
    </row>
    <row r="4" spans="1:17" x14ac:dyDescent="0.25">
      <c r="A4" s="278">
        <v>43124</v>
      </c>
      <c r="B4" s="281" t="s">
        <v>373</v>
      </c>
      <c r="C4" s="281" t="s">
        <v>1</v>
      </c>
      <c r="D4" s="281" t="s">
        <v>365</v>
      </c>
      <c r="E4" s="281" t="s">
        <v>366</v>
      </c>
      <c r="F4" s="283" t="s">
        <v>365</v>
      </c>
      <c r="G4" s="284"/>
      <c r="H4" s="285">
        <v>25.8</v>
      </c>
      <c r="J4" s="278"/>
      <c r="K4" s="281"/>
      <c r="L4" s="281"/>
      <c r="M4" s="281"/>
      <c r="N4" s="281"/>
      <c r="O4" s="283"/>
      <c r="P4" s="284"/>
      <c r="Q4" s="285"/>
    </row>
    <row r="5" spans="1:17" x14ac:dyDescent="0.25">
      <c r="A5" s="278">
        <v>43124</v>
      </c>
      <c r="B5" s="281" t="s">
        <v>373</v>
      </c>
      <c r="C5" s="281" t="s">
        <v>1</v>
      </c>
      <c r="D5" s="281" t="s">
        <v>365</v>
      </c>
      <c r="E5" s="281" t="s">
        <v>368</v>
      </c>
      <c r="F5" s="283" t="s">
        <v>365</v>
      </c>
      <c r="G5" s="284"/>
      <c r="H5" s="285">
        <v>4.71</v>
      </c>
      <c r="J5" s="278"/>
      <c r="K5" s="281"/>
      <c r="L5" s="281"/>
      <c r="M5" s="281"/>
      <c r="N5" s="281"/>
      <c r="O5" s="283"/>
      <c r="P5" s="284"/>
      <c r="Q5" s="285"/>
    </row>
    <row r="6" spans="1:17" x14ac:dyDescent="0.25">
      <c r="A6" s="608">
        <v>43138</v>
      </c>
      <c r="B6" s="609"/>
      <c r="C6" s="609"/>
      <c r="D6" s="609"/>
      <c r="E6" s="609"/>
      <c r="F6" s="609"/>
      <c r="G6" s="609"/>
      <c r="H6" s="611"/>
      <c r="J6" s="278"/>
      <c r="K6" s="281"/>
      <c r="L6" s="281"/>
      <c r="M6" s="281"/>
      <c r="N6" s="281"/>
      <c r="O6" s="283"/>
      <c r="P6" s="284"/>
      <c r="Q6" s="285"/>
    </row>
    <row r="7" spans="1:17" ht="23.25" x14ac:dyDescent="0.25">
      <c r="A7" s="278">
        <v>43138</v>
      </c>
      <c r="B7" s="281" t="s">
        <v>373</v>
      </c>
      <c r="C7" s="281" t="s">
        <v>1</v>
      </c>
      <c r="D7" s="281" t="s">
        <v>362</v>
      </c>
      <c r="E7" s="281" t="s">
        <v>363</v>
      </c>
      <c r="F7" s="283" t="s">
        <v>364</v>
      </c>
      <c r="G7" s="284">
        <v>21.5</v>
      </c>
      <c r="H7" s="285">
        <v>1245.5899999999999</v>
      </c>
      <c r="J7" s="278"/>
      <c r="K7" s="281"/>
      <c r="L7" s="281"/>
      <c r="M7" s="281"/>
      <c r="N7" s="281"/>
      <c r="O7" s="283"/>
      <c r="P7" s="284"/>
      <c r="Q7" s="285"/>
    </row>
    <row r="8" spans="1:17" x14ac:dyDescent="0.25">
      <c r="A8" s="278">
        <v>43138</v>
      </c>
      <c r="B8" s="281" t="s">
        <v>373</v>
      </c>
      <c r="C8" s="281" t="s">
        <v>1</v>
      </c>
      <c r="D8" s="281" t="s">
        <v>365</v>
      </c>
      <c r="E8" s="281" t="s">
        <v>366</v>
      </c>
      <c r="F8" s="283" t="s">
        <v>365</v>
      </c>
      <c r="G8" s="284"/>
      <c r="H8" s="285">
        <v>85.33</v>
      </c>
      <c r="J8" s="278"/>
      <c r="K8" s="281"/>
      <c r="L8" s="281"/>
      <c r="M8" s="281"/>
      <c r="N8" s="281"/>
      <c r="O8" s="283"/>
      <c r="P8" s="284"/>
      <c r="Q8" s="285"/>
    </row>
    <row r="9" spans="1:17" x14ac:dyDescent="0.25">
      <c r="A9" s="278">
        <v>43138</v>
      </c>
      <c r="B9" s="281" t="s">
        <v>373</v>
      </c>
      <c r="C9" s="281" t="s">
        <v>1</v>
      </c>
      <c r="D9" s="281" t="s">
        <v>365</v>
      </c>
      <c r="E9" s="281" t="s">
        <v>367</v>
      </c>
      <c r="F9" s="283" t="s">
        <v>365</v>
      </c>
      <c r="G9" s="284"/>
      <c r="H9" s="285">
        <v>8.11</v>
      </c>
      <c r="J9" s="278"/>
      <c r="K9" s="281"/>
      <c r="L9" s="281"/>
      <c r="M9" s="281"/>
      <c r="N9" s="281"/>
      <c r="O9" s="283"/>
      <c r="P9" s="284"/>
      <c r="Q9" s="285"/>
    </row>
    <row r="10" spans="1:17" x14ac:dyDescent="0.25">
      <c r="A10" s="278">
        <v>43138</v>
      </c>
      <c r="B10" s="281" t="s">
        <v>373</v>
      </c>
      <c r="C10" s="281" t="s">
        <v>1</v>
      </c>
      <c r="D10" s="281" t="s">
        <v>365</v>
      </c>
      <c r="E10" s="281" t="s">
        <v>368</v>
      </c>
      <c r="F10" s="283" t="s">
        <v>365</v>
      </c>
      <c r="G10" s="284"/>
      <c r="H10" s="285">
        <v>15.57</v>
      </c>
    </row>
    <row r="11" spans="1:17" x14ac:dyDescent="0.25">
      <c r="A11" s="278">
        <v>43138</v>
      </c>
      <c r="B11" s="281" t="s">
        <v>373</v>
      </c>
      <c r="C11" s="281" t="s">
        <v>1</v>
      </c>
      <c r="D11" s="281" t="s">
        <v>369</v>
      </c>
      <c r="E11" s="281" t="s">
        <v>370</v>
      </c>
      <c r="F11" s="283" t="s">
        <v>371</v>
      </c>
      <c r="G11" s="284"/>
      <c r="H11" s="285">
        <v>118.33</v>
      </c>
      <c r="J11" s="278"/>
      <c r="K11" s="281"/>
      <c r="L11" s="281"/>
      <c r="M11" s="281"/>
      <c r="N11" s="281"/>
      <c r="O11" s="283"/>
      <c r="P11" s="284"/>
      <c r="Q11" s="285"/>
    </row>
    <row r="12" spans="1:17" x14ac:dyDescent="0.25">
      <c r="A12" s="608">
        <v>43166</v>
      </c>
      <c r="B12" s="609"/>
      <c r="C12" s="609"/>
      <c r="D12" s="609"/>
      <c r="E12" s="609"/>
      <c r="F12" s="609"/>
      <c r="G12" s="609"/>
      <c r="H12" s="611"/>
      <c r="J12" s="278"/>
      <c r="K12" s="281"/>
      <c r="L12" s="281"/>
      <c r="M12" s="281"/>
      <c r="N12" s="281"/>
      <c r="O12" s="283"/>
      <c r="P12" s="284"/>
      <c r="Q12" s="285"/>
    </row>
    <row r="13" spans="1:17" ht="23.25" x14ac:dyDescent="0.25">
      <c r="A13" s="278">
        <v>43166</v>
      </c>
      <c r="B13" s="281" t="s">
        <v>373</v>
      </c>
      <c r="C13" s="281" t="s">
        <v>1</v>
      </c>
      <c r="D13" s="281" t="s">
        <v>362</v>
      </c>
      <c r="E13" s="281" t="s">
        <v>363</v>
      </c>
      <c r="F13" s="283" t="s">
        <v>364</v>
      </c>
      <c r="G13" s="284">
        <v>6</v>
      </c>
      <c r="H13" s="285">
        <v>347.61</v>
      </c>
      <c r="J13" s="278"/>
      <c r="K13" s="281"/>
      <c r="L13" s="281"/>
      <c r="M13" s="281"/>
      <c r="N13" s="281"/>
      <c r="O13" s="283"/>
      <c r="P13" s="284"/>
      <c r="Q13" s="285"/>
    </row>
    <row r="14" spans="1:17" x14ac:dyDescent="0.25">
      <c r="A14" s="278">
        <v>43166</v>
      </c>
      <c r="B14" s="281" t="s">
        <v>373</v>
      </c>
      <c r="C14" s="281" t="s">
        <v>1</v>
      </c>
      <c r="D14" s="281" t="s">
        <v>365</v>
      </c>
      <c r="E14" s="281" t="s">
        <v>366</v>
      </c>
      <c r="F14" s="283" t="s">
        <v>365</v>
      </c>
      <c r="G14" s="284"/>
      <c r="H14" s="285">
        <v>23.82</v>
      </c>
      <c r="J14" s="278"/>
      <c r="K14" s="281"/>
      <c r="L14" s="281"/>
      <c r="M14" s="281"/>
      <c r="N14" s="281"/>
      <c r="O14" s="283"/>
      <c r="P14" s="284"/>
      <c r="Q14" s="285"/>
    </row>
    <row r="15" spans="1:17" x14ac:dyDescent="0.25">
      <c r="A15" s="278">
        <v>43166</v>
      </c>
      <c r="B15" s="281" t="s">
        <v>373</v>
      </c>
      <c r="C15" s="281" t="s">
        <v>1</v>
      </c>
      <c r="D15" s="281" t="s">
        <v>365</v>
      </c>
      <c r="E15" s="281" t="s">
        <v>368</v>
      </c>
      <c r="F15" s="283" t="s">
        <v>365</v>
      </c>
      <c r="G15" s="284"/>
      <c r="H15" s="285">
        <v>4.3499999999999996</v>
      </c>
      <c r="J15" s="278"/>
      <c r="K15" s="281"/>
      <c r="L15" s="281"/>
      <c r="M15" s="281"/>
      <c r="N15" s="281"/>
      <c r="O15" s="283"/>
      <c r="P15" s="284"/>
      <c r="Q15" s="285"/>
    </row>
    <row r="16" spans="1:17" x14ac:dyDescent="0.25">
      <c r="A16" s="608">
        <v>43180</v>
      </c>
      <c r="B16" s="609"/>
      <c r="C16" s="609"/>
      <c r="D16" s="609"/>
      <c r="E16" s="609"/>
      <c r="F16" s="609"/>
      <c r="G16" s="609"/>
      <c r="H16" s="611"/>
      <c r="J16" s="278"/>
      <c r="K16" s="281"/>
      <c r="L16" s="281"/>
      <c r="M16" s="281"/>
      <c r="N16" s="281"/>
      <c r="O16" s="283"/>
      <c r="P16" s="284"/>
      <c r="Q16" s="285"/>
    </row>
    <row r="17" spans="1:17" ht="23.25" x14ac:dyDescent="0.25">
      <c r="A17" s="278">
        <v>43180</v>
      </c>
      <c r="B17" s="281" t="s">
        <v>373</v>
      </c>
      <c r="C17" s="281" t="s">
        <v>1</v>
      </c>
      <c r="D17" s="281" t="s">
        <v>362</v>
      </c>
      <c r="E17" s="281" t="s">
        <v>363</v>
      </c>
      <c r="F17" s="283" t="s">
        <v>364</v>
      </c>
      <c r="G17" s="284">
        <v>4</v>
      </c>
      <c r="H17" s="285">
        <v>231.74</v>
      </c>
      <c r="J17" s="278"/>
      <c r="K17" s="281"/>
      <c r="L17" s="281"/>
      <c r="M17" s="281"/>
      <c r="N17" s="281"/>
      <c r="O17" s="283"/>
      <c r="P17" s="284"/>
      <c r="Q17" s="285"/>
    </row>
    <row r="18" spans="1:17" x14ac:dyDescent="0.25">
      <c r="A18" s="278">
        <v>43180</v>
      </c>
      <c r="B18" s="281" t="s">
        <v>373</v>
      </c>
      <c r="C18" s="281" t="s">
        <v>1</v>
      </c>
      <c r="D18" s="281" t="s">
        <v>365</v>
      </c>
      <c r="E18" s="281" t="s">
        <v>366</v>
      </c>
      <c r="F18" s="283" t="s">
        <v>365</v>
      </c>
      <c r="G18" s="284"/>
      <c r="H18" s="285">
        <v>15.88</v>
      </c>
    </row>
    <row r="19" spans="1:17" x14ac:dyDescent="0.25">
      <c r="A19" s="278">
        <v>43180</v>
      </c>
      <c r="B19" s="281" t="s">
        <v>373</v>
      </c>
      <c r="C19" s="281" t="s">
        <v>1</v>
      </c>
      <c r="D19" s="281" t="s">
        <v>365</v>
      </c>
      <c r="E19" s="281" t="s">
        <v>367</v>
      </c>
      <c r="F19" s="283" t="s">
        <v>365</v>
      </c>
      <c r="G19" s="284"/>
      <c r="H19" s="285">
        <v>3.77</v>
      </c>
      <c r="J19" s="278"/>
      <c r="K19" s="281"/>
      <c r="L19" s="281"/>
      <c r="M19" s="281"/>
      <c r="N19" s="281"/>
      <c r="O19" s="283"/>
      <c r="P19" s="284"/>
      <c r="Q19" s="285"/>
    </row>
    <row r="20" spans="1:17" x14ac:dyDescent="0.25">
      <c r="A20" s="278">
        <v>43180</v>
      </c>
      <c r="B20" s="281" t="s">
        <v>373</v>
      </c>
      <c r="C20" s="281" t="s">
        <v>1</v>
      </c>
      <c r="D20" s="281" t="s">
        <v>365</v>
      </c>
      <c r="E20" s="281" t="s">
        <v>368</v>
      </c>
      <c r="F20" s="283" t="s">
        <v>365</v>
      </c>
      <c r="G20" s="284"/>
      <c r="H20" s="285">
        <v>2.9</v>
      </c>
      <c r="J20" s="278"/>
      <c r="K20" s="281"/>
      <c r="L20" s="281"/>
      <c r="M20" s="281"/>
      <c r="N20" s="281"/>
      <c r="O20" s="283"/>
      <c r="P20" s="284"/>
      <c r="Q20" s="285"/>
    </row>
    <row r="21" spans="1:17" x14ac:dyDescent="0.25">
      <c r="A21" s="278">
        <v>43180</v>
      </c>
      <c r="B21" s="281" t="s">
        <v>373</v>
      </c>
      <c r="C21" s="281" t="s">
        <v>1</v>
      </c>
      <c r="D21" s="281" t="s">
        <v>369</v>
      </c>
      <c r="E21" s="281" t="s">
        <v>370</v>
      </c>
      <c r="F21" s="283" t="s">
        <v>371</v>
      </c>
      <c r="G21" s="284"/>
      <c r="H21" s="285">
        <v>55.04</v>
      </c>
      <c r="J21" s="278"/>
      <c r="K21" s="281"/>
      <c r="L21" s="281"/>
      <c r="M21" s="281"/>
      <c r="N21" s="281"/>
      <c r="O21" s="283"/>
      <c r="P21" s="284"/>
      <c r="Q21" s="285"/>
    </row>
    <row r="22" spans="1:17" x14ac:dyDescent="0.25">
      <c r="A22" s="608">
        <v>43194</v>
      </c>
      <c r="B22" s="609"/>
      <c r="C22" s="609"/>
      <c r="D22" s="609"/>
      <c r="E22" s="609"/>
      <c r="F22" s="609"/>
      <c r="G22" s="609"/>
      <c r="H22" s="611"/>
      <c r="J22" s="278"/>
      <c r="K22" s="281"/>
      <c r="L22" s="281"/>
      <c r="M22" s="281"/>
      <c r="N22" s="281"/>
      <c r="O22" s="283"/>
      <c r="P22" s="284"/>
      <c r="Q22" s="285"/>
    </row>
    <row r="23" spans="1:17" ht="23.25" x14ac:dyDescent="0.25">
      <c r="A23" s="278">
        <v>43194</v>
      </c>
      <c r="B23" s="281" t="s">
        <v>373</v>
      </c>
      <c r="C23" s="281" t="s">
        <v>1</v>
      </c>
      <c r="D23" s="281" t="s">
        <v>362</v>
      </c>
      <c r="E23" s="281" t="s">
        <v>363</v>
      </c>
      <c r="F23" s="283" t="s">
        <v>364</v>
      </c>
      <c r="G23" s="284">
        <v>5</v>
      </c>
      <c r="H23" s="285">
        <v>289.67</v>
      </c>
      <c r="J23" s="278"/>
      <c r="K23" s="281"/>
      <c r="L23" s="281"/>
      <c r="M23" s="281"/>
      <c r="N23" s="281"/>
      <c r="O23" s="283"/>
      <c r="P23" s="284"/>
      <c r="Q23" s="285"/>
    </row>
    <row r="24" spans="1:17" x14ac:dyDescent="0.25">
      <c r="A24" s="278">
        <v>43194</v>
      </c>
      <c r="B24" s="281" t="s">
        <v>373</v>
      </c>
      <c r="C24" s="281" t="s">
        <v>1</v>
      </c>
      <c r="D24" s="281" t="s">
        <v>365</v>
      </c>
      <c r="E24" s="281" t="s">
        <v>366</v>
      </c>
      <c r="F24" s="283" t="s">
        <v>365</v>
      </c>
      <c r="G24" s="284"/>
      <c r="H24" s="285">
        <v>19.850000000000001</v>
      </c>
      <c r="J24" s="278"/>
      <c r="K24" s="281"/>
      <c r="L24" s="281"/>
      <c r="M24" s="281"/>
      <c r="N24" s="281"/>
      <c r="O24" s="283"/>
      <c r="P24" s="284"/>
      <c r="Q24" s="285"/>
    </row>
    <row r="25" spans="1:17" x14ac:dyDescent="0.25">
      <c r="A25" s="278">
        <v>43194</v>
      </c>
      <c r="B25" s="281" t="s">
        <v>373</v>
      </c>
      <c r="C25" s="281" t="s">
        <v>1</v>
      </c>
      <c r="D25" s="281" t="s">
        <v>365</v>
      </c>
      <c r="E25" s="281" t="s">
        <v>367</v>
      </c>
      <c r="F25" s="283" t="s">
        <v>365</v>
      </c>
      <c r="G25" s="284"/>
      <c r="H25" s="285">
        <v>0</v>
      </c>
    </row>
    <row r="26" spans="1:17" x14ac:dyDescent="0.25">
      <c r="A26" s="278">
        <v>43194</v>
      </c>
      <c r="B26" s="281" t="s">
        <v>373</v>
      </c>
      <c r="C26" s="281" t="s">
        <v>1</v>
      </c>
      <c r="D26" s="281" t="s">
        <v>365</v>
      </c>
      <c r="E26" s="281" t="s">
        <v>368</v>
      </c>
      <c r="F26" s="283" t="s">
        <v>365</v>
      </c>
      <c r="G26" s="284"/>
      <c r="H26" s="285">
        <v>3.62</v>
      </c>
      <c r="J26" s="278"/>
      <c r="K26" s="281"/>
      <c r="L26" s="281"/>
      <c r="M26" s="281"/>
      <c r="N26" s="281"/>
      <c r="O26" s="283"/>
      <c r="P26" s="284"/>
      <c r="Q26" s="285"/>
    </row>
    <row r="27" spans="1:17" x14ac:dyDescent="0.25">
      <c r="A27" s="278">
        <v>43194</v>
      </c>
      <c r="B27" s="281" t="s">
        <v>373</v>
      </c>
      <c r="C27" s="281" t="s">
        <v>1</v>
      </c>
      <c r="D27" s="281" t="s">
        <v>369</v>
      </c>
      <c r="E27" s="281" t="s">
        <v>370</v>
      </c>
      <c r="F27" s="283" t="s">
        <v>371</v>
      </c>
      <c r="G27" s="284"/>
      <c r="H27" s="285">
        <v>0</v>
      </c>
      <c r="J27" s="278"/>
      <c r="K27" s="281"/>
      <c r="L27" s="281"/>
      <c r="M27" s="281"/>
      <c r="N27" s="281"/>
      <c r="O27" s="283"/>
      <c r="P27" s="284"/>
      <c r="Q27" s="285"/>
    </row>
    <row r="28" spans="1:17" x14ac:dyDescent="0.25">
      <c r="A28" s="608">
        <v>43208</v>
      </c>
      <c r="B28" s="609"/>
      <c r="C28" s="609"/>
      <c r="D28" s="609"/>
      <c r="E28" s="609"/>
      <c r="F28" s="609"/>
      <c r="G28" s="609"/>
      <c r="H28" s="611"/>
      <c r="J28" s="278"/>
      <c r="K28" s="281"/>
      <c r="L28" s="281"/>
      <c r="M28" s="281"/>
      <c r="N28" s="281"/>
      <c r="O28" s="283"/>
      <c r="P28" s="284"/>
      <c r="Q28" s="285"/>
    </row>
    <row r="29" spans="1:17" x14ac:dyDescent="0.25">
      <c r="A29" s="278">
        <v>43208</v>
      </c>
      <c r="B29" s="281" t="s">
        <v>373</v>
      </c>
      <c r="C29" s="281" t="s">
        <v>1</v>
      </c>
      <c r="D29" s="281" t="s">
        <v>365</v>
      </c>
      <c r="E29" s="281" t="s">
        <v>367</v>
      </c>
      <c r="F29" s="283" t="s">
        <v>365</v>
      </c>
      <c r="G29" s="284"/>
      <c r="H29" s="285">
        <v>0</v>
      </c>
      <c r="J29" s="278"/>
      <c r="K29" s="281"/>
      <c r="L29" s="281"/>
      <c r="M29" s="281"/>
      <c r="N29" s="281"/>
      <c r="O29" s="283"/>
      <c r="P29" s="284"/>
      <c r="Q29" s="285"/>
    </row>
    <row r="30" spans="1:17" x14ac:dyDescent="0.25">
      <c r="A30" s="278">
        <v>43208</v>
      </c>
      <c r="B30" s="281" t="s">
        <v>373</v>
      </c>
      <c r="C30" s="281" t="s">
        <v>1</v>
      </c>
      <c r="D30" s="281" t="s">
        <v>369</v>
      </c>
      <c r="E30" s="281" t="s">
        <v>370</v>
      </c>
      <c r="F30" s="283" t="s">
        <v>371</v>
      </c>
      <c r="G30" s="284"/>
      <c r="H30" s="285">
        <v>0</v>
      </c>
      <c r="J30" s="278"/>
      <c r="K30" s="281"/>
      <c r="L30" s="281"/>
      <c r="M30" s="281"/>
      <c r="N30" s="281"/>
      <c r="O30" s="283"/>
      <c r="P30" s="284"/>
      <c r="Q30" s="285"/>
    </row>
    <row r="31" spans="1:17" x14ac:dyDescent="0.25">
      <c r="A31" s="608">
        <v>43222</v>
      </c>
      <c r="B31" s="609"/>
      <c r="C31" s="609"/>
      <c r="D31" s="609"/>
      <c r="E31" s="609"/>
      <c r="F31" s="609"/>
      <c r="G31" s="609"/>
      <c r="H31" s="611"/>
      <c r="J31" s="278"/>
      <c r="K31" s="281"/>
      <c r="L31" s="281"/>
      <c r="M31" s="281"/>
      <c r="N31" s="281"/>
      <c r="O31" s="283"/>
      <c r="P31" s="284"/>
      <c r="Q31" s="285"/>
    </row>
    <row r="32" spans="1:17" x14ac:dyDescent="0.25">
      <c r="A32" s="278">
        <v>43222</v>
      </c>
      <c r="B32" s="281" t="s">
        <v>373</v>
      </c>
      <c r="C32" s="281" t="s">
        <v>1</v>
      </c>
      <c r="D32" s="281" t="s">
        <v>365</v>
      </c>
      <c r="E32" s="281" t="s">
        <v>367</v>
      </c>
      <c r="F32" s="283" t="s">
        <v>365</v>
      </c>
      <c r="G32" s="284"/>
      <c r="H32" s="285">
        <v>0</v>
      </c>
      <c r="J32" s="278"/>
      <c r="K32" s="281"/>
      <c r="L32" s="281"/>
      <c r="M32" s="281"/>
      <c r="N32" s="281"/>
      <c r="O32" s="283"/>
      <c r="P32" s="284"/>
      <c r="Q32" s="285"/>
    </row>
    <row r="33" spans="1:17" x14ac:dyDescent="0.25">
      <c r="A33" s="278">
        <v>43222</v>
      </c>
      <c r="B33" s="281" t="s">
        <v>373</v>
      </c>
      <c r="C33" s="281" t="s">
        <v>1</v>
      </c>
      <c r="D33" s="281" t="s">
        <v>369</v>
      </c>
      <c r="E33" s="281" t="s">
        <v>370</v>
      </c>
      <c r="F33" s="283" t="s">
        <v>371</v>
      </c>
      <c r="G33" s="284"/>
      <c r="H33" s="285">
        <v>0</v>
      </c>
    </row>
    <row r="34" spans="1:17" ht="23.25" x14ac:dyDescent="0.25">
      <c r="A34" s="278">
        <v>43222</v>
      </c>
      <c r="B34" s="281" t="s">
        <v>373</v>
      </c>
      <c r="C34" s="281" t="s">
        <v>1</v>
      </c>
      <c r="D34" s="281" t="s">
        <v>362</v>
      </c>
      <c r="E34" s="281" t="s">
        <v>378</v>
      </c>
      <c r="F34" s="283" t="s">
        <v>387</v>
      </c>
      <c r="G34" s="284">
        <v>40</v>
      </c>
      <c r="H34" s="285">
        <v>1811.16</v>
      </c>
      <c r="J34" s="278"/>
      <c r="K34" s="281"/>
      <c r="L34" s="281"/>
      <c r="M34" s="281"/>
      <c r="N34" s="281"/>
      <c r="O34" s="283"/>
      <c r="P34" s="284"/>
      <c r="Q34" s="285"/>
    </row>
    <row r="35" spans="1:17" x14ac:dyDescent="0.25">
      <c r="A35" s="278">
        <v>43222</v>
      </c>
      <c r="B35" s="281" t="s">
        <v>373</v>
      </c>
      <c r="C35" s="281" t="s">
        <v>1</v>
      </c>
      <c r="D35" s="281" t="s">
        <v>365</v>
      </c>
      <c r="E35" s="281" t="s">
        <v>380</v>
      </c>
      <c r="F35" s="283" t="s">
        <v>365</v>
      </c>
      <c r="G35" s="284"/>
      <c r="H35" s="285">
        <v>124.05</v>
      </c>
      <c r="J35" s="278"/>
      <c r="K35" s="281"/>
      <c r="L35" s="281"/>
      <c r="M35" s="281"/>
      <c r="N35" s="281"/>
      <c r="O35" s="283"/>
      <c r="P35" s="284"/>
      <c r="Q35" s="285"/>
    </row>
    <row r="36" spans="1:17" x14ac:dyDescent="0.25">
      <c r="A36" s="278">
        <v>43222</v>
      </c>
      <c r="B36" s="281" t="s">
        <v>373</v>
      </c>
      <c r="C36" s="281" t="s">
        <v>1</v>
      </c>
      <c r="D36" s="281" t="s">
        <v>365</v>
      </c>
      <c r="E36" s="281" t="s">
        <v>381</v>
      </c>
      <c r="F36" s="283" t="s">
        <v>365</v>
      </c>
      <c r="G36" s="284"/>
      <c r="H36" s="285">
        <v>11.79</v>
      </c>
      <c r="J36" s="278"/>
      <c r="K36" s="281"/>
      <c r="L36" s="281"/>
      <c r="M36" s="281"/>
      <c r="N36" s="281"/>
      <c r="O36" s="283"/>
      <c r="P36" s="284"/>
      <c r="Q36" s="285"/>
    </row>
    <row r="37" spans="1:17" x14ac:dyDescent="0.25">
      <c r="A37" s="278">
        <v>43222</v>
      </c>
      <c r="B37" s="281" t="s">
        <v>373</v>
      </c>
      <c r="C37" s="281" t="s">
        <v>1</v>
      </c>
      <c r="D37" s="281" t="s">
        <v>365</v>
      </c>
      <c r="E37" s="281" t="s">
        <v>382</v>
      </c>
      <c r="F37" s="283" t="s">
        <v>365</v>
      </c>
      <c r="G37" s="284"/>
      <c r="H37" s="285">
        <v>22.64</v>
      </c>
      <c r="J37" s="278"/>
      <c r="K37" s="281"/>
      <c r="L37" s="281"/>
      <c r="M37" s="281"/>
      <c r="N37" s="281"/>
      <c r="O37" s="283"/>
      <c r="P37" s="284"/>
      <c r="Q37" s="285"/>
    </row>
    <row r="38" spans="1:17" x14ac:dyDescent="0.25">
      <c r="A38" s="278">
        <v>43222</v>
      </c>
      <c r="B38" s="281" t="s">
        <v>373</v>
      </c>
      <c r="C38" s="281" t="s">
        <v>1</v>
      </c>
      <c r="D38" s="281" t="s">
        <v>369</v>
      </c>
      <c r="E38" s="281" t="s">
        <v>383</v>
      </c>
      <c r="F38" s="283" t="s">
        <v>371</v>
      </c>
      <c r="G38" s="284"/>
      <c r="H38" s="285">
        <v>172.06</v>
      </c>
      <c r="J38" s="278"/>
      <c r="K38" s="281"/>
      <c r="L38" s="281"/>
      <c r="M38" s="281"/>
      <c r="N38" s="281"/>
      <c r="O38" s="283"/>
      <c r="P38" s="284"/>
      <c r="Q38" s="285"/>
    </row>
    <row r="39" spans="1:17" x14ac:dyDescent="0.25">
      <c r="A39" s="608">
        <v>43236</v>
      </c>
      <c r="B39" s="609"/>
      <c r="C39" s="609"/>
      <c r="D39" s="609"/>
      <c r="E39" s="609"/>
      <c r="F39" s="609"/>
      <c r="G39" s="609"/>
      <c r="H39" s="611"/>
      <c r="J39" s="278"/>
      <c r="K39" s="281"/>
      <c r="L39" s="281"/>
      <c r="M39" s="281"/>
      <c r="N39" s="281"/>
      <c r="O39" s="283"/>
      <c r="P39" s="284"/>
      <c r="Q39" s="285"/>
    </row>
    <row r="40" spans="1:17" x14ac:dyDescent="0.25">
      <c r="A40" s="278">
        <v>43236</v>
      </c>
      <c r="B40" s="281" t="s">
        <v>373</v>
      </c>
      <c r="C40" s="281" t="s">
        <v>1</v>
      </c>
      <c r="D40" s="281" t="s">
        <v>365</v>
      </c>
      <c r="E40" s="281" t="s">
        <v>367</v>
      </c>
      <c r="F40" s="283" t="s">
        <v>365</v>
      </c>
      <c r="G40" s="284"/>
      <c r="H40" s="285">
        <v>0</v>
      </c>
      <c r="J40" s="278"/>
      <c r="K40" s="281"/>
      <c r="L40" s="281"/>
      <c r="M40" s="281"/>
      <c r="N40" s="281"/>
      <c r="O40" s="283"/>
      <c r="P40" s="284"/>
      <c r="Q40" s="285"/>
    </row>
    <row r="41" spans="1:17" x14ac:dyDescent="0.25">
      <c r="A41" s="278">
        <v>43236</v>
      </c>
      <c r="B41" s="281" t="s">
        <v>373</v>
      </c>
      <c r="C41" s="281" t="s">
        <v>1</v>
      </c>
      <c r="D41" s="281" t="s">
        <v>369</v>
      </c>
      <c r="E41" s="281" t="s">
        <v>370</v>
      </c>
      <c r="F41" s="283" t="s">
        <v>371</v>
      </c>
      <c r="G41" s="284"/>
      <c r="H41" s="285">
        <v>0</v>
      </c>
      <c r="J41" s="278"/>
      <c r="K41" s="281"/>
      <c r="L41" s="281"/>
      <c r="M41" s="281"/>
      <c r="N41" s="281"/>
      <c r="O41" s="283"/>
      <c r="P41" s="284"/>
      <c r="Q41" s="285"/>
    </row>
    <row r="42" spans="1:17" ht="23.25" x14ac:dyDescent="0.25">
      <c r="A42" s="278">
        <v>43236</v>
      </c>
      <c r="B42" s="281" t="s">
        <v>373</v>
      </c>
      <c r="C42" s="281" t="s">
        <v>1</v>
      </c>
      <c r="D42" s="281" t="s">
        <v>362</v>
      </c>
      <c r="E42" s="281" t="s">
        <v>378</v>
      </c>
      <c r="F42" s="283" t="s">
        <v>387</v>
      </c>
      <c r="G42" s="284">
        <v>-19</v>
      </c>
      <c r="H42" s="285">
        <v>-860.3</v>
      </c>
    </row>
    <row r="43" spans="1:17" x14ac:dyDescent="0.25">
      <c r="A43" s="278">
        <v>43236</v>
      </c>
      <c r="B43" s="281" t="s">
        <v>373</v>
      </c>
      <c r="C43" s="281" t="s">
        <v>1</v>
      </c>
      <c r="D43" s="281" t="s">
        <v>365</v>
      </c>
      <c r="E43" s="281" t="s">
        <v>380</v>
      </c>
      <c r="F43" s="283" t="s">
        <v>365</v>
      </c>
      <c r="G43" s="284"/>
      <c r="H43" s="285">
        <v>-58.94</v>
      </c>
      <c r="J43" s="278"/>
      <c r="K43" s="281"/>
      <c r="L43" s="281"/>
      <c r="M43" s="281"/>
      <c r="N43" s="281"/>
      <c r="O43" s="283"/>
      <c r="P43" s="284"/>
      <c r="Q43" s="285"/>
    </row>
    <row r="44" spans="1:17" x14ac:dyDescent="0.25">
      <c r="A44" s="278">
        <v>43236</v>
      </c>
      <c r="B44" s="281" t="s">
        <v>373</v>
      </c>
      <c r="C44" s="281" t="s">
        <v>1</v>
      </c>
      <c r="D44" s="281" t="s">
        <v>365</v>
      </c>
      <c r="E44" s="281" t="s">
        <v>381</v>
      </c>
      <c r="F44" s="283" t="s">
        <v>365</v>
      </c>
      <c r="G44" s="284"/>
      <c r="H44" s="285">
        <v>-5.6</v>
      </c>
      <c r="J44" s="278"/>
      <c r="K44" s="281"/>
      <c r="L44" s="281"/>
      <c r="M44" s="281"/>
      <c r="N44" s="281"/>
      <c r="O44" s="283"/>
      <c r="P44" s="284"/>
      <c r="Q44" s="285"/>
    </row>
    <row r="45" spans="1:17" x14ac:dyDescent="0.25">
      <c r="A45" s="278">
        <v>43236</v>
      </c>
      <c r="B45" s="281" t="s">
        <v>373</v>
      </c>
      <c r="C45" s="281" t="s">
        <v>1</v>
      </c>
      <c r="D45" s="281" t="s">
        <v>365</v>
      </c>
      <c r="E45" s="281" t="s">
        <v>382</v>
      </c>
      <c r="F45" s="283" t="s">
        <v>365</v>
      </c>
      <c r="G45" s="284"/>
      <c r="H45" s="285">
        <v>-10.76</v>
      </c>
      <c r="J45" s="278"/>
      <c r="K45" s="281"/>
      <c r="L45" s="281"/>
      <c r="M45" s="281"/>
      <c r="N45" s="281"/>
      <c r="O45" s="283"/>
      <c r="P45" s="284"/>
      <c r="Q45" s="285"/>
    </row>
    <row r="46" spans="1:17" x14ac:dyDescent="0.25">
      <c r="A46" s="278">
        <v>43236</v>
      </c>
      <c r="B46" s="281" t="s">
        <v>373</v>
      </c>
      <c r="C46" s="281" t="s">
        <v>1</v>
      </c>
      <c r="D46" s="281" t="s">
        <v>369</v>
      </c>
      <c r="E46" s="281" t="s">
        <v>383</v>
      </c>
      <c r="F46" s="283" t="s">
        <v>371</v>
      </c>
      <c r="G46" s="284"/>
      <c r="H46" s="285">
        <v>-81.73</v>
      </c>
      <c r="J46" s="278"/>
      <c r="K46" s="281"/>
      <c r="L46" s="281"/>
      <c r="M46" s="281"/>
      <c r="N46" s="281"/>
      <c r="O46" s="283"/>
      <c r="P46" s="284"/>
      <c r="Q46" s="285"/>
    </row>
    <row r="47" spans="1:17" x14ac:dyDescent="0.25">
      <c r="A47" s="608">
        <v>43250</v>
      </c>
      <c r="B47" s="609"/>
      <c r="C47" s="609"/>
      <c r="D47" s="609"/>
      <c r="E47" s="609"/>
      <c r="F47" s="609"/>
      <c r="G47" s="609"/>
      <c r="H47" s="611"/>
      <c r="J47" s="278"/>
      <c r="K47" s="281"/>
      <c r="L47" s="281"/>
      <c r="M47" s="281"/>
      <c r="N47" s="281"/>
      <c r="O47" s="283"/>
      <c r="P47" s="284"/>
      <c r="Q47" s="285"/>
    </row>
    <row r="48" spans="1:17" x14ac:dyDescent="0.25">
      <c r="A48" s="278">
        <v>43250</v>
      </c>
      <c r="B48" s="281" t="s">
        <v>373</v>
      </c>
      <c r="C48" s="281" t="s">
        <v>1</v>
      </c>
      <c r="D48" s="281" t="s">
        <v>365</v>
      </c>
      <c r="E48" s="281" t="s">
        <v>367</v>
      </c>
      <c r="F48" s="283" t="s">
        <v>365</v>
      </c>
      <c r="G48" s="284"/>
      <c r="H48" s="285">
        <v>-1.00000000000005E-2</v>
      </c>
      <c r="J48" s="278"/>
      <c r="K48" s="281"/>
      <c r="L48" s="281"/>
      <c r="M48" s="281"/>
      <c r="N48" s="281"/>
      <c r="O48" s="283"/>
      <c r="P48" s="284"/>
      <c r="Q48" s="285"/>
    </row>
    <row r="49" spans="1:17" x14ac:dyDescent="0.25">
      <c r="A49" s="278">
        <v>43250</v>
      </c>
      <c r="B49" s="281" t="s">
        <v>373</v>
      </c>
      <c r="C49" s="281" t="s">
        <v>1</v>
      </c>
      <c r="D49" s="281" t="s">
        <v>369</v>
      </c>
      <c r="E49" s="281" t="s">
        <v>370</v>
      </c>
      <c r="F49" s="283" t="s">
        <v>371</v>
      </c>
      <c r="G49" s="284"/>
      <c r="H49" s="285">
        <v>-5.3290705182007498E-15</v>
      </c>
    </row>
    <row r="50" spans="1:17" ht="23.25" x14ac:dyDescent="0.25">
      <c r="A50" s="278">
        <v>43250</v>
      </c>
      <c r="B50" s="281" t="s">
        <v>373</v>
      </c>
      <c r="C50" s="281" t="s">
        <v>1</v>
      </c>
      <c r="D50" s="281" t="s">
        <v>362</v>
      </c>
      <c r="E50" s="281" t="s">
        <v>378</v>
      </c>
      <c r="F50" s="283" t="s">
        <v>387</v>
      </c>
      <c r="G50" s="284">
        <v>4</v>
      </c>
      <c r="H50" s="285">
        <v>181.12</v>
      </c>
      <c r="J50" s="278"/>
      <c r="K50" s="281"/>
      <c r="L50" s="281"/>
      <c r="M50" s="281"/>
      <c r="N50" s="281"/>
      <c r="O50" s="283"/>
      <c r="P50" s="284"/>
      <c r="Q50" s="285"/>
    </row>
    <row r="51" spans="1:17" x14ac:dyDescent="0.25">
      <c r="A51" s="278">
        <v>43250</v>
      </c>
      <c r="B51" s="281" t="s">
        <v>373</v>
      </c>
      <c r="C51" s="281" t="s">
        <v>1</v>
      </c>
      <c r="D51" s="281" t="s">
        <v>365</v>
      </c>
      <c r="E51" s="281" t="s">
        <v>380</v>
      </c>
      <c r="F51" s="283" t="s">
        <v>365</v>
      </c>
      <c r="G51" s="284"/>
      <c r="H51" s="285">
        <v>12.4</v>
      </c>
      <c r="J51" s="278"/>
      <c r="K51" s="281"/>
      <c r="L51" s="281"/>
      <c r="M51" s="281"/>
      <c r="N51" s="281"/>
      <c r="O51" s="283"/>
      <c r="P51" s="284"/>
      <c r="Q51" s="285"/>
    </row>
    <row r="52" spans="1:17" x14ac:dyDescent="0.25">
      <c r="A52" s="278">
        <v>43250</v>
      </c>
      <c r="B52" s="281" t="s">
        <v>373</v>
      </c>
      <c r="C52" s="281" t="s">
        <v>1</v>
      </c>
      <c r="D52" s="281" t="s">
        <v>365</v>
      </c>
      <c r="E52" s="281" t="s">
        <v>381</v>
      </c>
      <c r="F52" s="283" t="s">
        <v>365</v>
      </c>
      <c r="G52" s="284"/>
      <c r="H52" s="285">
        <v>1.18</v>
      </c>
      <c r="J52" s="278"/>
      <c r="K52" s="281"/>
      <c r="L52" s="281"/>
      <c r="M52" s="281"/>
      <c r="N52" s="281"/>
      <c r="O52" s="283"/>
      <c r="P52" s="284"/>
      <c r="Q52" s="285"/>
    </row>
    <row r="53" spans="1:17" x14ac:dyDescent="0.25">
      <c r="A53" s="278">
        <v>43250</v>
      </c>
      <c r="B53" s="281" t="s">
        <v>373</v>
      </c>
      <c r="C53" s="281" t="s">
        <v>1</v>
      </c>
      <c r="D53" s="281" t="s">
        <v>365</v>
      </c>
      <c r="E53" s="281" t="s">
        <v>382</v>
      </c>
      <c r="F53" s="283" t="s">
        <v>365</v>
      </c>
      <c r="G53" s="284"/>
      <c r="H53" s="285">
        <v>2.2599999999999998</v>
      </c>
      <c r="J53" s="278"/>
      <c r="K53" s="281"/>
      <c r="L53" s="281"/>
      <c r="M53" s="281"/>
      <c r="N53" s="281"/>
      <c r="O53" s="283"/>
      <c r="P53" s="284"/>
      <c r="Q53" s="285"/>
    </row>
    <row r="54" spans="1:17" x14ac:dyDescent="0.25">
      <c r="A54" s="278">
        <v>43250</v>
      </c>
      <c r="B54" s="281" t="s">
        <v>373</v>
      </c>
      <c r="C54" s="281" t="s">
        <v>1</v>
      </c>
      <c r="D54" s="281" t="s">
        <v>369</v>
      </c>
      <c r="E54" s="281" t="s">
        <v>383</v>
      </c>
      <c r="F54" s="283" t="s">
        <v>371</v>
      </c>
      <c r="G54" s="284"/>
      <c r="H54" s="285">
        <v>17.21</v>
      </c>
      <c r="J54" s="278"/>
      <c r="K54" s="281"/>
      <c r="L54" s="281"/>
      <c r="M54" s="281"/>
      <c r="N54" s="281"/>
      <c r="O54" s="283"/>
      <c r="P54" s="284"/>
      <c r="Q54" s="285"/>
    </row>
    <row r="55" spans="1:17" x14ac:dyDescent="0.25">
      <c r="A55" s="608">
        <v>43264</v>
      </c>
      <c r="B55" s="609"/>
      <c r="C55" s="609"/>
      <c r="D55" s="609"/>
      <c r="E55" s="609"/>
      <c r="F55" s="609"/>
      <c r="G55" s="609"/>
      <c r="H55" s="611"/>
      <c r="J55" s="315"/>
      <c r="K55" s="316"/>
      <c r="L55" s="316"/>
      <c r="M55" s="316"/>
      <c r="N55" s="316"/>
      <c r="O55" s="317"/>
      <c r="P55" s="318"/>
      <c r="Q55" s="319"/>
    </row>
    <row r="56" spans="1:17" ht="23.25" x14ac:dyDescent="0.25">
      <c r="A56" s="278">
        <v>43264</v>
      </c>
      <c r="B56" s="281" t="s">
        <v>373</v>
      </c>
      <c r="C56" s="281" t="s">
        <v>1</v>
      </c>
      <c r="D56" s="281" t="s">
        <v>362</v>
      </c>
      <c r="E56" s="281" t="s">
        <v>378</v>
      </c>
      <c r="F56" s="283" t="s">
        <v>387</v>
      </c>
      <c r="G56" s="284">
        <v>4</v>
      </c>
      <c r="H56" s="285">
        <v>181.12</v>
      </c>
    </row>
    <row r="57" spans="1:17" x14ac:dyDescent="0.25">
      <c r="A57" s="278">
        <v>43264</v>
      </c>
      <c r="B57" s="281" t="s">
        <v>373</v>
      </c>
      <c r="C57" s="281" t="s">
        <v>1</v>
      </c>
      <c r="D57" s="281" t="s">
        <v>365</v>
      </c>
      <c r="E57" s="281" t="s">
        <v>380</v>
      </c>
      <c r="F57" s="283" t="s">
        <v>365</v>
      </c>
      <c r="G57" s="284"/>
      <c r="H57" s="285">
        <v>12.4</v>
      </c>
      <c r="J57" s="278"/>
      <c r="K57" s="281"/>
      <c r="L57" s="281"/>
      <c r="M57" s="281"/>
      <c r="N57" s="281"/>
      <c r="O57" s="283"/>
      <c r="P57" s="284"/>
      <c r="Q57" s="285"/>
    </row>
    <row r="58" spans="1:17" x14ac:dyDescent="0.25">
      <c r="A58" s="278">
        <v>43264</v>
      </c>
      <c r="B58" s="281" t="s">
        <v>373</v>
      </c>
      <c r="C58" s="281" t="s">
        <v>1</v>
      </c>
      <c r="D58" s="281" t="s">
        <v>365</v>
      </c>
      <c r="E58" s="281" t="s">
        <v>382</v>
      </c>
      <c r="F58" s="283" t="s">
        <v>365</v>
      </c>
      <c r="G58" s="284"/>
      <c r="H58" s="285">
        <v>2.2599999999999998</v>
      </c>
      <c r="J58" s="278"/>
      <c r="K58" s="281"/>
      <c r="L58" s="281"/>
      <c r="M58" s="281"/>
      <c r="N58" s="281"/>
      <c r="O58" s="283"/>
      <c r="P58" s="284"/>
      <c r="Q58" s="285"/>
    </row>
    <row r="59" spans="1:17" x14ac:dyDescent="0.25">
      <c r="A59" s="608">
        <v>43278</v>
      </c>
      <c r="B59" s="609"/>
      <c r="C59" s="609"/>
      <c r="D59" s="609"/>
      <c r="E59" s="609"/>
      <c r="F59" s="609"/>
      <c r="G59" s="609"/>
      <c r="H59" s="611"/>
      <c r="J59" s="278"/>
      <c r="K59" s="281"/>
      <c r="L59" s="281"/>
      <c r="M59" s="281"/>
      <c r="N59" s="281"/>
      <c r="O59" s="283"/>
      <c r="P59" s="284"/>
      <c r="Q59" s="285"/>
    </row>
    <row r="60" spans="1:17" ht="23.25" x14ac:dyDescent="0.25">
      <c r="A60" s="278">
        <v>43278</v>
      </c>
      <c r="B60" s="281" t="s">
        <v>373</v>
      </c>
      <c r="C60" s="281" t="s">
        <v>1</v>
      </c>
      <c r="D60" s="281" t="s">
        <v>362</v>
      </c>
      <c r="E60" s="281" t="s">
        <v>378</v>
      </c>
      <c r="F60" s="283" t="s">
        <v>387</v>
      </c>
      <c r="G60" s="284">
        <v>4</v>
      </c>
      <c r="H60" s="285">
        <v>181.12</v>
      </c>
      <c r="J60" s="278"/>
      <c r="K60" s="281"/>
      <c r="L60" s="281"/>
      <c r="M60" s="281"/>
      <c r="N60" s="281"/>
      <c r="O60" s="283"/>
      <c r="P60" s="284"/>
      <c r="Q60" s="285"/>
    </row>
    <row r="61" spans="1:17" x14ac:dyDescent="0.25">
      <c r="A61" s="278">
        <v>43278</v>
      </c>
      <c r="B61" s="281" t="s">
        <v>373</v>
      </c>
      <c r="C61" s="281" t="s">
        <v>1</v>
      </c>
      <c r="D61" s="281" t="s">
        <v>365</v>
      </c>
      <c r="E61" s="281" t="s">
        <v>380</v>
      </c>
      <c r="F61" s="283" t="s">
        <v>365</v>
      </c>
      <c r="G61" s="284"/>
      <c r="H61" s="285">
        <v>12.4</v>
      </c>
      <c r="J61" s="278"/>
      <c r="K61" s="281"/>
      <c r="L61" s="281"/>
      <c r="M61" s="281"/>
      <c r="N61" s="281"/>
      <c r="O61" s="283"/>
      <c r="P61" s="284"/>
      <c r="Q61" s="285"/>
    </row>
    <row r="62" spans="1:17" x14ac:dyDescent="0.25">
      <c r="A62" s="278">
        <v>43278</v>
      </c>
      <c r="B62" s="281" t="s">
        <v>373</v>
      </c>
      <c r="C62" s="281" t="s">
        <v>1</v>
      </c>
      <c r="D62" s="281" t="s">
        <v>365</v>
      </c>
      <c r="E62" s="281" t="s">
        <v>382</v>
      </c>
      <c r="F62" s="283" t="s">
        <v>365</v>
      </c>
      <c r="G62" s="284"/>
      <c r="H62" s="285">
        <v>2.2599999999999998</v>
      </c>
      <c r="J62" s="278"/>
      <c r="K62" s="281"/>
      <c r="L62" s="281"/>
      <c r="M62" s="281"/>
      <c r="N62" s="281"/>
      <c r="O62" s="283"/>
      <c r="P62" s="284"/>
      <c r="Q62" s="285"/>
    </row>
    <row r="63" spans="1:17" x14ac:dyDescent="0.25">
      <c r="A63" s="608">
        <v>43292</v>
      </c>
      <c r="B63" s="609"/>
      <c r="C63" s="609"/>
      <c r="D63" s="609"/>
      <c r="E63" s="609"/>
      <c r="F63" s="609"/>
      <c r="G63" s="609"/>
      <c r="H63" s="611"/>
      <c r="J63" s="278"/>
      <c r="K63" s="281"/>
      <c r="L63" s="281"/>
      <c r="M63" s="281"/>
      <c r="N63" s="281"/>
      <c r="O63" s="283"/>
      <c r="P63" s="284"/>
      <c r="Q63" s="285"/>
    </row>
    <row r="64" spans="1:17" ht="23.25" x14ac:dyDescent="0.25">
      <c r="A64" s="278">
        <v>43292</v>
      </c>
      <c r="B64" s="281" t="s">
        <v>373</v>
      </c>
      <c r="C64" s="281" t="s">
        <v>1</v>
      </c>
      <c r="D64" s="281" t="s">
        <v>362</v>
      </c>
      <c r="E64" s="281" t="s">
        <v>378</v>
      </c>
      <c r="F64" s="283" t="s">
        <v>387</v>
      </c>
      <c r="G64" s="284">
        <v>7</v>
      </c>
      <c r="H64" s="285">
        <v>316.95</v>
      </c>
      <c r="J64" s="278"/>
      <c r="K64" s="281"/>
      <c r="L64" s="281"/>
      <c r="M64" s="281"/>
      <c r="N64" s="281"/>
      <c r="O64" s="283"/>
      <c r="P64" s="284"/>
      <c r="Q64" s="285"/>
    </row>
    <row r="65" spans="1:9" x14ac:dyDescent="0.25">
      <c r="A65" s="278">
        <v>43292</v>
      </c>
      <c r="B65" s="281" t="s">
        <v>373</v>
      </c>
      <c r="C65" s="281" t="s">
        <v>1</v>
      </c>
      <c r="D65" s="281" t="s">
        <v>365</v>
      </c>
      <c r="E65" s="281" t="s">
        <v>380</v>
      </c>
      <c r="F65" s="283" t="s">
        <v>365</v>
      </c>
      <c r="G65" s="284"/>
      <c r="H65" s="285">
        <v>21.71</v>
      </c>
    </row>
    <row r="66" spans="1:9" x14ac:dyDescent="0.25">
      <c r="A66" s="278">
        <v>43292</v>
      </c>
      <c r="B66" s="281" t="s">
        <v>373</v>
      </c>
      <c r="C66" s="281" t="s">
        <v>1</v>
      </c>
      <c r="D66" s="281" t="s">
        <v>365</v>
      </c>
      <c r="E66" s="281" t="s">
        <v>382</v>
      </c>
      <c r="F66" s="283" t="s">
        <v>365</v>
      </c>
      <c r="G66" s="284"/>
      <c r="H66" s="285">
        <v>3.96</v>
      </c>
    </row>
    <row r="67" spans="1:9" x14ac:dyDescent="0.25">
      <c r="A67" s="300" t="s">
        <v>26</v>
      </c>
      <c r="B67" s="302"/>
      <c r="C67" s="302"/>
      <c r="D67" s="302"/>
      <c r="E67" s="302"/>
      <c r="F67" s="302"/>
      <c r="G67" s="301">
        <f>SUM(G2:G66)</f>
        <v>83</v>
      </c>
      <c r="H67" s="301">
        <f>SUM(H2:H66)</f>
        <v>4950.9800000000005</v>
      </c>
      <c r="I67" s="300">
        <f>SUM(H67/G67)</f>
        <v>59.65036144578314</v>
      </c>
    </row>
  </sheetData>
  <mergeCells count="12">
    <mergeCell ref="A63:H63"/>
    <mergeCell ref="A2:H2"/>
    <mergeCell ref="A6:H6"/>
    <mergeCell ref="A12:H12"/>
    <mergeCell ref="A16:H16"/>
    <mergeCell ref="A22:H22"/>
    <mergeCell ref="A28:H28"/>
    <mergeCell ref="A31:H31"/>
    <mergeCell ref="A39:H39"/>
    <mergeCell ref="A47:H47"/>
    <mergeCell ref="A55:H55"/>
    <mergeCell ref="A59:H5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3212-4563-4570-8E72-780F0145C30F}">
  <dimension ref="A1:Y563"/>
  <sheetViews>
    <sheetView topLeftCell="A328" zoomScale="40" zoomScaleNormal="40" workbookViewId="0">
      <selection activeCell="G405" sqref="G405"/>
    </sheetView>
  </sheetViews>
  <sheetFormatPr defaultColWidth="41.7109375" defaultRowHeight="15" x14ac:dyDescent="0.25"/>
  <cols>
    <col min="1" max="1" width="34.42578125" style="15" customWidth="1"/>
    <col min="2" max="2" width="31.5703125" style="15" customWidth="1"/>
    <col min="3" max="3" width="11" style="15" bestFit="1" customWidth="1"/>
    <col min="4" max="4" width="11.85546875" style="15" bestFit="1" customWidth="1"/>
    <col min="5" max="5" width="15.42578125" style="15" bestFit="1" customWidth="1"/>
    <col min="6" max="6" width="14.7109375" style="15" bestFit="1" customWidth="1"/>
    <col min="7" max="7" width="49.42578125" style="15" bestFit="1" customWidth="1"/>
    <col min="8" max="8" width="37.28515625" style="22" bestFit="1" customWidth="1"/>
    <col min="9" max="9" width="3" style="22" bestFit="1" customWidth="1"/>
    <col min="10" max="10" width="7.140625" style="22" customWidth="1"/>
    <col min="11" max="11" width="7.7109375" style="15" customWidth="1"/>
    <col min="12" max="12" width="27.140625" style="15" bestFit="1" customWidth="1"/>
    <col min="13" max="13" width="39.85546875" style="15" bestFit="1" customWidth="1"/>
    <col min="14" max="14" width="11" style="15" bestFit="1" customWidth="1"/>
    <col min="15" max="15" width="27.140625" style="15" bestFit="1" customWidth="1"/>
    <col min="16" max="16" width="32.140625" style="15" bestFit="1" customWidth="1"/>
    <col min="17" max="17" width="44.28515625" style="15" bestFit="1" customWidth="1"/>
    <col min="18" max="18" width="15.42578125" style="15" bestFit="1" customWidth="1"/>
    <col min="19" max="19" width="15" style="15" bestFit="1" customWidth="1"/>
    <col min="20" max="20" width="19.85546875" style="15" bestFit="1" customWidth="1"/>
    <col min="21" max="21" width="8.42578125" style="15" bestFit="1" customWidth="1"/>
    <col min="22" max="16384" width="41.7109375" style="15"/>
  </cols>
  <sheetData>
    <row r="1" spans="1:7" x14ac:dyDescent="0.25">
      <c r="A1" s="579" t="s">
        <v>315</v>
      </c>
      <c r="B1" s="579"/>
      <c r="C1" s="579"/>
      <c r="D1" s="579"/>
      <c r="E1" s="579"/>
      <c r="F1" s="579"/>
      <c r="G1" s="579"/>
    </row>
    <row r="2" spans="1:7" x14ac:dyDescent="0.25">
      <c r="A2" s="579"/>
      <c r="B2" s="579"/>
      <c r="C2" s="579"/>
      <c r="D2" s="579"/>
      <c r="E2" s="579"/>
      <c r="F2" s="579"/>
      <c r="G2" s="579"/>
    </row>
    <row r="3" spans="1:7" x14ac:dyDescent="0.25">
      <c r="A3" s="579"/>
      <c r="B3" s="579"/>
      <c r="C3" s="579"/>
      <c r="D3" s="579"/>
      <c r="E3" s="579"/>
      <c r="F3" s="579"/>
      <c r="G3" s="579"/>
    </row>
    <row r="5" spans="1:7" x14ac:dyDescent="0.25">
      <c r="B5" s="13" t="s">
        <v>76</v>
      </c>
      <c r="C5" s="13" t="s">
        <v>11</v>
      </c>
      <c r="D5" s="13" t="s">
        <v>12</v>
      </c>
      <c r="E5" s="13" t="s">
        <v>13</v>
      </c>
      <c r="F5" s="13" t="s">
        <v>14</v>
      </c>
      <c r="G5" s="13" t="s">
        <v>0</v>
      </c>
    </row>
    <row r="6" spans="1:7" x14ac:dyDescent="0.25">
      <c r="B6" s="14" t="s">
        <v>2</v>
      </c>
      <c r="C6" s="25"/>
      <c r="D6" s="25"/>
      <c r="E6" s="14"/>
      <c r="F6" s="24"/>
      <c r="G6" s="14"/>
    </row>
    <row r="7" spans="1:7" x14ac:dyDescent="0.25">
      <c r="B7" s="14" t="s">
        <v>3</v>
      </c>
      <c r="C7" s="25"/>
      <c r="D7" s="25"/>
      <c r="E7" s="14"/>
      <c r="F7" s="24"/>
      <c r="G7" s="14"/>
    </row>
    <row r="8" spans="1:7" x14ac:dyDescent="0.25">
      <c r="B8" s="14" t="s">
        <v>4</v>
      </c>
      <c r="C8" s="25"/>
      <c r="D8" s="25"/>
      <c r="E8" s="14"/>
      <c r="F8" s="24"/>
      <c r="G8" s="14"/>
    </row>
    <row r="9" spans="1:7" x14ac:dyDescent="0.25">
      <c r="B9" s="14" t="s">
        <v>5</v>
      </c>
      <c r="C9" s="25">
        <v>0.54166666666666663</v>
      </c>
      <c r="D9" s="25">
        <v>0.625</v>
      </c>
      <c r="E9" s="14">
        <v>2</v>
      </c>
      <c r="F9" s="24"/>
      <c r="G9" s="14"/>
    </row>
    <row r="10" spans="1:7" x14ac:dyDescent="0.25">
      <c r="B10" s="14" t="s">
        <v>6</v>
      </c>
      <c r="C10" s="25">
        <v>0.54166666666666663</v>
      </c>
      <c r="D10" s="25">
        <v>0.625</v>
      </c>
      <c r="E10" s="14">
        <v>2</v>
      </c>
      <c r="F10" s="24"/>
      <c r="G10" s="14"/>
    </row>
    <row r="11" spans="1:7" x14ac:dyDescent="0.25">
      <c r="B11" s="14" t="s">
        <v>7</v>
      </c>
      <c r="C11" s="25"/>
      <c r="D11" s="25"/>
      <c r="E11" s="14"/>
      <c r="F11" s="24"/>
      <c r="G11" s="14"/>
    </row>
    <row r="12" spans="1:7" x14ac:dyDescent="0.25">
      <c r="B12" s="14" t="s">
        <v>8</v>
      </c>
      <c r="C12" s="25"/>
      <c r="D12" s="25"/>
      <c r="E12" s="14"/>
      <c r="F12" s="24"/>
      <c r="G12" s="14"/>
    </row>
    <row r="16" spans="1:7" x14ac:dyDescent="0.25">
      <c r="B16" s="13" t="s">
        <v>15</v>
      </c>
      <c r="C16" s="13" t="s">
        <v>11</v>
      </c>
      <c r="D16" s="13" t="s">
        <v>12</v>
      </c>
      <c r="E16" s="13" t="s">
        <v>13</v>
      </c>
      <c r="F16" s="13" t="s">
        <v>14</v>
      </c>
      <c r="G16" s="13" t="s">
        <v>0</v>
      </c>
    </row>
    <row r="17" spans="1:19" x14ac:dyDescent="0.25">
      <c r="B17" s="14" t="s">
        <v>2</v>
      </c>
      <c r="C17" s="25"/>
      <c r="D17" s="25"/>
      <c r="E17" s="14"/>
      <c r="F17" s="24"/>
      <c r="G17" s="14"/>
    </row>
    <row r="18" spans="1:19" x14ac:dyDescent="0.25">
      <c r="B18" s="14" t="s">
        <v>3</v>
      </c>
      <c r="C18" s="25"/>
      <c r="D18" s="25"/>
      <c r="E18" s="14"/>
      <c r="F18" s="24"/>
      <c r="G18" s="14"/>
    </row>
    <row r="19" spans="1:19" x14ac:dyDescent="0.25">
      <c r="B19" s="14" t="s">
        <v>4</v>
      </c>
      <c r="C19" s="25"/>
      <c r="D19" s="14"/>
      <c r="E19" s="14">
        <v>3</v>
      </c>
      <c r="F19" s="24"/>
      <c r="G19" s="14"/>
    </row>
    <row r="20" spans="1:19" x14ac:dyDescent="0.25">
      <c r="B20" s="14" t="s">
        <v>5</v>
      </c>
      <c r="C20" s="26">
        <v>0.39583333333333331</v>
      </c>
      <c r="D20" s="26">
        <v>0.45833333333333331</v>
      </c>
      <c r="E20" s="15">
        <v>1.5</v>
      </c>
      <c r="F20" s="24"/>
      <c r="G20" s="14"/>
    </row>
    <row r="21" spans="1:19" x14ac:dyDescent="0.25">
      <c r="B21" s="14"/>
      <c r="C21" s="25">
        <v>0.54166666666666663</v>
      </c>
      <c r="D21" s="25">
        <v>0.625</v>
      </c>
      <c r="E21" s="14">
        <v>2</v>
      </c>
      <c r="F21" s="24"/>
      <c r="G21" s="14"/>
    </row>
    <row r="22" spans="1:19" x14ac:dyDescent="0.25">
      <c r="B22" s="14" t="s">
        <v>6</v>
      </c>
      <c r="C22" s="14"/>
      <c r="D22" s="14"/>
      <c r="E22" s="14"/>
      <c r="F22" s="24"/>
      <c r="G22" s="14"/>
    </row>
    <row r="23" spans="1:19" x14ac:dyDescent="0.25">
      <c r="B23" s="14" t="s">
        <v>7</v>
      </c>
      <c r="C23" s="14"/>
      <c r="D23" s="14"/>
      <c r="E23" s="14"/>
      <c r="F23" s="24"/>
      <c r="G23" s="14"/>
    </row>
    <row r="24" spans="1:19" x14ac:dyDescent="0.25">
      <c r="B24" s="14" t="s">
        <v>8</v>
      </c>
      <c r="C24" s="25"/>
      <c r="D24" s="25"/>
      <c r="E24" s="14"/>
      <c r="F24" s="24"/>
      <c r="G24" s="14"/>
    </row>
    <row r="25" spans="1:19" x14ac:dyDescent="0.25">
      <c r="E25" s="15">
        <f>SUM(E9:E10,E19:E21)</f>
        <v>10.5</v>
      </c>
    </row>
    <row r="27" spans="1:19" ht="28.5" x14ac:dyDescent="0.45">
      <c r="A27" s="580" t="s">
        <v>226</v>
      </c>
      <c r="B27" s="580"/>
      <c r="C27" s="580"/>
      <c r="D27" s="580"/>
      <c r="E27" s="580"/>
      <c r="F27" s="580"/>
      <c r="G27" s="580"/>
      <c r="H27" s="580"/>
      <c r="I27" s="580"/>
      <c r="J27" s="580"/>
      <c r="K27" s="580"/>
      <c r="L27" s="580"/>
      <c r="M27" s="580"/>
      <c r="N27" s="580"/>
      <c r="O27" s="580"/>
      <c r="P27" s="580"/>
      <c r="Q27" s="580"/>
      <c r="R27" s="580"/>
      <c r="S27" s="580"/>
    </row>
    <row r="28" spans="1:19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</row>
    <row r="29" spans="1:19" x14ac:dyDescent="0.25">
      <c r="B29" s="581" t="s">
        <v>166</v>
      </c>
      <c r="C29" s="581"/>
      <c r="D29" s="581"/>
      <c r="E29" s="581"/>
      <c r="F29" s="581"/>
      <c r="G29" s="581"/>
      <c r="H29" s="581"/>
      <c r="I29" s="57"/>
      <c r="J29" s="582" t="s">
        <v>167</v>
      </c>
      <c r="K29" s="582"/>
      <c r="L29" s="582"/>
      <c r="M29" s="582"/>
      <c r="N29" s="582"/>
      <c r="O29" s="582"/>
      <c r="P29" s="582"/>
      <c r="Q29" s="582"/>
      <c r="S29" s="57"/>
    </row>
    <row r="30" spans="1:19" x14ac:dyDescent="0.25">
      <c r="B30" s="581"/>
      <c r="C30" s="581"/>
      <c r="D30" s="581"/>
      <c r="E30" s="581"/>
      <c r="F30" s="581"/>
      <c r="G30" s="581"/>
      <c r="H30" s="581"/>
      <c r="I30" s="57"/>
      <c r="J30" s="582"/>
      <c r="K30" s="582"/>
      <c r="L30" s="582"/>
      <c r="M30" s="582"/>
      <c r="N30" s="582"/>
      <c r="O30" s="582"/>
      <c r="P30" s="582"/>
      <c r="Q30" s="582"/>
      <c r="S30" s="57"/>
    </row>
    <row r="31" spans="1:19" x14ac:dyDescent="0.25">
      <c r="B31" s="581"/>
      <c r="C31" s="581"/>
      <c r="D31" s="581"/>
      <c r="E31" s="581"/>
      <c r="F31" s="581"/>
      <c r="G31" s="581"/>
      <c r="H31" s="581"/>
      <c r="I31" s="57"/>
      <c r="J31" s="582"/>
      <c r="K31" s="582"/>
      <c r="L31" s="582"/>
      <c r="M31" s="582"/>
      <c r="N31" s="582"/>
      <c r="O31" s="582"/>
      <c r="P31" s="582"/>
      <c r="Q31" s="582"/>
      <c r="S31" s="57"/>
    </row>
    <row r="32" spans="1:19" x14ac:dyDescent="0.25">
      <c r="S32" s="57"/>
    </row>
    <row r="33" spans="1:19" x14ac:dyDescent="0.25">
      <c r="I33" s="57"/>
      <c r="L33" s="15" t="s">
        <v>42</v>
      </c>
      <c r="S33" s="57"/>
    </row>
    <row r="34" spans="1:19" x14ac:dyDescent="0.25">
      <c r="B34" s="13" t="s">
        <v>42</v>
      </c>
      <c r="C34" s="13" t="s">
        <v>11</v>
      </c>
      <c r="D34" s="13" t="s">
        <v>12</v>
      </c>
      <c r="E34" s="13" t="s">
        <v>13</v>
      </c>
      <c r="F34" s="32" t="s">
        <v>150</v>
      </c>
      <c r="G34" s="13" t="s">
        <v>0</v>
      </c>
      <c r="H34" s="13" t="s">
        <v>43</v>
      </c>
      <c r="I34" s="57"/>
      <c r="K34" s="27" t="s">
        <v>41</v>
      </c>
      <c r="L34" s="13" t="s">
        <v>42</v>
      </c>
      <c r="M34" s="13" t="s">
        <v>11</v>
      </c>
      <c r="N34" s="13" t="s">
        <v>12</v>
      </c>
      <c r="O34" s="13" t="s">
        <v>13</v>
      </c>
      <c r="P34" s="13" t="s">
        <v>43</v>
      </c>
      <c r="S34" s="57"/>
    </row>
    <row r="35" spans="1:19" x14ac:dyDescent="0.25">
      <c r="A35" s="32">
        <v>12</v>
      </c>
      <c r="B35" s="14" t="s">
        <v>2</v>
      </c>
      <c r="I35" s="57"/>
      <c r="K35" s="15">
        <v>12</v>
      </c>
      <c r="L35" s="14" t="s">
        <v>2</v>
      </c>
      <c r="M35" s="25"/>
      <c r="N35" s="25"/>
      <c r="O35" s="14"/>
      <c r="S35" s="57"/>
    </row>
    <row r="36" spans="1:19" ht="45" x14ac:dyDescent="0.25">
      <c r="A36" s="32">
        <v>13</v>
      </c>
      <c r="B36" s="14" t="s">
        <v>3</v>
      </c>
      <c r="C36" s="26">
        <v>0.375</v>
      </c>
      <c r="D36" s="26">
        <v>0.5</v>
      </c>
      <c r="E36" s="15">
        <v>3</v>
      </c>
      <c r="G36" s="15" t="s">
        <v>16</v>
      </c>
      <c r="I36" s="57"/>
      <c r="K36" s="15">
        <v>13</v>
      </c>
      <c r="L36" s="14" t="s">
        <v>3</v>
      </c>
      <c r="M36" s="28">
        <v>0.375</v>
      </c>
      <c r="N36" s="29">
        <v>0.95833333333333337</v>
      </c>
      <c r="O36" s="30">
        <v>2</v>
      </c>
      <c r="Q36" s="31" t="s">
        <v>16</v>
      </c>
      <c r="S36" s="57"/>
    </row>
    <row r="37" spans="1:19" x14ac:dyDescent="0.25">
      <c r="A37" s="32">
        <v>14</v>
      </c>
      <c r="B37" s="14" t="s">
        <v>4</v>
      </c>
      <c r="I37" s="57"/>
      <c r="K37" s="15">
        <v>14</v>
      </c>
      <c r="L37" s="14" t="s">
        <v>4</v>
      </c>
      <c r="M37" s="26"/>
      <c r="N37" s="26"/>
      <c r="O37" s="14"/>
      <c r="Q37" s="31"/>
      <c r="S37" s="57"/>
    </row>
    <row r="38" spans="1:19" x14ac:dyDescent="0.25">
      <c r="A38" s="32">
        <v>15</v>
      </c>
      <c r="B38" s="14" t="s">
        <v>5</v>
      </c>
      <c r="C38" s="25">
        <v>0.54166666666666663</v>
      </c>
      <c r="D38" s="25">
        <v>0.625</v>
      </c>
      <c r="E38" s="15">
        <v>2</v>
      </c>
      <c r="G38" s="15" t="s">
        <v>17</v>
      </c>
      <c r="I38" s="57"/>
      <c r="K38" s="15">
        <v>15</v>
      </c>
      <c r="L38" s="14" t="s">
        <v>5</v>
      </c>
      <c r="M38" s="29">
        <v>0.54166666666666663</v>
      </c>
      <c r="N38" s="29">
        <v>0.125</v>
      </c>
      <c r="O38" s="30">
        <v>2</v>
      </c>
      <c r="Q38" s="31" t="s">
        <v>17</v>
      </c>
      <c r="S38" s="57"/>
    </row>
    <row r="39" spans="1:19" ht="45" x14ac:dyDescent="0.25">
      <c r="A39" s="32">
        <v>16</v>
      </c>
      <c r="B39" s="14" t="s">
        <v>6</v>
      </c>
      <c r="C39" s="26">
        <v>0.375</v>
      </c>
      <c r="D39" s="26">
        <v>0.5</v>
      </c>
      <c r="E39" s="15">
        <v>3</v>
      </c>
      <c r="G39" s="15" t="s">
        <v>18</v>
      </c>
      <c r="I39" s="57"/>
      <c r="K39" s="15">
        <v>16</v>
      </c>
      <c r="L39" s="14" t="s">
        <v>6</v>
      </c>
      <c r="M39" s="28">
        <v>0.375</v>
      </c>
      <c r="N39" s="29">
        <v>0.95833333333333337</v>
      </c>
      <c r="O39" s="30">
        <v>2</v>
      </c>
      <c r="P39" s="15">
        <v>5</v>
      </c>
      <c r="Q39" s="31" t="s">
        <v>44</v>
      </c>
      <c r="S39" s="57"/>
    </row>
    <row r="40" spans="1:19" x14ac:dyDescent="0.25">
      <c r="A40" s="32">
        <v>17</v>
      </c>
      <c r="B40" s="14" t="s">
        <v>7</v>
      </c>
      <c r="I40" s="57"/>
      <c r="K40" s="15">
        <v>17</v>
      </c>
      <c r="L40" s="14" t="s">
        <v>7</v>
      </c>
      <c r="M40" s="14"/>
      <c r="N40" s="14"/>
      <c r="O40" s="14"/>
      <c r="S40" s="57"/>
    </row>
    <row r="41" spans="1:19" x14ac:dyDescent="0.25">
      <c r="A41" s="32">
        <v>18</v>
      </c>
      <c r="B41" s="14" t="s">
        <v>8</v>
      </c>
      <c r="I41" s="57"/>
      <c r="K41" s="15">
        <v>18</v>
      </c>
      <c r="L41" s="14" t="s">
        <v>8</v>
      </c>
      <c r="M41" s="25"/>
      <c r="N41" s="25"/>
      <c r="O41" s="14"/>
      <c r="S41" s="57"/>
    </row>
    <row r="42" spans="1:19" ht="30" x14ac:dyDescent="0.25">
      <c r="B42" s="13" t="s">
        <v>26</v>
      </c>
      <c r="C42" s="32"/>
      <c r="D42" s="32"/>
      <c r="E42" s="32">
        <f>SUM(E35:E41)</f>
        <v>8</v>
      </c>
      <c r="F42" s="115" t="s">
        <v>393</v>
      </c>
      <c r="G42" s="145" t="s">
        <v>397</v>
      </c>
      <c r="I42" s="57"/>
      <c r="L42" s="14"/>
      <c r="M42" s="25"/>
      <c r="N42" s="25"/>
      <c r="O42" s="14"/>
      <c r="S42" s="57"/>
    </row>
    <row r="43" spans="1:19" x14ac:dyDescent="0.25">
      <c r="A43" s="144" t="s">
        <v>230</v>
      </c>
      <c r="B43" s="35" t="s">
        <v>227</v>
      </c>
      <c r="C43" s="17"/>
      <c r="D43" s="17"/>
      <c r="E43" s="17">
        <f>SUM(E35:E39)</f>
        <v>8</v>
      </c>
      <c r="F43" s="115">
        <f>SUM(1*Angelica_hist!G3)</f>
        <v>5</v>
      </c>
      <c r="G43" s="308">
        <f>SUM(E43-F43)</f>
        <v>3</v>
      </c>
      <c r="H43" s="43"/>
      <c r="I43" s="57"/>
      <c r="L43" s="13"/>
      <c r="M43" s="32"/>
      <c r="N43" s="32"/>
      <c r="O43" s="32"/>
      <c r="S43" s="57"/>
    </row>
    <row r="44" spans="1:19" x14ac:dyDescent="0.25">
      <c r="A44" s="32"/>
      <c r="I44" s="57"/>
      <c r="S44" s="57"/>
    </row>
    <row r="45" spans="1:19" x14ac:dyDescent="0.25">
      <c r="A45" s="32"/>
      <c r="I45" s="57"/>
      <c r="S45" s="57"/>
    </row>
    <row r="46" spans="1:19" x14ac:dyDescent="0.25">
      <c r="A46" s="32"/>
      <c r="B46" s="13" t="s">
        <v>46</v>
      </c>
      <c r="C46" s="13" t="s">
        <v>11</v>
      </c>
      <c r="D46" s="13" t="s">
        <v>12</v>
      </c>
      <c r="E46" s="13" t="s">
        <v>13</v>
      </c>
      <c r="F46" s="32" t="s">
        <v>150</v>
      </c>
      <c r="G46" s="13" t="s">
        <v>0</v>
      </c>
      <c r="H46" s="13" t="s">
        <v>43</v>
      </c>
      <c r="I46" s="57"/>
      <c r="K46" s="27" t="s">
        <v>45</v>
      </c>
      <c r="L46" s="13" t="s">
        <v>46</v>
      </c>
      <c r="M46" s="13" t="s">
        <v>11</v>
      </c>
      <c r="N46" s="13" t="s">
        <v>12</v>
      </c>
      <c r="O46" s="13" t="s">
        <v>13</v>
      </c>
      <c r="S46" s="57"/>
    </row>
    <row r="47" spans="1:19" x14ac:dyDescent="0.25">
      <c r="A47" s="32">
        <v>19</v>
      </c>
      <c r="B47" s="14" t="s">
        <v>2</v>
      </c>
      <c r="I47" s="57"/>
      <c r="K47" s="15">
        <v>19</v>
      </c>
      <c r="L47" s="14" t="s">
        <v>2</v>
      </c>
      <c r="M47" s="25"/>
      <c r="N47" s="25"/>
      <c r="O47" s="14"/>
      <c r="S47" s="57"/>
    </row>
    <row r="48" spans="1:19" x14ac:dyDescent="0.25">
      <c r="A48" s="32">
        <v>20</v>
      </c>
      <c r="B48" s="14" t="s">
        <v>3</v>
      </c>
      <c r="I48" s="57"/>
      <c r="K48" s="15">
        <v>20</v>
      </c>
      <c r="L48" s="14" t="s">
        <v>3</v>
      </c>
      <c r="M48" s="33"/>
      <c r="N48" s="25"/>
      <c r="O48" s="14"/>
      <c r="S48" s="57"/>
    </row>
    <row r="49" spans="1:19" x14ac:dyDescent="0.25">
      <c r="A49" s="32">
        <v>21</v>
      </c>
      <c r="B49" s="14" t="s">
        <v>4</v>
      </c>
      <c r="I49" s="57"/>
      <c r="K49" s="15">
        <v>21</v>
      </c>
      <c r="L49" s="14" t="s">
        <v>4</v>
      </c>
      <c r="M49" s="26"/>
      <c r="N49" s="26"/>
      <c r="O49" s="14"/>
      <c r="S49" s="57"/>
    </row>
    <row r="50" spans="1:19" x14ac:dyDescent="0.25">
      <c r="A50" s="32">
        <v>22</v>
      </c>
      <c r="B50" s="14" t="s">
        <v>5</v>
      </c>
      <c r="C50" s="25">
        <v>0.54166666666666663</v>
      </c>
      <c r="D50" s="25">
        <v>0.625</v>
      </c>
      <c r="E50" s="15">
        <v>2</v>
      </c>
      <c r="G50" s="15" t="s">
        <v>17</v>
      </c>
      <c r="I50" s="57"/>
      <c r="K50" s="15">
        <v>22</v>
      </c>
      <c r="L50" s="14" t="s">
        <v>5</v>
      </c>
      <c r="M50" s="25">
        <v>0.54166666666666663</v>
      </c>
      <c r="N50" s="25">
        <v>0.125</v>
      </c>
      <c r="O50" s="14">
        <v>2</v>
      </c>
      <c r="Q50" s="15" t="s">
        <v>17</v>
      </c>
      <c r="S50" s="57"/>
    </row>
    <row r="51" spans="1:19" ht="45" x14ac:dyDescent="0.25">
      <c r="A51" s="32">
        <v>23</v>
      </c>
      <c r="B51" s="14" t="s">
        <v>6</v>
      </c>
      <c r="C51" s="26">
        <v>0.375</v>
      </c>
      <c r="D51" s="26">
        <v>0.45833333333333331</v>
      </c>
      <c r="E51" s="15">
        <v>2</v>
      </c>
      <c r="G51" s="15" t="s">
        <v>19</v>
      </c>
      <c r="I51" s="58"/>
      <c r="K51" s="15">
        <v>23</v>
      </c>
      <c r="L51" s="14" t="s">
        <v>6</v>
      </c>
      <c r="M51" s="34">
        <v>0.375</v>
      </c>
      <c r="N51" s="34">
        <v>0.45833333333333331</v>
      </c>
      <c r="O51" s="30">
        <v>2</v>
      </c>
      <c r="P51" s="15">
        <v>5</v>
      </c>
      <c r="Q51" s="31" t="s">
        <v>18</v>
      </c>
      <c r="S51" s="57"/>
    </row>
    <row r="52" spans="1:19" x14ac:dyDescent="0.25">
      <c r="A52" s="32">
        <v>24</v>
      </c>
      <c r="B52" s="14" t="s">
        <v>7</v>
      </c>
      <c r="I52" s="57"/>
      <c r="K52" s="15">
        <v>24</v>
      </c>
      <c r="L52" s="14" t="s">
        <v>7</v>
      </c>
      <c r="M52" s="14"/>
      <c r="N52" s="14"/>
      <c r="O52" s="14"/>
      <c r="S52" s="57"/>
    </row>
    <row r="53" spans="1:19" x14ac:dyDescent="0.25">
      <c r="A53" s="32">
        <v>25</v>
      </c>
      <c r="B53" s="14" t="s">
        <v>8</v>
      </c>
      <c r="I53" s="59" t="s">
        <v>23</v>
      </c>
      <c r="K53" s="15">
        <v>25</v>
      </c>
      <c r="L53" s="14" t="s">
        <v>8</v>
      </c>
      <c r="M53" s="25"/>
      <c r="N53" s="25"/>
      <c r="O53" s="14"/>
      <c r="S53" s="57"/>
    </row>
    <row r="54" spans="1:19" x14ac:dyDescent="0.25">
      <c r="A54" s="32"/>
      <c r="B54" s="13" t="s">
        <v>26</v>
      </c>
      <c r="C54" s="32"/>
      <c r="D54" s="32"/>
      <c r="E54" s="32">
        <f>SUM(E46:E53)</f>
        <v>4</v>
      </c>
      <c r="I54" s="59"/>
      <c r="K54" s="16"/>
      <c r="L54" s="35"/>
      <c r="M54" s="17"/>
      <c r="N54" s="17"/>
      <c r="O54" s="36">
        <f>SUM(O47:O53,O35:O41)</f>
        <v>10</v>
      </c>
      <c r="P54" s="37">
        <f>SUM(P35:P53)</f>
        <v>10</v>
      </c>
      <c r="Q54" s="37"/>
      <c r="S54" s="57"/>
    </row>
    <row r="55" spans="1:19" x14ac:dyDescent="0.25">
      <c r="A55" s="32"/>
      <c r="B55" s="14"/>
      <c r="I55" s="59"/>
      <c r="L55" s="14"/>
      <c r="M55" s="25"/>
      <c r="N55" s="25"/>
      <c r="O55" s="14"/>
      <c r="S55" s="57"/>
    </row>
    <row r="56" spans="1:19" x14ac:dyDescent="0.25">
      <c r="A56" s="32"/>
      <c r="B56" s="13" t="s">
        <v>10</v>
      </c>
      <c r="C56" s="13" t="s">
        <v>11</v>
      </c>
      <c r="D56" s="13" t="s">
        <v>12</v>
      </c>
      <c r="E56" s="13" t="s">
        <v>13</v>
      </c>
      <c r="F56" s="13" t="s">
        <v>14</v>
      </c>
      <c r="G56" s="13" t="s">
        <v>0</v>
      </c>
      <c r="I56" s="57"/>
      <c r="K56" s="27" t="s">
        <v>47</v>
      </c>
      <c r="L56" s="13" t="s">
        <v>10</v>
      </c>
      <c r="M56" s="13" t="s">
        <v>11</v>
      </c>
      <c r="N56" s="13" t="s">
        <v>12</v>
      </c>
      <c r="O56" s="13" t="s">
        <v>13</v>
      </c>
      <c r="P56" s="13" t="s">
        <v>48</v>
      </c>
      <c r="Q56" s="13" t="s">
        <v>0</v>
      </c>
      <c r="S56" s="57"/>
    </row>
    <row r="57" spans="1:19" x14ac:dyDescent="0.25">
      <c r="A57" s="32">
        <v>26</v>
      </c>
      <c r="B57" s="14" t="s">
        <v>2</v>
      </c>
      <c r="C57" s="26">
        <v>0.375</v>
      </c>
      <c r="D57" s="26">
        <v>0.41666666666666669</v>
      </c>
      <c r="E57" s="15">
        <v>1</v>
      </c>
      <c r="G57" s="15" t="s">
        <v>20</v>
      </c>
      <c r="I57" s="57"/>
      <c r="K57" s="15">
        <v>26</v>
      </c>
      <c r="L57" s="14" t="s">
        <v>2</v>
      </c>
      <c r="M57" s="29">
        <v>0.375</v>
      </c>
      <c r="N57" s="29">
        <v>0.41666666666666669</v>
      </c>
      <c r="O57" s="30">
        <v>1</v>
      </c>
      <c r="P57" s="38"/>
      <c r="Q57" s="30" t="s">
        <v>49</v>
      </c>
      <c r="S57" s="57"/>
    </row>
    <row r="58" spans="1:19" x14ac:dyDescent="0.25">
      <c r="A58" s="32">
        <v>27</v>
      </c>
      <c r="B58" s="14" t="s">
        <v>3</v>
      </c>
      <c r="I58" s="57"/>
      <c r="K58" s="15">
        <v>27</v>
      </c>
      <c r="L58" s="14" t="s">
        <v>3</v>
      </c>
      <c r="M58" s="33"/>
      <c r="N58" s="25"/>
      <c r="O58" s="14"/>
      <c r="P58" s="24"/>
      <c r="Q58" s="14"/>
      <c r="S58" s="57"/>
    </row>
    <row r="59" spans="1:19" x14ac:dyDescent="0.25">
      <c r="A59" s="32">
        <v>28</v>
      </c>
      <c r="B59" s="14" t="s">
        <v>21</v>
      </c>
      <c r="I59" s="57"/>
      <c r="K59" s="15">
        <v>28</v>
      </c>
      <c r="L59" s="14" t="s">
        <v>4</v>
      </c>
      <c r="M59" s="26"/>
      <c r="N59" s="26"/>
      <c r="O59" s="14"/>
      <c r="P59" s="24"/>
      <c r="Q59" s="14"/>
      <c r="S59" s="57"/>
    </row>
    <row r="60" spans="1:19" x14ac:dyDescent="0.25">
      <c r="A60" s="32">
        <v>29</v>
      </c>
      <c r="B60" s="14" t="s">
        <v>5</v>
      </c>
      <c r="C60" s="25">
        <v>0.54166666666666663</v>
      </c>
      <c r="D60" s="25">
        <v>0.625</v>
      </c>
      <c r="E60" s="15">
        <v>2</v>
      </c>
      <c r="G60" s="15" t="s">
        <v>17</v>
      </c>
      <c r="I60" s="57"/>
      <c r="K60" s="15">
        <v>29</v>
      </c>
      <c r="L60" s="14" t="s">
        <v>5</v>
      </c>
      <c r="M60" s="25">
        <v>0.54166666666666663</v>
      </c>
      <c r="N60" s="25">
        <v>0.125</v>
      </c>
      <c r="O60" s="14">
        <v>2</v>
      </c>
      <c r="P60" s="24"/>
      <c r="Q60" s="14" t="s">
        <v>24</v>
      </c>
      <c r="S60" s="57"/>
    </row>
    <row r="61" spans="1:19" x14ac:dyDescent="0.25">
      <c r="A61" s="32">
        <v>30</v>
      </c>
      <c r="B61" s="14" t="s">
        <v>6</v>
      </c>
      <c r="C61" s="26">
        <v>0.375</v>
      </c>
      <c r="D61" s="26">
        <v>0.45833333333333331</v>
      </c>
      <c r="E61" s="15">
        <v>2</v>
      </c>
      <c r="G61" s="15" t="s">
        <v>22</v>
      </c>
      <c r="I61" s="57"/>
      <c r="L61" s="14"/>
      <c r="M61" s="25">
        <v>0.625</v>
      </c>
      <c r="N61" s="25">
        <v>0.70833333333333337</v>
      </c>
      <c r="O61" s="14">
        <v>2</v>
      </c>
      <c r="P61" s="24"/>
      <c r="Q61" s="14" t="s">
        <v>25</v>
      </c>
      <c r="S61" s="57"/>
    </row>
    <row r="62" spans="1:19" x14ac:dyDescent="0.25">
      <c r="A62" s="32">
        <v>31</v>
      </c>
      <c r="B62" s="14" t="s">
        <v>7</v>
      </c>
      <c r="I62" s="57"/>
      <c r="K62" s="15">
        <v>30</v>
      </c>
      <c r="L62" s="14" t="s">
        <v>6</v>
      </c>
      <c r="M62" s="34"/>
      <c r="N62" s="34"/>
      <c r="O62" s="30"/>
      <c r="P62" s="39">
        <v>4</v>
      </c>
      <c r="Q62" s="30"/>
      <c r="S62" s="57"/>
    </row>
    <row r="63" spans="1:19" x14ac:dyDescent="0.25">
      <c r="A63" s="32">
        <v>1</v>
      </c>
      <c r="B63" s="14" t="s">
        <v>8</v>
      </c>
      <c r="I63" s="57"/>
      <c r="K63" s="15">
        <v>31</v>
      </c>
      <c r="L63" s="14" t="s">
        <v>7</v>
      </c>
      <c r="M63" s="14"/>
      <c r="N63" s="14"/>
      <c r="O63" s="14"/>
      <c r="P63" s="24"/>
      <c r="Q63" s="14"/>
      <c r="S63" s="57"/>
    </row>
    <row r="64" spans="1:19" ht="30" x14ac:dyDescent="0.25">
      <c r="B64" s="13" t="s">
        <v>26</v>
      </c>
      <c r="C64" s="32"/>
      <c r="D64" s="32"/>
      <c r="E64" s="32">
        <f>SUM(E57:E63)</f>
        <v>5</v>
      </c>
      <c r="F64" s="115" t="s">
        <v>393</v>
      </c>
      <c r="G64" s="145" t="s">
        <v>397</v>
      </c>
      <c r="I64" s="57"/>
      <c r="J64" s="53"/>
      <c r="K64" s="15">
        <v>1</v>
      </c>
      <c r="L64" s="14" t="s">
        <v>8</v>
      </c>
      <c r="M64" s="25"/>
      <c r="N64" s="25"/>
      <c r="O64" s="14"/>
      <c r="P64" s="24"/>
      <c r="Q64" s="14"/>
      <c r="S64" s="57"/>
    </row>
    <row r="65" spans="1:19" x14ac:dyDescent="0.25">
      <c r="A65" s="144" t="s">
        <v>394</v>
      </c>
      <c r="B65" s="35" t="s">
        <v>227</v>
      </c>
      <c r="C65" s="17"/>
      <c r="D65" s="17"/>
      <c r="E65" s="17">
        <f>SUM(E57:E61)</f>
        <v>5</v>
      </c>
      <c r="F65" s="115">
        <f>SUM(1*Angelica_hist!G9)</f>
        <v>5</v>
      </c>
      <c r="G65" s="308">
        <f>SUM(E65+G43)-F65</f>
        <v>3</v>
      </c>
      <c r="H65" s="43"/>
      <c r="I65" s="57"/>
      <c r="L65" s="13" t="s">
        <v>26</v>
      </c>
      <c r="M65" s="32"/>
      <c r="N65" s="32"/>
      <c r="O65" s="32">
        <f>SUM(O57:O64)</f>
        <v>5</v>
      </c>
      <c r="S65" s="142"/>
    </row>
    <row r="66" spans="1:19" x14ac:dyDescent="0.25">
      <c r="I66" s="57"/>
      <c r="S66" s="57"/>
    </row>
    <row r="67" spans="1:19" x14ac:dyDescent="0.25">
      <c r="A67" s="124"/>
      <c r="B67" s="120" t="s">
        <v>29</v>
      </c>
      <c r="C67" s="120" t="s">
        <v>11</v>
      </c>
      <c r="D67" s="120" t="s">
        <v>12</v>
      </c>
      <c r="E67" s="120" t="s">
        <v>13</v>
      </c>
      <c r="F67" s="120" t="s">
        <v>14</v>
      </c>
      <c r="G67" s="120" t="s">
        <v>0</v>
      </c>
      <c r="H67" s="583" t="s">
        <v>395</v>
      </c>
      <c r="I67" s="57"/>
      <c r="S67" s="57"/>
    </row>
    <row r="68" spans="1:19" x14ac:dyDescent="0.25">
      <c r="A68" s="127">
        <v>2</v>
      </c>
      <c r="B68" s="121" t="s">
        <v>2</v>
      </c>
      <c r="C68" s="122"/>
      <c r="D68" s="122"/>
      <c r="E68" s="121"/>
      <c r="F68" s="123"/>
      <c r="G68" s="121"/>
      <c r="H68" s="583"/>
      <c r="I68" s="57"/>
      <c r="S68" s="57"/>
    </row>
    <row r="69" spans="1:19" x14ac:dyDescent="0.25">
      <c r="A69" s="127">
        <v>3</v>
      </c>
      <c r="B69" s="124" t="s">
        <v>228</v>
      </c>
      <c r="C69" s="124"/>
      <c r="D69" s="124"/>
      <c r="E69" s="124"/>
      <c r="F69" s="124"/>
      <c r="G69" s="124"/>
      <c r="H69" s="583"/>
      <c r="I69" s="57"/>
      <c r="S69" s="57"/>
    </row>
    <row r="70" spans="1:19" x14ac:dyDescent="0.25">
      <c r="A70" s="127">
        <v>4</v>
      </c>
      <c r="B70" s="121" t="s">
        <v>4</v>
      </c>
      <c r="C70" s="125"/>
      <c r="D70" s="125"/>
      <c r="E70" s="121"/>
      <c r="F70" s="123"/>
      <c r="G70" s="121"/>
      <c r="H70" s="583"/>
      <c r="I70" s="57"/>
      <c r="S70" s="57"/>
    </row>
    <row r="71" spans="1:19" x14ac:dyDescent="0.25">
      <c r="A71" s="127">
        <v>5</v>
      </c>
      <c r="B71" s="121" t="s">
        <v>5</v>
      </c>
      <c r="C71" s="122">
        <v>0.54166666666666663</v>
      </c>
      <c r="D71" s="122">
        <v>0.125</v>
      </c>
      <c r="E71" s="121">
        <v>2</v>
      </c>
      <c r="F71" s="123"/>
      <c r="G71" s="121" t="s">
        <v>24</v>
      </c>
      <c r="H71" s="583"/>
      <c r="I71" s="57"/>
      <c r="S71" s="57"/>
    </row>
    <row r="72" spans="1:19" x14ac:dyDescent="0.25">
      <c r="A72" s="127">
        <v>6</v>
      </c>
      <c r="B72" s="121"/>
      <c r="C72" s="122">
        <v>0.625</v>
      </c>
      <c r="D72" s="122">
        <v>0.70833333333333337</v>
      </c>
      <c r="E72" s="121">
        <v>2</v>
      </c>
      <c r="F72" s="123"/>
      <c r="G72" s="121" t="s">
        <v>25</v>
      </c>
      <c r="H72" s="583"/>
      <c r="I72" s="57"/>
      <c r="S72" s="57"/>
    </row>
    <row r="73" spans="1:19" x14ac:dyDescent="0.25">
      <c r="A73" s="127">
        <v>7</v>
      </c>
      <c r="B73" s="121" t="s">
        <v>6</v>
      </c>
      <c r="C73" s="126"/>
      <c r="D73" s="126"/>
      <c r="E73" s="121"/>
      <c r="F73" s="123"/>
      <c r="G73" s="121"/>
      <c r="H73" s="583"/>
      <c r="I73" s="57"/>
      <c r="S73" s="57"/>
    </row>
    <row r="74" spans="1:19" x14ac:dyDescent="0.25">
      <c r="A74" s="127">
        <v>8</v>
      </c>
      <c r="B74" s="121" t="s">
        <v>7</v>
      </c>
      <c r="C74" s="121"/>
      <c r="D74" s="121"/>
      <c r="E74" s="121"/>
      <c r="F74" s="123"/>
      <c r="G74" s="121"/>
      <c r="H74" s="583"/>
      <c r="I74" s="57"/>
      <c r="S74" s="57"/>
    </row>
    <row r="75" spans="1:19" x14ac:dyDescent="0.25">
      <c r="A75" s="127">
        <v>9</v>
      </c>
      <c r="B75" s="121" t="s">
        <v>8</v>
      </c>
      <c r="C75" s="122"/>
      <c r="D75" s="122"/>
      <c r="E75" s="121"/>
      <c r="F75" s="123"/>
      <c r="G75" s="121"/>
      <c r="H75" s="583"/>
      <c r="I75" s="57"/>
      <c r="S75" s="57"/>
    </row>
    <row r="76" spans="1:19" x14ac:dyDescent="0.25">
      <c r="A76" s="124"/>
      <c r="B76" s="120" t="s">
        <v>26</v>
      </c>
      <c r="C76" s="127"/>
      <c r="D76" s="127"/>
      <c r="E76" s="127">
        <f>SUM(E68:E75)</f>
        <v>4</v>
      </c>
      <c r="F76" s="124"/>
      <c r="G76" s="124"/>
      <c r="H76" s="583"/>
      <c r="I76" s="57"/>
      <c r="S76" s="57"/>
    </row>
    <row r="77" spans="1:19" x14ac:dyDescent="0.25">
      <c r="I77" s="57"/>
      <c r="S77" s="57"/>
    </row>
    <row r="78" spans="1:19" x14ac:dyDescent="0.25">
      <c r="I78" s="57"/>
      <c r="S78" s="57"/>
    </row>
    <row r="79" spans="1:19" x14ac:dyDescent="0.25">
      <c r="I79" s="57"/>
      <c r="S79" s="57"/>
    </row>
    <row r="80" spans="1:19" x14ac:dyDescent="0.25">
      <c r="B80" s="13" t="s">
        <v>29</v>
      </c>
      <c r="C80" s="13" t="s">
        <v>11</v>
      </c>
      <c r="D80" s="13" t="s">
        <v>12</v>
      </c>
      <c r="E80" s="13" t="s">
        <v>13</v>
      </c>
      <c r="F80" s="13" t="s">
        <v>14</v>
      </c>
      <c r="G80" s="13" t="s">
        <v>0</v>
      </c>
      <c r="I80" s="57"/>
      <c r="K80" s="27" t="s">
        <v>50</v>
      </c>
      <c r="L80" s="13" t="s">
        <v>29</v>
      </c>
      <c r="M80" s="13" t="s">
        <v>11</v>
      </c>
      <c r="N80" s="13" t="s">
        <v>12</v>
      </c>
      <c r="O80" s="13" t="s">
        <v>13</v>
      </c>
      <c r="P80" s="13" t="s">
        <v>14</v>
      </c>
      <c r="Q80" s="13" t="s">
        <v>0</v>
      </c>
      <c r="S80" s="57"/>
    </row>
    <row r="81" spans="1:19" x14ac:dyDescent="0.25">
      <c r="B81" s="14" t="s">
        <v>2</v>
      </c>
      <c r="C81" s="25"/>
      <c r="D81" s="25"/>
      <c r="E81" s="14"/>
      <c r="F81" s="24"/>
      <c r="G81" s="14" t="s">
        <v>30</v>
      </c>
      <c r="I81" s="57"/>
      <c r="K81" s="15">
        <v>2</v>
      </c>
      <c r="L81" s="14" t="s">
        <v>2</v>
      </c>
      <c r="M81" s="25"/>
      <c r="N81" s="25"/>
      <c r="O81" s="14"/>
      <c r="P81" s="24"/>
      <c r="Q81" s="14" t="s">
        <v>30</v>
      </c>
      <c r="S81" s="57"/>
    </row>
    <row r="82" spans="1:19" x14ac:dyDescent="0.25">
      <c r="B82" s="14" t="s">
        <v>3</v>
      </c>
      <c r="C82" s="33"/>
      <c r="D82" s="25"/>
      <c r="E82" s="14"/>
      <c r="F82" s="24"/>
      <c r="G82" s="14"/>
      <c r="I82" s="57"/>
      <c r="K82" s="15">
        <v>3</v>
      </c>
      <c r="L82" s="14" t="s">
        <v>3</v>
      </c>
      <c r="M82" s="33"/>
      <c r="N82" s="25"/>
      <c r="O82" s="14"/>
      <c r="P82" s="24"/>
      <c r="Q82" s="14"/>
      <c r="S82" s="57"/>
    </row>
    <row r="83" spans="1:19" x14ac:dyDescent="0.25">
      <c r="B83" s="14" t="s">
        <v>4</v>
      </c>
      <c r="C83" s="26"/>
      <c r="D83" s="26"/>
      <c r="E83" s="14"/>
      <c r="F83" s="24"/>
      <c r="G83" s="14"/>
      <c r="I83" s="57"/>
      <c r="K83" s="15">
        <v>4</v>
      </c>
      <c r="L83" s="14" t="s">
        <v>4</v>
      </c>
      <c r="M83" s="26"/>
      <c r="N83" s="26"/>
      <c r="O83" s="14"/>
      <c r="P83" s="24"/>
      <c r="Q83" s="14"/>
      <c r="S83" s="57"/>
    </row>
    <row r="84" spans="1:19" x14ac:dyDescent="0.25">
      <c r="B84" s="14" t="s">
        <v>5</v>
      </c>
      <c r="C84" s="42">
        <v>0.5</v>
      </c>
      <c r="D84" s="42">
        <v>0.54166666666666663</v>
      </c>
      <c r="E84" s="14">
        <v>1</v>
      </c>
      <c r="F84" s="24"/>
      <c r="G84" s="14" t="s">
        <v>31</v>
      </c>
      <c r="I84" s="57"/>
      <c r="K84" s="15">
        <v>5</v>
      </c>
      <c r="L84" s="14" t="s">
        <v>5</v>
      </c>
      <c r="M84" s="42">
        <v>0.5</v>
      </c>
      <c r="N84" s="42">
        <v>0.54166666666666663</v>
      </c>
      <c r="O84" s="14">
        <v>1</v>
      </c>
      <c r="P84" s="24"/>
      <c r="Q84" s="14" t="s">
        <v>31</v>
      </c>
      <c r="S84" s="57"/>
    </row>
    <row r="85" spans="1:19" x14ac:dyDescent="0.25">
      <c r="B85" s="14"/>
      <c r="C85" s="25">
        <v>0.54166666666666663</v>
      </c>
      <c r="D85" s="25">
        <v>0.125</v>
      </c>
      <c r="E85" s="14">
        <v>2</v>
      </c>
      <c r="F85" s="24"/>
      <c r="G85" s="14" t="s">
        <v>24</v>
      </c>
      <c r="I85" s="57"/>
      <c r="L85" s="14"/>
      <c r="M85" s="25">
        <v>0.54166666666666663</v>
      </c>
      <c r="N85" s="25">
        <v>0.125</v>
      </c>
      <c r="O85" s="14">
        <v>2</v>
      </c>
      <c r="P85" s="24"/>
      <c r="Q85" s="14" t="s">
        <v>24</v>
      </c>
      <c r="S85" s="57"/>
    </row>
    <row r="86" spans="1:19" x14ac:dyDescent="0.25">
      <c r="B86" s="14"/>
      <c r="C86" s="25">
        <v>0.75</v>
      </c>
      <c r="D86" s="25">
        <v>0.83333333333333337</v>
      </c>
      <c r="E86" s="14">
        <v>2</v>
      </c>
      <c r="F86" s="24"/>
      <c r="G86" s="14" t="s">
        <v>32</v>
      </c>
      <c r="I86" s="57"/>
      <c r="L86" s="14"/>
      <c r="M86" s="25">
        <v>0.75</v>
      </c>
      <c r="N86" s="25">
        <v>0.83333333333333337</v>
      </c>
      <c r="O86" s="14">
        <v>2</v>
      </c>
      <c r="P86" s="24"/>
      <c r="Q86" s="14" t="s">
        <v>32</v>
      </c>
      <c r="S86" s="57"/>
    </row>
    <row r="87" spans="1:19" x14ac:dyDescent="0.25">
      <c r="B87" s="14" t="s">
        <v>6</v>
      </c>
      <c r="C87" s="42">
        <v>0.70833333333333337</v>
      </c>
      <c r="D87" s="42">
        <v>0.75</v>
      </c>
      <c r="E87" s="14">
        <v>1</v>
      </c>
      <c r="F87" s="24"/>
      <c r="G87" s="14" t="s">
        <v>33</v>
      </c>
      <c r="I87" s="57"/>
      <c r="K87" s="15">
        <v>6</v>
      </c>
      <c r="L87" s="14" t="s">
        <v>6</v>
      </c>
      <c r="M87" s="42">
        <v>0.70833333333333337</v>
      </c>
      <c r="N87" s="42">
        <v>0.75</v>
      </c>
      <c r="O87" s="14">
        <v>1</v>
      </c>
      <c r="P87" s="39">
        <v>2.5</v>
      </c>
      <c r="Q87" s="14" t="s">
        <v>33</v>
      </c>
      <c r="S87" s="57"/>
    </row>
    <row r="88" spans="1:19" ht="30" x14ac:dyDescent="0.25">
      <c r="B88" s="14" t="s">
        <v>7</v>
      </c>
      <c r="C88" s="42">
        <v>0.41666666666666669</v>
      </c>
      <c r="D88" s="42">
        <v>0.47916666666666669</v>
      </c>
      <c r="E88" s="14">
        <v>1.5</v>
      </c>
      <c r="F88" s="24"/>
      <c r="G88" s="14" t="s">
        <v>34</v>
      </c>
      <c r="I88" s="57"/>
      <c r="K88" s="15">
        <v>7</v>
      </c>
      <c r="L88" s="14" t="s">
        <v>7</v>
      </c>
      <c r="M88" s="42">
        <v>0.41666666666666669</v>
      </c>
      <c r="N88" s="42">
        <v>0.47916666666666669</v>
      </c>
      <c r="O88" s="14">
        <v>1.5</v>
      </c>
      <c r="P88" s="24"/>
      <c r="Q88" s="14" t="s">
        <v>34</v>
      </c>
      <c r="S88" s="57"/>
    </row>
    <row r="89" spans="1:19" x14ac:dyDescent="0.25">
      <c r="B89" s="14" t="s">
        <v>8</v>
      </c>
      <c r="C89" s="25"/>
      <c r="D89" s="25"/>
      <c r="E89" s="14"/>
      <c r="F89" s="24"/>
      <c r="G89" s="14"/>
      <c r="I89" s="57"/>
      <c r="K89" s="15">
        <v>8</v>
      </c>
      <c r="L89" s="14" t="s">
        <v>8</v>
      </c>
      <c r="M89" s="25"/>
      <c r="N89" s="25"/>
      <c r="O89" s="14"/>
      <c r="P89" s="24"/>
      <c r="Q89" s="14"/>
      <c r="S89" s="57"/>
    </row>
    <row r="90" spans="1:19" x14ac:dyDescent="0.25">
      <c r="B90" s="13" t="s">
        <v>26</v>
      </c>
      <c r="C90" s="32"/>
      <c r="D90" s="32"/>
      <c r="E90" s="32">
        <f>SUM(E81:E89)</f>
        <v>7.5</v>
      </c>
      <c r="G90" s="15" t="s">
        <v>35</v>
      </c>
      <c r="I90" s="57"/>
      <c r="L90" s="13" t="s">
        <v>26</v>
      </c>
      <c r="M90" s="32"/>
      <c r="N90" s="32"/>
      <c r="O90" s="32">
        <f>SUM(O81:O89)</f>
        <v>7.5</v>
      </c>
      <c r="S90" s="57"/>
    </row>
    <row r="91" spans="1:19" x14ac:dyDescent="0.25">
      <c r="I91" s="57"/>
      <c r="S91" s="57"/>
    </row>
    <row r="92" spans="1:19" x14ac:dyDescent="0.25">
      <c r="I92" s="57"/>
      <c r="S92" s="57"/>
    </row>
    <row r="93" spans="1:19" x14ac:dyDescent="0.25">
      <c r="B93" s="13" t="s">
        <v>36</v>
      </c>
      <c r="C93" s="13" t="s">
        <v>11</v>
      </c>
      <c r="D93" s="13" t="s">
        <v>12</v>
      </c>
      <c r="E93" s="13" t="s">
        <v>13</v>
      </c>
      <c r="F93" s="13" t="s">
        <v>14</v>
      </c>
      <c r="G93" s="13" t="s">
        <v>0</v>
      </c>
      <c r="I93" s="57"/>
      <c r="K93" s="27" t="s">
        <v>51</v>
      </c>
      <c r="L93" s="13" t="s">
        <v>36</v>
      </c>
      <c r="M93" s="13" t="s">
        <v>11</v>
      </c>
      <c r="N93" s="13" t="s">
        <v>12</v>
      </c>
      <c r="O93" s="13" t="s">
        <v>13</v>
      </c>
      <c r="P93" s="13" t="s">
        <v>14</v>
      </c>
      <c r="Q93" s="13" t="s">
        <v>0</v>
      </c>
      <c r="S93" s="57"/>
    </row>
    <row r="94" spans="1:19" x14ac:dyDescent="0.25">
      <c r="B94" s="14" t="s">
        <v>2</v>
      </c>
      <c r="C94" s="25">
        <v>0.45833333333333331</v>
      </c>
      <c r="D94" s="25">
        <v>0.54166666666666663</v>
      </c>
      <c r="E94" s="14">
        <v>2</v>
      </c>
      <c r="F94" s="24"/>
      <c r="G94" s="14" t="s">
        <v>37</v>
      </c>
      <c r="I94" s="57"/>
      <c r="K94" s="15">
        <v>9</v>
      </c>
      <c r="L94" s="14" t="s">
        <v>2</v>
      </c>
      <c r="M94" s="25">
        <v>0.45833333333333331</v>
      </c>
      <c r="N94" s="25">
        <v>0.54166666666666663</v>
      </c>
      <c r="O94" s="14">
        <v>2</v>
      </c>
      <c r="P94" s="24"/>
      <c r="Q94" s="14" t="s">
        <v>37</v>
      </c>
      <c r="S94" s="57"/>
    </row>
    <row r="95" spans="1:19" ht="30" x14ac:dyDescent="0.25">
      <c r="B95" s="14"/>
      <c r="C95" s="25">
        <v>0.58333333333333337</v>
      </c>
      <c r="D95" s="25" t="s">
        <v>38</v>
      </c>
      <c r="E95" s="14">
        <v>1.5</v>
      </c>
      <c r="F95" s="24"/>
      <c r="G95" s="14" t="s">
        <v>39</v>
      </c>
      <c r="I95" s="57"/>
      <c r="L95" s="14"/>
      <c r="M95" s="25">
        <v>0.58333333333333337</v>
      </c>
      <c r="N95" s="25">
        <v>0.66666666666666663</v>
      </c>
      <c r="O95" s="14">
        <v>2</v>
      </c>
      <c r="P95" s="24"/>
      <c r="Q95" s="14" t="s">
        <v>39</v>
      </c>
      <c r="S95" s="57"/>
    </row>
    <row r="96" spans="1:19" x14ac:dyDescent="0.25">
      <c r="A96" s="22"/>
      <c r="B96" s="21" t="s">
        <v>40</v>
      </c>
      <c r="C96" s="48"/>
      <c r="D96" s="49"/>
      <c r="E96" s="21"/>
      <c r="F96" s="23"/>
      <c r="G96" s="21"/>
      <c r="I96" s="57"/>
      <c r="K96" s="15">
        <v>10</v>
      </c>
      <c r="L96" s="14" t="s">
        <v>3</v>
      </c>
      <c r="M96" s="33"/>
      <c r="N96" s="25"/>
      <c r="O96" s="14"/>
      <c r="P96" s="24"/>
      <c r="Q96" s="14"/>
      <c r="S96" s="57"/>
    </row>
    <row r="97" spans="1:19" x14ac:dyDescent="0.25">
      <c r="B97" s="14" t="s">
        <v>4</v>
      </c>
      <c r="C97" s="26"/>
      <c r="D97" s="26"/>
      <c r="E97" s="14"/>
      <c r="F97" s="24"/>
      <c r="G97" s="14"/>
      <c r="I97" s="57"/>
      <c r="K97" s="15">
        <v>11</v>
      </c>
      <c r="L97" s="14" t="s">
        <v>4</v>
      </c>
      <c r="M97" s="26"/>
      <c r="N97" s="26"/>
      <c r="O97" s="14"/>
      <c r="P97" s="24"/>
      <c r="Q97" s="14"/>
      <c r="S97" s="57"/>
    </row>
    <row r="98" spans="1:19" x14ac:dyDescent="0.25">
      <c r="B98" s="14" t="s">
        <v>5</v>
      </c>
      <c r="C98" s="34">
        <v>4.1666666666666664E-2</v>
      </c>
      <c r="D98" s="34">
        <v>0.125</v>
      </c>
      <c r="E98" s="30">
        <v>2</v>
      </c>
      <c r="F98" s="38"/>
      <c r="G98" s="30" t="s">
        <v>24</v>
      </c>
      <c r="I98" s="57"/>
      <c r="K98" s="15">
        <v>12</v>
      </c>
      <c r="L98" s="14" t="s">
        <v>5</v>
      </c>
      <c r="M98" s="34">
        <v>4.1666666666666664E-2</v>
      </c>
      <c r="N98" s="34">
        <v>0.125</v>
      </c>
      <c r="O98" s="30">
        <v>2</v>
      </c>
      <c r="P98" s="38"/>
      <c r="Q98" s="30" t="s">
        <v>24</v>
      </c>
      <c r="S98" s="57"/>
    </row>
    <row r="99" spans="1:19" x14ac:dyDescent="0.25">
      <c r="B99" s="14" t="s">
        <v>6</v>
      </c>
      <c r="C99" s="34">
        <v>0.125</v>
      </c>
      <c r="D99" s="34">
        <v>0.16666666666666666</v>
      </c>
      <c r="E99" s="30">
        <v>1</v>
      </c>
      <c r="F99" s="38"/>
      <c r="G99" s="30" t="s">
        <v>52</v>
      </c>
      <c r="I99" s="57"/>
      <c r="L99" s="14"/>
      <c r="M99" s="34">
        <v>0.125</v>
      </c>
      <c r="N99" s="34">
        <v>0.16666666666666666</v>
      </c>
      <c r="O99" s="30">
        <v>1</v>
      </c>
      <c r="P99" s="38"/>
      <c r="Q99" s="30" t="s">
        <v>52</v>
      </c>
      <c r="S99" s="57"/>
    </row>
    <row r="100" spans="1:19" x14ac:dyDescent="0.25">
      <c r="B100" s="14" t="s">
        <v>7</v>
      </c>
      <c r="C100" s="42"/>
      <c r="D100" s="42"/>
      <c r="E100" s="14"/>
      <c r="F100" s="39">
        <v>3.5</v>
      </c>
      <c r="G100" s="14"/>
      <c r="I100" s="57"/>
      <c r="K100" s="15">
        <v>13</v>
      </c>
      <c r="L100" s="14" t="s">
        <v>6</v>
      </c>
      <c r="M100" s="42"/>
      <c r="N100" s="42"/>
      <c r="O100" s="14"/>
      <c r="P100" s="39">
        <v>3.5</v>
      </c>
      <c r="Q100" s="14"/>
      <c r="S100" s="57"/>
    </row>
    <row r="101" spans="1:19" x14ac:dyDescent="0.25">
      <c r="B101" s="14" t="s">
        <v>8</v>
      </c>
      <c r="C101" s="14"/>
      <c r="D101" s="14"/>
      <c r="E101" s="14"/>
      <c r="F101" s="24"/>
      <c r="G101" s="14"/>
      <c r="I101" s="57"/>
      <c r="K101" s="15">
        <v>14</v>
      </c>
      <c r="L101" s="14" t="s">
        <v>7</v>
      </c>
      <c r="M101" s="14"/>
      <c r="N101" s="14"/>
      <c r="O101" s="14"/>
      <c r="P101" s="24"/>
      <c r="Q101" s="14"/>
      <c r="S101" s="57"/>
    </row>
    <row r="102" spans="1:19" x14ac:dyDescent="0.25">
      <c r="B102" s="13" t="s">
        <v>26</v>
      </c>
      <c r="C102" s="25"/>
      <c r="D102" s="25"/>
      <c r="E102" s="32">
        <f>SUM(E94:E101)</f>
        <v>6.5</v>
      </c>
      <c r="F102" s="24"/>
      <c r="G102" s="14"/>
      <c r="I102" s="57"/>
      <c r="K102" s="15">
        <v>15</v>
      </c>
      <c r="L102" s="14" t="s">
        <v>8</v>
      </c>
      <c r="M102" s="25"/>
      <c r="N102" s="25"/>
      <c r="O102" s="14"/>
      <c r="P102" s="24"/>
      <c r="Q102" s="14"/>
      <c r="S102" s="57"/>
    </row>
    <row r="103" spans="1:19" ht="30" x14ac:dyDescent="0.25">
      <c r="A103" s="61" t="s">
        <v>396</v>
      </c>
      <c r="B103" s="13" t="s">
        <v>26</v>
      </c>
      <c r="C103" s="32"/>
      <c r="D103" s="32"/>
      <c r="E103" s="32">
        <f>SUM(E94:E101,E81:E89)</f>
        <v>14</v>
      </c>
      <c r="F103" s="115" t="s">
        <v>393</v>
      </c>
      <c r="G103" s="145" t="s">
        <v>392</v>
      </c>
      <c r="I103" s="57"/>
      <c r="L103" s="13" t="s">
        <v>26</v>
      </c>
      <c r="M103" s="32"/>
      <c r="N103" s="32"/>
      <c r="O103" s="32">
        <f>SUM(O94:O102)</f>
        <v>7</v>
      </c>
      <c r="S103" s="57"/>
    </row>
    <row r="104" spans="1:19" ht="30" x14ac:dyDescent="0.25">
      <c r="A104" s="144"/>
      <c r="B104" s="35" t="s">
        <v>227</v>
      </c>
      <c r="C104" s="17"/>
      <c r="D104" s="17"/>
      <c r="E104" s="17" t="s">
        <v>396</v>
      </c>
      <c r="F104" s="287" t="s">
        <v>398</v>
      </c>
      <c r="G104" s="308">
        <f>SUM(E103+G65)</f>
        <v>17</v>
      </c>
      <c r="H104" s="43" t="s">
        <v>399</v>
      </c>
      <c r="I104" s="57"/>
      <c r="K104" s="44"/>
      <c r="L104" s="44"/>
      <c r="M104" s="44"/>
      <c r="N104" s="44"/>
      <c r="O104" s="44">
        <f>SUM(O65,O90,O103)</f>
        <v>19.5</v>
      </c>
      <c r="P104" s="45">
        <f>SUM(P62,P87,P100)</f>
        <v>10</v>
      </c>
      <c r="Q104" s="44"/>
      <c r="S104" s="57"/>
    </row>
    <row r="105" spans="1:19" x14ac:dyDescent="0.25">
      <c r="A105" s="53"/>
      <c r="B105" s="20"/>
      <c r="C105" s="146"/>
      <c r="D105" s="147"/>
      <c r="E105" s="20"/>
      <c r="F105" s="20"/>
      <c r="G105" s="53"/>
      <c r="I105" s="57"/>
      <c r="K105" s="22"/>
      <c r="L105" s="22"/>
      <c r="M105" s="22"/>
      <c r="N105" s="22"/>
      <c r="O105" s="22"/>
      <c r="P105" s="116"/>
      <c r="Q105" s="22"/>
      <c r="S105" s="57"/>
    </row>
    <row r="106" spans="1:19" x14ac:dyDescent="0.25">
      <c r="B106" s="13" t="s">
        <v>54</v>
      </c>
      <c r="C106" s="13" t="s">
        <v>11</v>
      </c>
      <c r="D106" s="13" t="s">
        <v>12</v>
      </c>
      <c r="E106" s="13" t="s">
        <v>13</v>
      </c>
      <c r="F106" s="13" t="s">
        <v>14</v>
      </c>
      <c r="G106" s="20" t="s">
        <v>0</v>
      </c>
      <c r="I106" s="57"/>
      <c r="K106" s="27" t="s">
        <v>53</v>
      </c>
      <c r="L106" s="13" t="s">
        <v>54</v>
      </c>
      <c r="M106" s="13" t="s">
        <v>11</v>
      </c>
      <c r="N106" s="13" t="s">
        <v>12</v>
      </c>
      <c r="O106" s="13" t="s">
        <v>13</v>
      </c>
      <c r="P106" s="13" t="s">
        <v>14</v>
      </c>
      <c r="Q106" s="13" t="s">
        <v>0</v>
      </c>
      <c r="S106" s="57"/>
    </row>
    <row r="107" spans="1:19" ht="30" x14ac:dyDescent="0.25">
      <c r="B107" s="14" t="s">
        <v>2</v>
      </c>
      <c r="C107" s="25" t="s">
        <v>55</v>
      </c>
      <c r="D107" s="25">
        <v>0.5</v>
      </c>
      <c r="E107" s="14">
        <v>0.5</v>
      </c>
      <c r="F107" s="24"/>
      <c r="G107" s="14" t="s">
        <v>56</v>
      </c>
      <c r="I107" s="57"/>
      <c r="K107" s="15">
        <v>16</v>
      </c>
      <c r="L107" s="14" t="s">
        <v>2</v>
      </c>
      <c r="M107" s="25" t="s">
        <v>55</v>
      </c>
      <c r="N107" s="25">
        <v>0.5</v>
      </c>
      <c r="O107" s="14">
        <v>0.5</v>
      </c>
      <c r="P107" s="24"/>
      <c r="Q107" s="14" t="s">
        <v>56</v>
      </c>
      <c r="S107" s="57"/>
    </row>
    <row r="108" spans="1:19" x14ac:dyDescent="0.25">
      <c r="B108" s="14" t="s">
        <v>3</v>
      </c>
      <c r="C108" s="33"/>
      <c r="D108" s="25"/>
      <c r="E108" s="14"/>
      <c r="F108" s="24"/>
      <c r="G108" s="14"/>
      <c r="I108" s="57"/>
      <c r="K108" s="15">
        <v>17</v>
      </c>
      <c r="L108" s="14" t="s">
        <v>3</v>
      </c>
      <c r="M108" s="33"/>
      <c r="N108" s="25"/>
      <c r="O108" s="14"/>
      <c r="P108" s="24"/>
      <c r="Q108" s="14"/>
      <c r="S108" s="57"/>
    </row>
    <row r="109" spans="1:19" x14ac:dyDescent="0.25">
      <c r="B109" s="14" t="s">
        <v>4</v>
      </c>
      <c r="C109" s="26"/>
      <c r="D109" s="26"/>
      <c r="E109" s="14"/>
      <c r="F109" s="24"/>
      <c r="G109" s="14"/>
      <c r="I109" s="57"/>
      <c r="K109" s="15">
        <v>18</v>
      </c>
      <c r="L109" s="14" t="s">
        <v>4</v>
      </c>
      <c r="M109" s="26"/>
      <c r="N109" s="26"/>
      <c r="O109" s="14"/>
      <c r="P109" s="24"/>
      <c r="Q109" s="14"/>
      <c r="S109" s="57"/>
    </row>
    <row r="110" spans="1:19" x14ac:dyDescent="0.25">
      <c r="B110" s="14" t="s">
        <v>5</v>
      </c>
      <c r="C110" s="26">
        <v>0.5</v>
      </c>
      <c r="D110" s="51">
        <v>4.1666666666666664E-2</v>
      </c>
      <c r="E110" s="22">
        <v>1</v>
      </c>
      <c r="F110" s="22"/>
      <c r="G110" s="22" t="s">
        <v>52</v>
      </c>
      <c r="I110" s="57"/>
      <c r="K110" s="15">
        <v>19</v>
      </c>
      <c r="L110" s="14" t="s">
        <v>5</v>
      </c>
      <c r="M110" s="26">
        <v>0.5</v>
      </c>
      <c r="N110" s="26">
        <v>4.1666666666666664E-2</v>
      </c>
      <c r="O110" s="15">
        <v>1</v>
      </c>
      <c r="Q110" s="15" t="s">
        <v>52</v>
      </c>
      <c r="S110" s="57"/>
    </row>
    <row r="111" spans="1:19" x14ac:dyDescent="0.25">
      <c r="C111" s="34">
        <v>4.1666666666666664E-2</v>
      </c>
      <c r="D111" s="139">
        <v>0.125</v>
      </c>
      <c r="E111" s="141">
        <v>2</v>
      </c>
      <c r="F111" s="135"/>
      <c r="G111" s="141" t="s">
        <v>24</v>
      </c>
      <c r="I111" s="57"/>
      <c r="L111" s="14"/>
      <c r="M111" s="34">
        <v>4.1666666666666664E-2</v>
      </c>
      <c r="N111" s="34">
        <v>0.125</v>
      </c>
      <c r="O111" s="30">
        <v>2</v>
      </c>
      <c r="P111" s="38"/>
      <c r="Q111" s="30" t="s">
        <v>24</v>
      </c>
      <c r="S111" s="57"/>
    </row>
    <row r="112" spans="1:19" x14ac:dyDescent="0.25">
      <c r="C112" s="34">
        <v>0.125</v>
      </c>
      <c r="D112" s="139">
        <v>0.14583333333333334</v>
      </c>
      <c r="E112" s="141">
        <v>0.5</v>
      </c>
      <c r="F112" s="135"/>
      <c r="G112" s="141" t="s">
        <v>57</v>
      </c>
      <c r="I112" s="57"/>
      <c r="L112" s="14"/>
      <c r="M112" s="34">
        <v>0.125</v>
      </c>
      <c r="N112" s="34">
        <v>0.14583333333333334</v>
      </c>
      <c r="O112" s="46">
        <v>0.5</v>
      </c>
      <c r="P112" s="38"/>
      <c r="Q112" s="30" t="s">
        <v>57</v>
      </c>
      <c r="S112" s="57"/>
    </row>
    <row r="113" spans="1:19" x14ac:dyDescent="0.25">
      <c r="B113" s="14" t="s">
        <v>6</v>
      </c>
      <c r="D113" s="22"/>
      <c r="E113" s="22"/>
      <c r="F113" s="22"/>
      <c r="G113" s="22"/>
      <c r="I113" s="57"/>
      <c r="K113" s="15">
        <v>20</v>
      </c>
      <c r="L113" s="14" t="s">
        <v>6</v>
      </c>
      <c r="S113" s="57"/>
    </row>
    <row r="114" spans="1:19" x14ac:dyDescent="0.25">
      <c r="B114" s="14"/>
      <c r="D114" s="22"/>
      <c r="E114" s="22"/>
      <c r="F114" s="22"/>
      <c r="G114" s="22"/>
      <c r="I114" s="57"/>
      <c r="L114" s="14"/>
      <c r="S114" s="57"/>
    </row>
    <row r="115" spans="1:19" x14ac:dyDescent="0.25">
      <c r="B115" s="14"/>
      <c r="D115" s="22"/>
      <c r="E115" s="22"/>
      <c r="F115" s="22"/>
      <c r="G115" s="22"/>
      <c r="I115" s="57"/>
      <c r="L115" s="14"/>
      <c r="S115" s="57"/>
    </row>
    <row r="116" spans="1:19" x14ac:dyDescent="0.25">
      <c r="B116" s="14"/>
      <c r="D116" s="22"/>
      <c r="E116" s="22"/>
      <c r="F116" s="22"/>
      <c r="G116" s="22"/>
      <c r="I116" s="57"/>
      <c r="L116" s="14"/>
      <c r="S116" s="57"/>
    </row>
    <row r="117" spans="1:19" x14ac:dyDescent="0.25">
      <c r="B117" s="14" t="s">
        <v>7</v>
      </c>
      <c r="C117" s="14"/>
      <c r="D117" s="21"/>
      <c r="E117" s="21"/>
      <c r="F117" s="23"/>
      <c r="G117" s="21"/>
      <c r="I117" s="57"/>
      <c r="K117" s="15">
        <v>21</v>
      </c>
      <c r="L117" s="14" t="s">
        <v>7</v>
      </c>
      <c r="M117" s="14"/>
      <c r="N117" s="14"/>
      <c r="O117" s="14"/>
      <c r="P117" s="24"/>
      <c r="Q117" s="14"/>
      <c r="S117" s="57"/>
    </row>
    <row r="118" spans="1:19" x14ac:dyDescent="0.25">
      <c r="B118" s="14" t="s">
        <v>8</v>
      </c>
      <c r="C118" s="25">
        <v>0.54166666666666663</v>
      </c>
      <c r="D118" s="49">
        <v>0.64583333333333337</v>
      </c>
      <c r="E118" s="21">
        <v>2.5</v>
      </c>
      <c r="F118" s="23"/>
      <c r="G118" s="21" t="s">
        <v>58</v>
      </c>
      <c r="I118" s="57"/>
      <c r="K118" s="15">
        <v>22</v>
      </c>
      <c r="L118" s="14" t="s">
        <v>8</v>
      </c>
      <c r="M118" s="25">
        <v>0.54166666666666663</v>
      </c>
      <c r="N118" s="25">
        <v>0.64583333333333337</v>
      </c>
      <c r="O118" s="19">
        <v>2.5</v>
      </c>
      <c r="P118" s="24"/>
      <c r="Q118" s="14" t="s">
        <v>58</v>
      </c>
      <c r="S118" s="57"/>
    </row>
    <row r="119" spans="1:19" x14ac:dyDescent="0.25">
      <c r="B119" s="13" t="s">
        <v>26</v>
      </c>
      <c r="C119" s="32"/>
      <c r="D119" s="32"/>
      <c r="E119" s="32">
        <f>SUM(E107:E118)</f>
        <v>6.5</v>
      </c>
      <c r="I119" s="57"/>
      <c r="L119" s="13" t="s">
        <v>26</v>
      </c>
      <c r="M119" s="32"/>
      <c r="N119" s="32"/>
      <c r="O119" s="32">
        <f>SUM(O107:O118)</f>
        <v>6.5</v>
      </c>
      <c r="S119" s="57"/>
    </row>
    <row r="120" spans="1:19" ht="61.5" x14ac:dyDescent="0.9">
      <c r="A120" s="578" t="s">
        <v>252</v>
      </c>
      <c r="B120" s="578"/>
      <c r="C120" s="578"/>
      <c r="D120" s="578"/>
      <c r="E120" s="578"/>
      <c r="F120" s="578"/>
      <c r="G120" s="578"/>
      <c r="H120" s="578"/>
      <c r="I120" s="578"/>
      <c r="J120" s="578"/>
      <c r="K120" s="578"/>
      <c r="L120" s="578"/>
      <c r="M120" s="578"/>
      <c r="N120" s="578"/>
      <c r="O120" s="578"/>
      <c r="P120" s="578"/>
      <c r="Q120" s="578"/>
      <c r="R120" s="578"/>
      <c r="S120" s="578"/>
    </row>
    <row r="121" spans="1:19" x14ac:dyDescent="0.25">
      <c r="I121" s="57"/>
      <c r="S121" s="57"/>
    </row>
    <row r="122" spans="1:19" x14ac:dyDescent="0.25">
      <c r="B122" s="13" t="s">
        <v>60</v>
      </c>
      <c r="C122" s="13" t="s">
        <v>11</v>
      </c>
      <c r="D122" s="13" t="s">
        <v>12</v>
      </c>
      <c r="E122" s="13" t="s">
        <v>13</v>
      </c>
      <c r="F122" s="13" t="s">
        <v>14</v>
      </c>
      <c r="G122" s="20" t="s">
        <v>0</v>
      </c>
      <c r="I122" s="57"/>
      <c r="K122" s="27" t="s">
        <v>59</v>
      </c>
      <c r="L122" s="13" t="s">
        <v>60</v>
      </c>
      <c r="M122" s="13" t="s">
        <v>11</v>
      </c>
      <c r="N122" s="13" t="s">
        <v>12</v>
      </c>
      <c r="O122" s="13" t="s">
        <v>13</v>
      </c>
      <c r="P122" s="13" t="s">
        <v>14</v>
      </c>
      <c r="Q122" s="13" t="s">
        <v>0</v>
      </c>
      <c r="S122" s="57"/>
    </row>
    <row r="123" spans="1:19" x14ac:dyDescent="0.25">
      <c r="A123" s="15">
        <v>23</v>
      </c>
      <c r="B123" s="14" t="s">
        <v>2</v>
      </c>
      <c r="C123" s="25" t="s">
        <v>55</v>
      </c>
      <c r="D123" s="25">
        <v>0.5</v>
      </c>
      <c r="E123" s="14">
        <v>0.5</v>
      </c>
      <c r="F123" s="24"/>
      <c r="G123" s="14" t="s">
        <v>61</v>
      </c>
      <c r="H123" s="15"/>
      <c r="I123" s="57"/>
      <c r="K123" s="15">
        <v>23</v>
      </c>
      <c r="L123" s="14" t="s">
        <v>2</v>
      </c>
      <c r="M123" s="25" t="s">
        <v>55</v>
      </c>
      <c r="N123" s="25">
        <v>0.5</v>
      </c>
      <c r="O123" s="14">
        <v>0.5</v>
      </c>
      <c r="P123" s="24"/>
      <c r="Q123" s="14" t="s">
        <v>61</v>
      </c>
      <c r="S123" s="57"/>
    </row>
    <row r="124" spans="1:19" ht="30" x14ac:dyDescent="0.25">
      <c r="B124" s="14"/>
      <c r="C124" s="25" t="s">
        <v>62</v>
      </c>
      <c r="D124" s="49">
        <v>0.70833333333333337</v>
      </c>
      <c r="E124" s="21">
        <v>0.5</v>
      </c>
      <c r="F124" s="23"/>
      <c r="G124" s="21" t="s">
        <v>63</v>
      </c>
      <c r="H124" s="15"/>
      <c r="I124" s="57"/>
      <c r="L124" s="14"/>
      <c r="M124" s="25" t="s">
        <v>62</v>
      </c>
      <c r="N124" s="25">
        <v>0.70833333333333337</v>
      </c>
      <c r="O124" s="14">
        <v>0.5</v>
      </c>
      <c r="P124" s="24"/>
      <c r="Q124" s="14" t="s">
        <v>63</v>
      </c>
      <c r="S124" s="57"/>
    </row>
    <row r="125" spans="1:19" ht="30" x14ac:dyDescent="0.25">
      <c r="A125" s="15">
        <v>24</v>
      </c>
      <c r="B125" s="14" t="s">
        <v>3</v>
      </c>
      <c r="C125" s="33">
        <v>0.625</v>
      </c>
      <c r="D125" s="49">
        <v>0.70833333333333337</v>
      </c>
      <c r="E125" s="21">
        <v>2</v>
      </c>
      <c r="F125" s="23"/>
      <c r="G125" s="21" t="s">
        <v>64</v>
      </c>
      <c r="H125" s="15"/>
      <c r="I125" s="57"/>
      <c r="K125" s="15">
        <v>24</v>
      </c>
      <c r="L125" s="14" t="s">
        <v>3</v>
      </c>
      <c r="M125" s="33">
        <v>0.625</v>
      </c>
      <c r="N125" s="25">
        <v>0.70833333333333337</v>
      </c>
      <c r="O125" s="19">
        <v>2</v>
      </c>
      <c r="P125" s="24"/>
      <c r="Q125" s="14" t="s">
        <v>64</v>
      </c>
      <c r="S125" s="57"/>
    </row>
    <row r="126" spans="1:19" x14ac:dyDescent="0.25">
      <c r="A126" s="15">
        <v>25</v>
      </c>
      <c r="B126" s="14" t="s">
        <v>4</v>
      </c>
      <c r="C126" s="26"/>
      <c r="D126" s="51"/>
      <c r="E126" s="21"/>
      <c r="F126" s="23"/>
      <c r="G126" s="21" t="s">
        <v>65</v>
      </c>
      <c r="H126" s="15"/>
      <c r="I126" s="57"/>
      <c r="K126" s="15">
        <v>25</v>
      </c>
      <c r="L126" s="14" t="s">
        <v>4</v>
      </c>
      <c r="M126" s="26"/>
      <c r="N126" s="26"/>
      <c r="O126" s="14"/>
      <c r="P126" s="24"/>
      <c r="Q126" s="14" t="s">
        <v>65</v>
      </c>
      <c r="S126" s="57"/>
    </row>
    <row r="127" spans="1:19" ht="30" x14ac:dyDescent="0.25">
      <c r="A127" s="15">
        <v>26</v>
      </c>
      <c r="B127" s="14" t="s">
        <v>5</v>
      </c>
      <c r="C127" s="34">
        <v>4.1666666666666664E-2</v>
      </c>
      <c r="D127" s="139">
        <v>0.125</v>
      </c>
      <c r="E127" s="141">
        <v>2</v>
      </c>
      <c r="F127" s="303" t="s">
        <v>66</v>
      </c>
      <c r="G127" s="141" t="s">
        <v>24</v>
      </c>
      <c r="H127" s="15" t="s">
        <v>67</v>
      </c>
      <c r="I127" s="57"/>
      <c r="K127" s="15">
        <v>26</v>
      </c>
      <c r="L127" s="14" t="s">
        <v>5</v>
      </c>
      <c r="M127" s="34">
        <v>4.1666666666666664E-2</v>
      </c>
      <c r="N127" s="34">
        <v>0.125</v>
      </c>
      <c r="O127" s="30">
        <v>2</v>
      </c>
      <c r="P127" s="47" t="s">
        <v>66</v>
      </c>
      <c r="Q127" s="30" t="s">
        <v>24</v>
      </c>
      <c r="S127" s="57" t="s">
        <v>67</v>
      </c>
    </row>
    <row r="128" spans="1:19" ht="30" x14ac:dyDescent="0.25">
      <c r="B128" s="14"/>
      <c r="C128" s="34">
        <v>0.125</v>
      </c>
      <c r="D128" s="139">
        <v>0.16666666666666666</v>
      </c>
      <c r="E128" s="141">
        <v>1</v>
      </c>
      <c r="F128" s="135"/>
      <c r="G128" s="141" t="s">
        <v>68</v>
      </c>
      <c r="H128" s="15" t="s">
        <v>67</v>
      </c>
      <c r="I128" s="57"/>
      <c r="L128" s="14"/>
      <c r="M128" s="34">
        <v>0.125</v>
      </c>
      <c r="N128" s="34">
        <v>0.16666666666666666</v>
      </c>
      <c r="O128" s="46">
        <v>1</v>
      </c>
      <c r="P128" s="38"/>
      <c r="Q128" s="30" t="s">
        <v>68</v>
      </c>
      <c r="S128" s="57" t="s">
        <v>67</v>
      </c>
    </row>
    <row r="129" spans="1:19" x14ac:dyDescent="0.25">
      <c r="A129" s="15">
        <v>27</v>
      </c>
      <c r="B129" s="14" t="s">
        <v>6</v>
      </c>
      <c r="C129" s="42"/>
      <c r="D129" s="52"/>
      <c r="E129" s="21"/>
      <c r="F129" s="23"/>
      <c r="G129" s="21"/>
      <c r="H129" s="15"/>
      <c r="I129" s="57"/>
      <c r="K129" s="15">
        <v>27</v>
      </c>
      <c r="L129" s="14" t="s">
        <v>6</v>
      </c>
      <c r="M129" s="42"/>
      <c r="N129" s="42"/>
      <c r="O129" s="14"/>
      <c r="P129" s="24"/>
      <c r="Q129" s="14"/>
      <c r="S129" s="57"/>
    </row>
    <row r="130" spans="1:19" x14ac:dyDescent="0.25">
      <c r="A130" s="15">
        <v>28</v>
      </c>
      <c r="B130" s="14" t="s">
        <v>7</v>
      </c>
      <c r="C130" s="14"/>
      <c r="D130" s="14"/>
      <c r="E130" s="14"/>
      <c r="F130" s="24"/>
      <c r="G130" s="14"/>
      <c r="H130" s="15"/>
      <c r="I130" s="57"/>
      <c r="K130" s="15">
        <v>28</v>
      </c>
      <c r="L130" s="14" t="s">
        <v>7</v>
      </c>
      <c r="M130" s="14"/>
      <c r="N130" s="14"/>
      <c r="O130" s="14"/>
      <c r="P130" s="24"/>
      <c r="Q130" s="14"/>
      <c r="S130" s="57"/>
    </row>
    <row r="131" spans="1:19" x14ac:dyDescent="0.25">
      <c r="A131" s="15">
        <v>29</v>
      </c>
      <c r="B131" s="14" t="s">
        <v>8</v>
      </c>
      <c r="C131" s="14"/>
      <c r="D131" s="14"/>
      <c r="E131" s="14"/>
      <c r="F131" s="24"/>
      <c r="G131" s="14"/>
      <c r="H131" s="15"/>
      <c r="I131" s="57"/>
      <c r="L131" s="14"/>
      <c r="M131" s="14"/>
      <c r="N131" s="14"/>
      <c r="O131" s="14"/>
      <c r="P131" s="24"/>
      <c r="Q131" s="14"/>
      <c r="S131" s="57"/>
    </row>
    <row r="132" spans="1:19" ht="30" x14ac:dyDescent="0.25">
      <c r="B132" s="13" t="s">
        <v>26</v>
      </c>
      <c r="C132" s="32"/>
      <c r="D132" s="32"/>
      <c r="E132" s="32">
        <f>SUM(E123:E131)</f>
        <v>6</v>
      </c>
      <c r="F132" s="115" t="s">
        <v>393</v>
      </c>
      <c r="G132" s="145" t="s">
        <v>397</v>
      </c>
      <c r="H132" s="15"/>
      <c r="I132" s="57"/>
      <c r="K132" s="15">
        <v>29</v>
      </c>
      <c r="L132" s="14" t="s">
        <v>8</v>
      </c>
      <c r="M132" s="25"/>
      <c r="N132" s="25"/>
      <c r="O132" s="14"/>
      <c r="P132" s="24"/>
      <c r="Q132" s="14"/>
      <c r="S132" s="57"/>
    </row>
    <row r="133" spans="1:19" ht="30" x14ac:dyDescent="0.25">
      <c r="A133" s="144" t="s">
        <v>401</v>
      </c>
      <c r="B133" s="35" t="s">
        <v>227</v>
      </c>
      <c r="C133" s="60"/>
      <c r="D133" s="61"/>
      <c r="E133" s="304">
        <f>SUM(E119,E132)</f>
        <v>12.5</v>
      </c>
      <c r="F133" s="115">
        <f>SUM(1*Angelica_hist!G15)</f>
        <v>10</v>
      </c>
      <c r="G133" s="309">
        <f>SUM(E133 + G104)-F133</f>
        <v>19.5</v>
      </c>
      <c r="H133" s="43" t="s">
        <v>400</v>
      </c>
      <c r="I133" s="57"/>
      <c r="L133" s="14"/>
      <c r="M133" s="25"/>
      <c r="N133" s="25"/>
      <c r="O133" s="14"/>
      <c r="P133" s="24"/>
      <c r="Q133" s="14"/>
      <c r="S133" s="57"/>
    </row>
    <row r="134" spans="1:19" x14ac:dyDescent="0.25">
      <c r="H134" s="15"/>
      <c r="I134" s="57"/>
      <c r="L134" s="14"/>
      <c r="M134" s="25"/>
      <c r="N134" s="25"/>
      <c r="O134" s="14"/>
      <c r="P134" s="24"/>
      <c r="Q134" s="14"/>
      <c r="S134" s="57"/>
    </row>
    <row r="135" spans="1:19" x14ac:dyDescent="0.25">
      <c r="I135" s="57"/>
      <c r="O135" s="15">
        <f>SUM(O123:O132)</f>
        <v>6</v>
      </c>
      <c r="S135" s="57"/>
    </row>
    <row r="136" spans="1:19" x14ac:dyDescent="0.25">
      <c r="B136" s="13" t="s">
        <v>70</v>
      </c>
      <c r="C136" s="13" t="s">
        <v>11</v>
      </c>
      <c r="D136" s="13" t="s">
        <v>12</v>
      </c>
      <c r="E136" s="13" t="s">
        <v>13</v>
      </c>
      <c r="F136" s="13" t="s">
        <v>14</v>
      </c>
      <c r="G136" s="20" t="s">
        <v>0</v>
      </c>
      <c r="I136" s="57"/>
      <c r="K136" s="44"/>
      <c r="L136" s="44"/>
      <c r="M136" s="44"/>
      <c r="N136" s="44"/>
      <c r="O136" s="50">
        <f>SUM(O119,O135)</f>
        <v>12.5</v>
      </c>
      <c r="P136" s="44"/>
      <c r="Q136" s="44"/>
      <c r="S136" s="57"/>
    </row>
    <row r="137" spans="1:19" x14ac:dyDescent="0.25">
      <c r="A137" s="15">
        <v>30</v>
      </c>
      <c r="B137" s="14" t="s">
        <v>2</v>
      </c>
      <c r="C137" s="25"/>
      <c r="D137" s="49"/>
      <c r="E137" s="21">
        <v>5</v>
      </c>
      <c r="F137" s="23"/>
      <c r="G137" s="21" t="s">
        <v>71</v>
      </c>
      <c r="H137" s="15"/>
      <c r="I137" s="57"/>
      <c r="S137" s="57"/>
    </row>
    <row r="138" spans="1:19" x14ac:dyDescent="0.25">
      <c r="A138" s="15">
        <v>1</v>
      </c>
      <c r="B138" s="14" t="s">
        <v>3</v>
      </c>
      <c r="C138" s="33"/>
      <c r="D138" s="49"/>
      <c r="E138" s="21">
        <v>4</v>
      </c>
      <c r="F138" s="23"/>
      <c r="G138" s="21" t="s">
        <v>71</v>
      </c>
      <c r="H138" s="15"/>
      <c r="I138" s="57"/>
      <c r="K138" s="27" t="s">
        <v>69</v>
      </c>
      <c r="L138" s="13" t="s">
        <v>70</v>
      </c>
      <c r="M138" s="13" t="s">
        <v>11</v>
      </c>
      <c r="N138" s="13" t="s">
        <v>12</v>
      </c>
      <c r="O138" s="13" t="s">
        <v>13</v>
      </c>
      <c r="P138" s="13" t="s">
        <v>14</v>
      </c>
      <c r="Q138" s="13" t="s">
        <v>0</v>
      </c>
      <c r="S138" s="57"/>
    </row>
    <row r="139" spans="1:19" x14ac:dyDescent="0.25">
      <c r="A139" s="15">
        <v>2</v>
      </c>
      <c r="B139" s="14" t="s">
        <v>4</v>
      </c>
      <c r="C139" s="26"/>
      <c r="D139" s="51"/>
      <c r="E139" s="21">
        <v>3</v>
      </c>
      <c r="F139" s="23"/>
      <c r="G139" s="21" t="s">
        <v>71</v>
      </c>
      <c r="H139" s="15"/>
      <c r="I139" s="57"/>
      <c r="K139" s="15">
        <v>30</v>
      </c>
      <c r="L139" s="14" t="s">
        <v>2</v>
      </c>
      <c r="M139" s="25"/>
      <c r="N139" s="25"/>
      <c r="O139" s="19">
        <v>5</v>
      </c>
      <c r="P139" s="24"/>
      <c r="Q139" s="14" t="s">
        <v>71</v>
      </c>
      <c r="S139" s="57"/>
    </row>
    <row r="140" spans="1:19" x14ac:dyDescent="0.25">
      <c r="A140" s="15">
        <v>3</v>
      </c>
      <c r="B140" s="14" t="s">
        <v>5</v>
      </c>
      <c r="C140" s="34">
        <v>4.1666666666666664E-2</v>
      </c>
      <c r="D140" s="139">
        <v>0.125</v>
      </c>
      <c r="E140" s="141">
        <v>2</v>
      </c>
      <c r="F140" s="135"/>
      <c r="G140" s="141" t="s">
        <v>24</v>
      </c>
      <c r="H140" s="15" t="s">
        <v>67</v>
      </c>
      <c r="I140" s="57"/>
      <c r="K140" s="15">
        <v>1</v>
      </c>
      <c r="L140" s="14" t="s">
        <v>3</v>
      </c>
      <c r="M140" s="33"/>
      <c r="N140" s="25"/>
      <c r="O140" s="19">
        <v>4</v>
      </c>
      <c r="P140" s="24"/>
      <c r="Q140" s="14" t="s">
        <v>71</v>
      </c>
      <c r="S140" s="57"/>
    </row>
    <row r="141" spans="1:19" x14ac:dyDescent="0.25">
      <c r="B141" s="14"/>
      <c r="C141" s="54">
        <v>0.33333333333333331</v>
      </c>
      <c r="D141" s="305">
        <v>0.375</v>
      </c>
      <c r="E141" s="306">
        <v>1</v>
      </c>
      <c r="F141" s="307"/>
      <c r="G141" s="306" t="s">
        <v>72</v>
      </c>
      <c r="H141" s="15"/>
      <c r="I141" s="57"/>
      <c r="K141" s="15">
        <v>2</v>
      </c>
      <c r="L141" s="14" t="s">
        <v>4</v>
      </c>
      <c r="M141" s="26"/>
      <c r="N141" s="26"/>
      <c r="O141" s="19">
        <v>3</v>
      </c>
      <c r="P141" s="24"/>
      <c r="Q141" s="14" t="s">
        <v>71</v>
      </c>
      <c r="S141" s="57"/>
    </row>
    <row r="142" spans="1:19" ht="30" x14ac:dyDescent="0.25">
      <c r="A142" s="15">
        <v>4</v>
      </c>
      <c r="B142" s="14" t="s">
        <v>6</v>
      </c>
      <c r="C142" s="42"/>
      <c r="D142" s="52"/>
      <c r="E142" s="21">
        <v>2</v>
      </c>
      <c r="F142" s="23"/>
      <c r="G142" s="21" t="s">
        <v>71</v>
      </c>
      <c r="H142" s="15"/>
      <c r="I142" s="57"/>
      <c r="K142" s="15">
        <v>3</v>
      </c>
      <c r="L142" s="14" t="s">
        <v>5</v>
      </c>
      <c r="M142" s="34">
        <v>4.1666666666666664E-2</v>
      </c>
      <c r="N142" s="34">
        <v>0.125</v>
      </c>
      <c r="O142" s="30">
        <v>2</v>
      </c>
      <c r="P142" s="38"/>
      <c r="Q142" s="30" t="s">
        <v>24</v>
      </c>
      <c r="S142" s="57" t="s">
        <v>67</v>
      </c>
    </row>
    <row r="143" spans="1:19" x14ac:dyDescent="0.25">
      <c r="A143" s="15">
        <v>5</v>
      </c>
      <c r="B143" s="14" t="s">
        <v>7</v>
      </c>
      <c r="C143" s="14"/>
      <c r="D143" s="21"/>
      <c r="E143" s="22"/>
      <c r="F143" s="23"/>
      <c r="G143" s="21"/>
      <c r="H143" s="15"/>
      <c r="I143" s="57"/>
      <c r="L143" s="14"/>
      <c r="M143" s="54">
        <v>0.33333333333333331</v>
      </c>
      <c r="N143" s="54">
        <v>0.375</v>
      </c>
      <c r="O143" s="55">
        <v>1</v>
      </c>
      <c r="P143" s="56"/>
      <c r="Q143" s="55" t="s">
        <v>72</v>
      </c>
      <c r="S143" s="57"/>
    </row>
    <row r="144" spans="1:19" x14ac:dyDescent="0.25">
      <c r="A144" s="15">
        <v>6</v>
      </c>
      <c r="B144" s="14" t="s">
        <v>8</v>
      </c>
      <c r="C144" s="25"/>
      <c r="D144" s="25"/>
      <c r="E144" s="14"/>
      <c r="F144" s="24"/>
      <c r="G144" s="14"/>
      <c r="H144" s="15"/>
      <c r="I144" s="57"/>
      <c r="K144" s="15">
        <v>4</v>
      </c>
      <c r="L144" s="14" t="s">
        <v>6</v>
      </c>
      <c r="M144" s="42"/>
      <c r="N144" s="42"/>
      <c r="O144" s="19">
        <v>2</v>
      </c>
      <c r="P144" s="24"/>
      <c r="Q144" s="14" t="s">
        <v>71</v>
      </c>
      <c r="S144" s="57"/>
    </row>
    <row r="145" spans="1:19" x14ac:dyDescent="0.25">
      <c r="B145" s="13" t="s">
        <v>26</v>
      </c>
      <c r="C145" s="32"/>
      <c r="D145" s="32"/>
      <c r="E145" s="32">
        <f>SUM(E137:E144)</f>
        <v>17</v>
      </c>
      <c r="G145" s="22"/>
      <c r="I145" s="57"/>
      <c r="K145" s="15">
        <v>5</v>
      </c>
      <c r="L145" s="14" t="s">
        <v>7</v>
      </c>
      <c r="M145" s="14"/>
      <c r="N145" s="14"/>
      <c r="P145" s="24"/>
      <c r="Q145" s="14"/>
      <c r="S145" s="57"/>
    </row>
    <row r="146" spans="1:19" x14ac:dyDescent="0.25">
      <c r="G146" s="22"/>
      <c r="I146" s="57"/>
      <c r="K146" s="15">
        <v>6</v>
      </c>
      <c r="L146" s="14" t="s">
        <v>8</v>
      </c>
      <c r="M146" s="25"/>
      <c r="N146" s="25"/>
      <c r="O146" s="14"/>
      <c r="P146" s="24"/>
      <c r="Q146" s="14"/>
      <c r="S146" s="57"/>
    </row>
    <row r="147" spans="1:19" x14ac:dyDescent="0.25">
      <c r="B147" s="13" t="s">
        <v>74</v>
      </c>
      <c r="C147" s="13" t="s">
        <v>11</v>
      </c>
      <c r="D147" s="13" t="s">
        <v>12</v>
      </c>
      <c r="E147" s="13" t="s">
        <v>13</v>
      </c>
      <c r="F147" s="13" t="s">
        <v>14</v>
      </c>
      <c r="G147" s="20" t="s">
        <v>0</v>
      </c>
      <c r="I147" s="57"/>
      <c r="S147" s="57"/>
    </row>
    <row r="148" spans="1:19" x14ac:dyDescent="0.25">
      <c r="A148" s="15">
        <v>7</v>
      </c>
      <c r="B148" s="14" t="s">
        <v>2</v>
      </c>
      <c r="C148" s="25">
        <v>0.47916666666666669</v>
      </c>
      <c r="D148" s="25">
        <v>0.52083333333333337</v>
      </c>
      <c r="E148" s="14">
        <v>1</v>
      </c>
      <c r="F148" s="24"/>
      <c r="G148" s="14" t="s">
        <v>75</v>
      </c>
      <c r="H148" s="15"/>
      <c r="I148" s="57"/>
      <c r="S148" s="57"/>
    </row>
    <row r="149" spans="1:19" x14ac:dyDescent="0.25">
      <c r="A149" s="15">
        <v>8</v>
      </c>
      <c r="B149" s="14" t="s">
        <v>3</v>
      </c>
      <c r="C149" s="33"/>
      <c r="D149" s="25"/>
      <c r="E149" s="14"/>
      <c r="F149" s="24"/>
      <c r="G149" s="14"/>
      <c r="H149" s="15"/>
      <c r="I149" s="57"/>
      <c r="K149" s="27" t="s">
        <v>73</v>
      </c>
      <c r="L149" s="13" t="s">
        <v>74</v>
      </c>
      <c r="M149" s="13" t="s">
        <v>11</v>
      </c>
      <c r="N149" s="13" t="s">
        <v>12</v>
      </c>
      <c r="O149" s="13" t="s">
        <v>13</v>
      </c>
      <c r="P149" s="13" t="s">
        <v>14</v>
      </c>
      <c r="Q149" s="13" t="s">
        <v>0</v>
      </c>
      <c r="S149" s="57"/>
    </row>
    <row r="150" spans="1:19" x14ac:dyDescent="0.25">
      <c r="A150" s="15">
        <v>9</v>
      </c>
      <c r="B150" s="14" t="s">
        <v>4</v>
      </c>
      <c r="C150" s="26"/>
      <c r="D150" s="26"/>
      <c r="E150" s="14"/>
      <c r="F150" s="24"/>
      <c r="G150" s="14"/>
      <c r="H150" s="15"/>
      <c r="I150" s="57"/>
      <c r="K150" s="15">
        <v>7</v>
      </c>
      <c r="L150" s="14" t="s">
        <v>2</v>
      </c>
      <c r="M150" s="25">
        <v>0.47916666666666669</v>
      </c>
      <c r="N150" s="25">
        <v>0.52083333333333337</v>
      </c>
      <c r="O150" s="14">
        <v>1</v>
      </c>
      <c r="P150" s="24"/>
      <c r="Q150" s="14" t="s">
        <v>75</v>
      </c>
      <c r="S150" s="57"/>
    </row>
    <row r="151" spans="1:19" x14ac:dyDescent="0.25">
      <c r="A151" s="15">
        <v>10</v>
      </c>
      <c r="B151" s="14" t="s">
        <v>5</v>
      </c>
      <c r="C151" s="34">
        <v>4.1666666666666664E-2</v>
      </c>
      <c r="D151" s="34">
        <v>0.125</v>
      </c>
      <c r="E151" s="30">
        <v>2</v>
      </c>
      <c r="F151" s="38"/>
      <c r="G151" s="30" t="s">
        <v>24</v>
      </c>
      <c r="H151" s="15" t="s">
        <v>67</v>
      </c>
      <c r="I151" s="57"/>
      <c r="K151" s="15">
        <v>8</v>
      </c>
      <c r="L151" s="14" t="s">
        <v>3</v>
      </c>
      <c r="M151" s="33"/>
      <c r="N151" s="25"/>
      <c r="O151" s="14"/>
      <c r="P151" s="24"/>
      <c r="Q151" s="14"/>
      <c r="S151" s="57"/>
    </row>
    <row r="152" spans="1:19" x14ac:dyDescent="0.25">
      <c r="B152" s="14"/>
      <c r="C152" s="34">
        <v>0.125</v>
      </c>
      <c r="D152" s="34">
        <v>0.16666666666666666</v>
      </c>
      <c r="E152" s="30">
        <v>1</v>
      </c>
      <c r="F152" s="38"/>
      <c r="G152" s="30" t="s">
        <v>52</v>
      </c>
      <c r="H152" s="15" t="s">
        <v>67</v>
      </c>
      <c r="I152" s="57"/>
      <c r="K152" s="15">
        <v>9</v>
      </c>
      <c r="L152" s="14" t="s">
        <v>4</v>
      </c>
      <c r="M152" s="26"/>
      <c r="N152" s="26"/>
      <c r="O152" s="14"/>
      <c r="P152" s="24"/>
      <c r="Q152" s="14"/>
      <c r="S152" s="57"/>
    </row>
    <row r="153" spans="1:19" ht="30" x14ac:dyDescent="0.25">
      <c r="A153" s="15">
        <v>11</v>
      </c>
      <c r="B153" s="14" t="s">
        <v>6</v>
      </c>
      <c r="C153" s="42"/>
      <c r="D153" s="42"/>
      <c r="E153" s="14"/>
      <c r="F153" s="24"/>
      <c r="G153" s="14"/>
      <c r="H153" s="15"/>
      <c r="I153" s="57"/>
      <c r="K153" s="15">
        <v>10</v>
      </c>
      <c r="L153" s="14" t="s">
        <v>5</v>
      </c>
      <c r="M153" s="34">
        <v>4.1666666666666664E-2</v>
      </c>
      <c r="N153" s="34">
        <v>0.125</v>
      </c>
      <c r="O153" s="30">
        <v>2</v>
      </c>
      <c r="P153" s="38"/>
      <c r="Q153" s="30" t="s">
        <v>24</v>
      </c>
      <c r="S153" s="57" t="s">
        <v>67</v>
      </c>
    </row>
    <row r="154" spans="1:19" ht="30" x14ac:dyDescent="0.25">
      <c r="A154" s="15">
        <v>12</v>
      </c>
      <c r="B154" s="14" t="s">
        <v>7</v>
      </c>
      <c r="C154" s="14"/>
      <c r="D154" s="14"/>
      <c r="E154" s="14"/>
      <c r="F154" s="24"/>
      <c r="G154" s="14"/>
      <c r="H154" s="15"/>
      <c r="I154" s="57"/>
      <c r="L154" s="14"/>
      <c r="M154" s="34">
        <v>0.125</v>
      </c>
      <c r="N154" s="34">
        <v>0.16666666666666666</v>
      </c>
      <c r="O154" s="30">
        <v>1</v>
      </c>
      <c r="P154" s="38"/>
      <c r="Q154" s="30" t="s">
        <v>52</v>
      </c>
      <c r="S154" s="57" t="s">
        <v>67</v>
      </c>
    </row>
    <row r="155" spans="1:19" x14ac:dyDescent="0.25">
      <c r="A155" s="15">
        <v>13</v>
      </c>
      <c r="B155" s="14" t="s">
        <v>8</v>
      </c>
      <c r="C155" s="25"/>
      <c r="D155" s="25"/>
      <c r="E155" s="14"/>
      <c r="F155" s="24"/>
      <c r="G155" s="14"/>
      <c r="H155" s="15"/>
      <c r="I155" s="57"/>
      <c r="K155" s="15">
        <v>11</v>
      </c>
      <c r="L155" s="14" t="s">
        <v>6</v>
      </c>
      <c r="M155" s="42"/>
      <c r="N155" s="42"/>
      <c r="O155" s="14"/>
      <c r="P155" s="24"/>
      <c r="Q155" s="14"/>
      <c r="S155" s="57"/>
    </row>
    <row r="156" spans="1:19" ht="30" x14ac:dyDescent="0.25">
      <c r="B156" s="13" t="s">
        <v>26</v>
      </c>
      <c r="C156" s="32"/>
      <c r="D156" s="32"/>
      <c r="E156" s="32">
        <f>SUM(E148:E155)</f>
        <v>4</v>
      </c>
      <c r="F156" s="115" t="s">
        <v>393</v>
      </c>
      <c r="G156" s="145" t="s">
        <v>397</v>
      </c>
      <c r="I156" s="57"/>
      <c r="K156" s="15">
        <v>12</v>
      </c>
      <c r="L156" s="14" t="s">
        <v>7</v>
      </c>
      <c r="M156" s="14"/>
      <c r="N156" s="14"/>
      <c r="O156" s="14"/>
      <c r="P156" s="24"/>
      <c r="Q156" s="14"/>
      <c r="S156" s="57"/>
    </row>
    <row r="157" spans="1:19" x14ac:dyDescent="0.25">
      <c r="A157" s="144" t="s">
        <v>402</v>
      </c>
      <c r="B157" s="35" t="s">
        <v>227</v>
      </c>
      <c r="C157" s="17"/>
      <c r="D157" s="17"/>
      <c r="E157" s="35">
        <f>SUM(E137:E144,E148:E155)</f>
        <v>21</v>
      </c>
      <c r="F157" s="115">
        <f>SUM(1*Angelica_hist!G21)</f>
        <v>22.5</v>
      </c>
      <c r="G157" s="308">
        <f>SUM(G133+E157)-F157</f>
        <v>18</v>
      </c>
      <c r="H157" s="43"/>
      <c r="I157" s="57"/>
      <c r="K157" s="15">
        <v>13</v>
      </c>
      <c r="L157" s="14" t="s">
        <v>8</v>
      </c>
      <c r="M157" s="25"/>
      <c r="N157" s="25"/>
      <c r="O157" s="14"/>
      <c r="P157" s="24"/>
      <c r="Q157" s="14"/>
      <c r="S157" s="57"/>
    </row>
    <row r="158" spans="1:19" x14ac:dyDescent="0.25">
      <c r="A158" s="21"/>
      <c r="B158" s="20"/>
      <c r="C158" s="48"/>
      <c r="D158" s="49"/>
      <c r="E158" s="21"/>
      <c r="F158" s="128"/>
      <c r="G158" s="21"/>
      <c r="I158" s="57"/>
      <c r="L158" s="14"/>
      <c r="M158" s="25"/>
      <c r="N158" s="25"/>
      <c r="O158" s="14"/>
      <c r="P158" s="24"/>
      <c r="Q158" s="14"/>
      <c r="S158" s="57"/>
    </row>
    <row r="159" spans="1:19" x14ac:dyDescent="0.25">
      <c r="B159" s="13" t="s">
        <v>128</v>
      </c>
      <c r="C159" s="13" t="s">
        <v>11</v>
      </c>
      <c r="D159" s="13" t="s">
        <v>12</v>
      </c>
      <c r="E159" s="13" t="s">
        <v>13</v>
      </c>
      <c r="F159" s="13" t="s">
        <v>14</v>
      </c>
      <c r="G159" s="20" t="s">
        <v>0</v>
      </c>
      <c r="I159" s="57"/>
      <c r="L159" s="14"/>
      <c r="M159" s="25"/>
      <c r="N159" s="25"/>
      <c r="O159" s="14"/>
      <c r="P159" s="24"/>
      <c r="Q159" s="14"/>
      <c r="S159" s="57"/>
    </row>
    <row r="160" spans="1:19" x14ac:dyDescent="0.25">
      <c r="A160" s="15">
        <v>14</v>
      </c>
      <c r="B160" s="21" t="s">
        <v>2</v>
      </c>
      <c r="C160" s="49"/>
      <c r="D160" s="49"/>
      <c r="E160" s="138"/>
      <c r="F160" s="23"/>
      <c r="G160" s="21"/>
      <c r="I160" s="57"/>
      <c r="K160" s="22"/>
      <c r="L160" s="22"/>
      <c r="M160" s="22"/>
      <c r="N160" s="22"/>
      <c r="O160" s="22"/>
      <c r="P160" s="22"/>
      <c r="Q160" s="22"/>
      <c r="S160" s="57"/>
    </row>
    <row r="161" spans="1:20" x14ac:dyDescent="0.25">
      <c r="A161" s="15">
        <v>15</v>
      </c>
      <c r="B161" s="21" t="s">
        <v>3</v>
      </c>
      <c r="C161" s="48"/>
      <c r="D161" s="49"/>
      <c r="E161" s="138"/>
      <c r="F161" s="23"/>
      <c r="G161" s="21"/>
      <c r="I161" s="57"/>
      <c r="K161" s="22"/>
      <c r="L161" s="22"/>
      <c r="M161" s="22"/>
      <c r="N161" s="22"/>
      <c r="O161" s="22"/>
      <c r="P161" s="22"/>
      <c r="Q161" s="22"/>
      <c r="S161" s="57"/>
    </row>
    <row r="162" spans="1:20" x14ac:dyDescent="0.25">
      <c r="A162" s="15">
        <v>16</v>
      </c>
      <c r="B162" s="21" t="s">
        <v>4</v>
      </c>
      <c r="C162" s="51">
        <v>0.41666666666666669</v>
      </c>
      <c r="D162" s="51">
        <v>0.5625</v>
      </c>
      <c r="E162" s="138">
        <v>3.5</v>
      </c>
      <c r="F162" s="23"/>
      <c r="G162" s="22" t="s">
        <v>233</v>
      </c>
      <c r="I162" s="57"/>
      <c r="L162" s="27" t="s">
        <v>232</v>
      </c>
      <c r="M162" s="20" t="s">
        <v>128</v>
      </c>
      <c r="N162" s="20" t="s">
        <v>11</v>
      </c>
      <c r="O162" s="20" t="s">
        <v>12</v>
      </c>
      <c r="P162" s="20" t="s">
        <v>13</v>
      </c>
      <c r="Q162" s="20" t="s">
        <v>14</v>
      </c>
      <c r="S162" s="57"/>
      <c r="T162" s="22"/>
    </row>
    <row r="163" spans="1:20" x14ac:dyDescent="0.25">
      <c r="A163" s="15">
        <v>17</v>
      </c>
      <c r="B163" s="21" t="s">
        <v>5</v>
      </c>
      <c r="C163" s="51">
        <v>0.4375</v>
      </c>
      <c r="D163" s="51">
        <v>0.52083333333333337</v>
      </c>
      <c r="E163" s="22">
        <v>2</v>
      </c>
      <c r="F163" s="22"/>
      <c r="G163" s="22" t="s">
        <v>233</v>
      </c>
      <c r="I163" s="57"/>
      <c r="L163" s="15">
        <v>14</v>
      </c>
      <c r="M163" s="21" t="s">
        <v>2</v>
      </c>
      <c r="N163" s="49"/>
      <c r="O163" s="49"/>
      <c r="P163" s="138"/>
      <c r="Q163" s="23"/>
      <c r="S163" s="101"/>
      <c r="T163" s="22"/>
    </row>
    <row r="164" spans="1:20" x14ac:dyDescent="0.25">
      <c r="B164" s="21"/>
      <c r="C164" s="139">
        <v>4.1666666666666664E-2</v>
      </c>
      <c r="D164" s="139">
        <v>0.125</v>
      </c>
      <c r="E164" s="140">
        <v>2</v>
      </c>
      <c r="F164" s="135"/>
      <c r="G164" s="141" t="s">
        <v>24</v>
      </c>
      <c r="I164" s="57"/>
      <c r="L164" s="15">
        <v>15</v>
      </c>
      <c r="M164" s="21" t="s">
        <v>3</v>
      </c>
      <c r="N164" s="48"/>
      <c r="O164" s="49"/>
      <c r="P164" s="138"/>
      <c r="Q164" s="23"/>
      <c r="S164" s="101"/>
      <c r="T164" s="22"/>
    </row>
    <row r="165" spans="1:20" ht="30" x14ac:dyDescent="0.25">
      <c r="A165" s="15">
        <v>18</v>
      </c>
      <c r="B165" s="21" t="s">
        <v>6</v>
      </c>
      <c r="C165" s="51">
        <v>0.41666666666666669</v>
      </c>
      <c r="D165" s="51">
        <v>0.58333333333333337</v>
      </c>
      <c r="E165" s="138">
        <v>4</v>
      </c>
      <c r="F165" s="23"/>
      <c r="G165" s="21" t="s">
        <v>234</v>
      </c>
      <c r="I165" s="57"/>
      <c r="L165" s="15">
        <v>16</v>
      </c>
      <c r="M165" s="21" t="s">
        <v>4</v>
      </c>
      <c r="N165" s="51">
        <v>0.41666666666666669</v>
      </c>
      <c r="O165" s="51">
        <v>0.5625</v>
      </c>
      <c r="P165" s="138">
        <v>3.5</v>
      </c>
      <c r="Q165" s="23"/>
      <c r="S165" s="57" t="s">
        <v>233</v>
      </c>
      <c r="T165" s="22"/>
    </row>
    <row r="166" spans="1:20" ht="30" x14ac:dyDescent="0.25">
      <c r="A166" s="15">
        <v>19</v>
      </c>
      <c r="B166" s="21" t="s">
        <v>7</v>
      </c>
      <c r="C166" s="51">
        <v>0.4375</v>
      </c>
      <c r="D166" s="51">
        <v>0.5625</v>
      </c>
      <c r="E166" s="138">
        <v>3.5</v>
      </c>
      <c r="F166" s="23"/>
      <c r="G166" s="21" t="s">
        <v>235</v>
      </c>
      <c r="I166" s="57"/>
      <c r="L166" s="15">
        <v>17</v>
      </c>
      <c r="M166" s="21" t="s">
        <v>5</v>
      </c>
      <c r="N166" s="51">
        <v>0.4375</v>
      </c>
      <c r="O166" s="51">
        <v>0.52083333333333337</v>
      </c>
      <c r="P166" s="22">
        <v>2</v>
      </c>
      <c r="Q166" s="22"/>
      <c r="S166" s="57" t="s">
        <v>233</v>
      </c>
      <c r="T166" s="22"/>
    </row>
    <row r="167" spans="1:20" x14ac:dyDescent="0.25">
      <c r="A167" s="15">
        <v>20</v>
      </c>
      <c r="B167" s="21" t="s">
        <v>8</v>
      </c>
      <c r="C167" s="49"/>
      <c r="D167" s="49"/>
      <c r="E167" s="138"/>
      <c r="F167" s="23"/>
      <c r="G167" s="21"/>
      <c r="I167" s="57"/>
      <c r="M167" s="21"/>
      <c r="N167" s="139">
        <v>4.1666666666666664E-2</v>
      </c>
      <c r="O167" s="139">
        <v>0.125</v>
      </c>
      <c r="P167" s="140">
        <v>2</v>
      </c>
      <c r="Q167" s="135"/>
      <c r="S167" s="143" t="s">
        <v>24</v>
      </c>
      <c r="T167" s="22"/>
    </row>
    <row r="168" spans="1:20" ht="60" x14ac:dyDescent="0.25">
      <c r="B168" s="13" t="s">
        <v>26</v>
      </c>
      <c r="C168" s="32"/>
      <c r="D168" s="32"/>
      <c r="E168" s="32">
        <f>SUM(E160:E167)</f>
        <v>15</v>
      </c>
      <c r="G168" s="22"/>
      <c r="I168" s="57"/>
      <c r="L168" s="15">
        <v>18</v>
      </c>
      <c r="M168" s="21" t="s">
        <v>6</v>
      </c>
      <c r="N168" s="51">
        <v>0.41666666666666669</v>
      </c>
      <c r="O168" s="51">
        <v>0.58333333333333337</v>
      </c>
      <c r="P168" s="138">
        <v>4</v>
      </c>
      <c r="Q168" s="23"/>
      <c r="S168" s="101" t="s">
        <v>234</v>
      </c>
      <c r="T168" s="22"/>
    </row>
    <row r="169" spans="1:20" ht="60" x14ac:dyDescent="0.25">
      <c r="G169" s="22"/>
      <c r="I169" s="57"/>
      <c r="L169" s="15">
        <v>19</v>
      </c>
      <c r="M169" s="21" t="s">
        <v>7</v>
      </c>
      <c r="N169" s="51">
        <v>0.4375</v>
      </c>
      <c r="O169" s="51">
        <v>0.5625</v>
      </c>
      <c r="P169" s="138">
        <v>3.5</v>
      </c>
      <c r="Q169" s="23"/>
      <c r="S169" s="101" t="s">
        <v>235</v>
      </c>
      <c r="T169" s="22"/>
    </row>
    <row r="170" spans="1:20" x14ac:dyDescent="0.25">
      <c r="B170" s="13" t="s">
        <v>130</v>
      </c>
      <c r="C170" s="13" t="s">
        <v>11</v>
      </c>
      <c r="D170" s="13" t="s">
        <v>12</v>
      </c>
      <c r="E170" s="13" t="s">
        <v>13</v>
      </c>
      <c r="F170" s="13" t="s">
        <v>14</v>
      </c>
      <c r="G170" s="20" t="s">
        <v>0</v>
      </c>
      <c r="I170" s="57"/>
      <c r="L170" s="15">
        <v>20</v>
      </c>
      <c r="M170" s="21" t="s">
        <v>8</v>
      </c>
      <c r="N170" s="49"/>
      <c r="O170" s="49"/>
      <c r="P170" s="138"/>
      <c r="Q170" s="23"/>
      <c r="S170" s="101"/>
      <c r="T170" s="22"/>
    </row>
    <row r="171" spans="1:20" x14ac:dyDescent="0.25">
      <c r="A171" s="15">
        <v>21</v>
      </c>
      <c r="B171" s="21" t="s">
        <v>2</v>
      </c>
      <c r="C171" s="49"/>
      <c r="D171" s="49"/>
      <c r="E171" s="138"/>
      <c r="F171" s="23"/>
      <c r="G171" s="21"/>
      <c r="I171" s="57"/>
      <c r="M171" s="22"/>
      <c r="N171" s="22"/>
      <c r="O171" s="22"/>
      <c r="P171" s="22">
        <f>+SUM(P163:P170)</f>
        <v>15</v>
      </c>
      <c r="Q171" s="22"/>
      <c r="S171" s="57"/>
      <c r="T171" s="22"/>
    </row>
    <row r="172" spans="1:20" x14ac:dyDescent="0.25">
      <c r="A172" s="15">
        <v>22</v>
      </c>
      <c r="B172" s="21" t="s">
        <v>3</v>
      </c>
      <c r="C172" s="48"/>
      <c r="D172" s="49"/>
      <c r="E172" s="138"/>
      <c r="F172" s="23"/>
      <c r="G172" s="21"/>
      <c r="I172" s="57"/>
      <c r="M172" s="22"/>
      <c r="N172" s="22"/>
      <c r="O172" s="22"/>
      <c r="P172" s="22"/>
      <c r="Q172" s="22"/>
      <c r="S172" s="57"/>
      <c r="T172" s="22"/>
    </row>
    <row r="173" spans="1:20" x14ac:dyDescent="0.25">
      <c r="A173" s="15">
        <v>23</v>
      </c>
      <c r="B173" s="21" t="s">
        <v>4</v>
      </c>
      <c r="C173" s="51">
        <v>0.41666666666666669</v>
      </c>
      <c r="D173" s="51">
        <v>0.5625</v>
      </c>
      <c r="E173" s="138">
        <v>3.5</v>
      </c>
      <c r="F173" s="23"/>
      <c r="G173" s="22" t="s">
        <v>233</v>
      </c>
      <c r="I173" s="57"/>
      <c r="L173" s="27" t="s">
        <v>236</v>
      </c>
      <c r="M173" s="20" t="s">
        <v>130</v>
      </c>
      <c r="N173" s="20" t="s">
        <v>11</v>
      </c>
      <c r="O173" s="20" t="s">
        <v>12</v>
      </c>
      <c r="P173" s="20" t="s">
        <v>13</v>
      </c>
      <c r="Q173" s="20" t="s">
        <v>14</v>
      </c>
      <c r="S173" s="57"/>
      <c r="T173" s="22"/>
    </row>
    <row r="174" spans="1:20" x14ac:dyDescent="0.25">
      <c r="A174" s="15">
        <v>24</v>
      </c>
      <c r="B174" s="21" t="s">
        <v>5</v>
      </c>
      <c r="C174" s="51">
        <v>0.4375</v>
      </c>
      <c r="D174" s="51">
        <v>0.52083333333333337</v>
      </c>
      <c r="E174" s="22">
        <v>2</v>
      </c>
      <c r="F174" s="22"/>
      <c r="G174" s="22" t="s">
        <v>233</v>
      </c>
      <c r="I174" s="57"/>
      <c r="L174" s="15">
        <v>21</v>
      </c>
      <c r="M174" s="21" t="s">
        <v>2</v>
      </c>
      <c r="N174" s="49"/>
      <c r="O174" s="49"/>
      <c r="P174" s="138"/>
      <c r="Q174" s="23"/>
      <c r="S174" s="101"/>
      <c r="T174" s="22"/>
    </row>
    <row r="175" spans="1:20" x14ac:dyDescent="0.25">
      <c r="B175" s="21"/>
      <c r="C175" s="139">
        <v>4.1666666666666664E-2</v>
      </c>
      <c r="D175" s="139">
        <v>0.125</v>
      </c>
      <c r="E175" s="140">
        <v>2</v>
      </c>
      <c r="F175" s="135"/>
      <c r="G175" s="141" t="s">
        <v>24</v>
      </c>
      <c r="I175" s="57"/>
      <c r="L175" s="15">
        <v>22</v>
      </c>
      <c r="M175" s="21" t="s">
        <v>3</v>
      </c>
      <c r="N175" s="48"/>
      <c r="O175" s="49"/>
      <c r="P175" s="138"/>
      <c r="Q175" s="23"/>
      <c r="S175" s="101"/>
      <c r="T175" s="22"/>
    </row>
    <row r="176" spans="1:20" ht="30" x14ac:dyDescent="0.25">
      <c r="A176" s="15">
        <v>25</v>
      </c>
      <c r="B176" s="21" t="s">
        <v>6</v>
      </c>
      <c r="C176" s="51">
        <v>0.41666666666666669</v>
      </c>
      <c r="D176" s="51">
        <v>0.58333333333333337</v>
      </c>
      <c r="E176" s="138">
        <v>4</v>
      </c>
      <c r="F176" s="23"/>
      <c r="G176" s="21" t="s">
        <v>237</v>
      </c>
      <c r="I176" s="57"/>
      <c r="L176" s="15">
        <v>23</v>
      </c>
      <c r="M176" s="21" t="s">
        <v>4</v>
      </c>
      <c r="N176" s="51">
        <v>0.41666666666666669</v>
      </c>
      <c r="O176" s="51">
        <v>0.5625</v>
      </c>
      <c r="P176" s="138">
        <v>3.5</v>
      </c>
      <c r="Q176" s="23"/>
      <c r="S176" s="57" t="s">
        <v>233</v>
      </c>
      <c r="T176" s="22"/>
    </row>
    <row r="177" spans="1:20" ht="30" x14ac:dyDescent="0.25">
      <c r="A177" s="15">
        <v>26</v>
      </c>
      <c r="B177" s="21" t="s">
        <v>7</v>
      </c>
      <c r="C177" s="51">
        <v>0.4375</v>
      </c>
      <c r="D177" s="51">
        <v>0.5625</v>
      </c>
      <c r="E177" s="138">
        <v>3.5</v>
      </c>
      <c r="F177" s="23"/>
      <c r="G177" s="21" t="s">
        <v>238</v>
      </c>
      <c r="I177" s="57"/>
      <c r="L177" s="15">
        <v>24</v>
      </c>
      <c r="M177" s="21" t="s">
        <v>5</v>
      </c>
      <c r="N177" s="51">
        <v>0.4375</v>
      </c>
      <c r="O177" s="51">
        <v>0.52083333333333337</v>
      </c>
      <c r="P177" s="22">
        <v>2</v>
      </c>
      <c r="Q177" s="22"/>
      <c r="S177" s="57" t="s">
        <v>233</v>
      </c>
      <c r="T177" s="22"/>
    </row>
    <row r="178" spans="1:20" x14ac:dyDescent="0.25">
      <c r="A178" s="15">
        <v>27</v>
      </c>
      <c r="B178" s="21" t="s">
        <v>8</v>
      </c>
      <c r="C178" s="49"/>
      <c r="D178" s="49"/>
      <c r="E178" s="138"/>
      <c r="F178" s="23"/>
      <c r="G178" s="21"/>
      <c r="I178" s="57"/>
      <c r="M178" s="21"/>
      <c r="N178" s="139">
        <v>4.1666666666666664E-2</v>
      </c>
      <c r="O178" s="139">
        <v>0.125</v>
      </c>
      <c r="P178" s="140">
        <v>2</v>
      </c>
      <c r="Q178" s="135"/>
      <c r="S178" s="143" t="s">
        <v>24</v>
      </c>
      <c r="T178" s="22"/>
    </row>
    <row r="179" spans="1:20" ht="75" x14ac:dyDescent="0.25">
      <c r="B179" s="13" t="s">
        <v>26</v>
      </c>
      <c r="C179" s="32"/>
      <c r="D179" s="32"/>
      <c r="E179" s="289">
        <f>SUM(E171:E178)</f>
        <v>15</v>
      </c>
      <c r="F179" s="115" t="s">
        <v>393</v>
      </c>
      <c r="G179" s="145" t="s">
        <v>397</v>
      </c>
      <c r="I179" s="57"/>
      <c r="L179" s="15">
        <v>25</v>
      </c>
      <c r="M179" s="21" t="s">
        <v>6</v>
      </c>
      <c r="N179" s="51">
        <v>0.41666666666666669</v>
      </c>
      <c r="O179" s="51">
        <v>0.58333333333333337</v>
      </c>
      <c r="P179" s="138">
        <v>4</v>
      </c>
      <c r="Q179" s="23"/>
      <c r="S179" s="101" t="s">
        <v>237</v>
      </c>
      <c r="T179" s="22"/>
    </row>
    <row r="180" spans="1:20" ht="18" customHeight="1" x14ac:dyDescent="0.25">
      <c r="A180" s="144" t="s">
        <v>403</v>
      </c>
      <c r="B180" s="35" t="s">
        <v>227</v>
      </c>
      <c r="C180" s="17"/>
      <c r="D180" s="17"/>
      <c r="E180" s="35">
        <f>SUM(E160:E167,E171:E178)</f>
        <v>30</v>
      </c>
      <c r="F180" s="115">
        <f>SUM(Angelica_hist!G27 +Angelica_hist!G28 +Angelica_hist!G29)</f>
        <v>55</v>
      </c>
      <c r="G180" s="311">
        <f>SUM(G157+E180)-F180</f>
        <v>-7</v>
      </c>
      <c r="H180" s="43"/>
      <c r="I180" s="57"/>
      <c r="L180" s="15">
        <v>26</v>
      </c>
      <c r="M180" s="21" t="s">
        <v>7</v>
      </c>
      <c r="N180" s="51">
        <v>0.4375</v>
      </c>
      <c r="O180" s="51">
        <v>0.5625</v>
      </c>
      <c r="P180" s="138">
        <v>3.5</v>
      </c>
      <c r="Q180" s="23"/>
      <c r="S180" s="101" t="s">
        <v>238</v>
      </c>
      <c r="T180" s="22"/>
    </row>
    <row r="181" spans="1:20" x14ac:dyDescent="0.25">
      <c r="A181" s="53"/>
      <c r="B181" s="20"/>
      <c r="C181" s="53"/>
      <c r="D181" s="53"/>
      <c r="E181" s="20"/>
      <c r="F181" s="20"/>
      <c r="G181" s="314"/>
      <c r="I181" s="57"/>
      <c r="L181" s="15">
        <v>27</v>
      </c>
      <c r="M181" s="21" t="s">
        <v>8</v>
      </c>
      <c r="N181" s="49"/>
      <c r="O181" s="49"/>
      <c r="P181" s="138"/>
      <c r="Q181" s="23"/>
      <c r="S181" s="101"/>
      <c r="T181" s="22"/>
    </row>
    <row r="182" spans="1:20" x14ac:dyDescent="0.25">
      <c r="A182" s="53"/>
      <c r="B182" s="20"/>
      <c r="C182" s="53"/>
      <c r="D182" s="53"/>
      <c r="E182" s="20"/>
      <c r="F182" s="20"/>
      <c r="G182" s="314"/>
      <c r="I182" s="57"/>
      <c r="M182" s="21"/>
      <c r="N182" s="49"/>
      <c r="O182" s="49"/>
      <c r="P182" s="138"/>
      <c r="Q182" s="23"/>
      <c r="S182" s="101"/>
      <c r="T182" s="22"/>
    </row>
    <row r="183" spans="1:20" x14ac:dyDescent="0.25">
      <c r="A183" s="53"/>
      <c r="B183" s="20"/>
      <c r="C183" s="53"/>
      <c r="D183" s="53"/>
      <c r="E183" s="20"/>
      <c r="F183" s="20"/>
      <c r="G183" s="314"/>
      <c r="I183" s="57"/>
      <c r="M183" s="22"/>
      <c r="N183" s="22"/>
      <c r="O183" s="22"/>
      <c r="P183" s="22">
        <f>+SUM(P176:P180)</f>
        <v>15</v>
      </c>
      <c r="Q183" s="22"/>
      <c r="S183" s="57"/>
      <c r="T183" s="22"/>
    </row>
    <row r="184" spans="1:20" x14ac:dyDescent="0.25">
      <c r="B184" s="13" t="s">
        <v>132</v>
      </c>
      <c r="C184" s="13" t="s">
        <v>11</v>
      </c>
      <c r="D184" s="13" t="s">
        <v>12</v>
      </c>
      <c r="E184" s="13" t="s">
        <v>13</v>
      </c>
      <c r="F184" s="13" t="s">
        <v>14</v>
      </c>
      <c r="G184" s="20" t="s">
        <v>0</v>
      </c>
      <c r="I184" s="57"/>
      <c r="M184" s="22"/>
      <c r="N184" s="22"/>
      <c r="O184" s="22"/>
      <c r="P184" s="22"/>
      <c r="Q184" s="22"/>
      <c r="S184" s="57"/>
      <c r="T184" s="22"/>
    </row>
    <row r="185" spans="1:20" x14ac:dyDescent="0.25">
      <c r="A185" s="15">
        <v>28</v>
      </c>
      <c r="B185" s="21" t="s">
        <v>2</v>
      </c>
      <c r="C185" s="49"/>
      <c r="D185" s="49"/>
      <c r="E185" s="138"/>
      <c r="F185" s="23"/>
      <c r="G185" s="21"/>
      <c r="I185" s="57"/>
      <c r="L185" s="27" t="s">
        <v>239</v>
      </c>
      <c r="M185" s="20" t="s">
        <v>132</v>
      </c>
      <c r="N185" s="20" t="s">
        <v>11</v>
      </c>
      <c r="O185" s="20" t="s">
        <v>12</v>
      </c>
      <c r="P185" s="20" t="s">
        <v>13</v>
      </c>
      <c r="Q185" s="20" t="s">
        <v>14</v>
      </c>
      <c r="S185" s="57"/>
      <c r="T185" s="22"/>
    </row>
    <row r="186" spans="1:20" x14ac:dyDescent="0.25">
      <c r="A186" s="15">
        <v>29</v>
      </c>
      <c r="B186" s="21" t="s">
        <v>3</v>
      </c>
      <c r="C186" s="48"/>
      <c r="D186" s="49"/>
      <c r="E186" s="138"/>
      <c r="F186" s="23"/>
      <c r="G186" s="21"/>
      <c r="I186" s="57"/>
      <c r="L186" s="15">
        <v>28</v>
      </c>
      <c r="M186" s="21" t="s">
        <v>2</v>
      </c>
      <c r="N186" s="49"/>
      <c r="O186" s="49"/>
      <c r="P186" s="138"/>
      <c r="Q186" s="23"/>
      <c r="S186" s="101"/>
      <c r="T186" s="22"/>
    </row>
    <row r="187" spans="1:20" x14ac:dyDescent="0.25">
      <c r="A187" s="15">
        <v>30</v>
      </c>
      <c r="B187" s="21" t="s">
        <v>4</v>
      </c>
      <c r="C187" s="51">
        <v>0.41666666666666669</v>
      </c>
      <c r="D187" s="51">
        <v>0.5625</v>
      </c>
      <c r="E187" s="138">
        <v>3.5</v>
      </c>
      <c r="F187" s="23"/>
      <c r="G187" s="22" t="s">
        <v>233</v>
      </c>
      <c r="I187" s="57"/>
      <c r="L187" s="15">
        <v>29</v>
      </c>
      <c r="M187" s="21" t="s">
        <v>3</v>
      </c>
      <c r="N187" s="48"/>
      <c r="O187" s="49"/>
      <c r="P187" s="138"/>
      <c r="Q187" s="23"/>
      <c r="S187" s="101"/>
      <c r="T187" s="22"/>
    </row>
    <row r="188" spans="1:20" ht="30" x14ac:dyDescent="0.25">
      <c r="A188" s="15">
        <v>31</v>
      </c>
      <c r="B188" s="21" t="s">
        <v>5</v>
      </c>
      <c r="C188" s="51">
        <v>0.4375</v>
      </c>
      <c r="D188" s="51">
        <v>0.52083333333333337</v>
      </c>
      <c r="E188" s="22">
        <v>2</v>
      </c>
      <c r="F188" s="22"/>
      <c r="G188" s="22" t="s">
        <v>233</v>
      </c>
      <c r="I188" s="57"/>
      <c r="L188" s="15">
        <v>30</v>
      </c>
      <c r="M188" s="21" t="s">
        <v>4</v>
      </c>
      <c r="N188" s="51">
        <v>0.41666666666666669</v>
      </c>
      <c r="O188" s="51">
        <v>0.5625</v>
      </c>
      <c r="P188" s="138">
        <v>3.5</v>
      </c>
      <c r="Q188" s="23"/>
      <c r="S188" s="57" t="s">
        <v>233</v>
      </c>
      <c r="T188" s="22"/>
    </row>
    <row r="189" spans="1:20" ht="30" x14ac:dyDescent="0.25">
      <c r="B189" s="21"/>
      <c r="C189" s="139">
        <v>4.1666666666666664E-2</v>
      </c>
      <c r="D189" s="139">
        <v>0.125</v>
      </c>
      <c r="E189" s="140">
        <v>2</v>
      </c>
      <c r="F189" s="135"/>
      <c r="G189" s="141" t="s">
        <v>24</v>
      </c>
      <c r="I189" s="57"/>
      <c r="L189" s="15">
        <v>31</v>
      </c>
      <c r="M189" s="21" t="s">
        <v>5</v>
      </c>
      <c r="N189" s="51">
        <v>0.4375</v>
      </c>
      <c r="O189" s="51">
        <v>0.52083333333333337</v>
      </c>
      <c r="P189" s="22">
        <v>2</v>
      </c>
      <c r="Q189" s="22"/>
      <c r="S189" s="57" t="s">
        <v>233</v>
      </c>
      <c r="T189" s="22"/>
    </row>
    <row r="190" spans="1:20" ht="30" x14ac:dyDescent="0.25">
      <c r="A190" s="15">
        <v>1</v>
      </c>
      <c r="B190" s="21" t="s">
        <v>6</v>
      </c>
      <c r="C190" s="51">
        <v>0.41666666666666669</v>
      </c>
      <c r="D190" s="51">
        <v>0.58333333333333337</v>
      </c>
      <c r="E190" s="138">
        <v>4</v>
      </c>
      <c r="F190" s="23"/>
      <c r="G190" s="21" t="s">
        <v>240</v>
      </c>
      <c r="I190" s="57"/>
      <c r="M190" s="21"/>
      <c r="N190" s="139">
        <v>4.1666666666666664E-2</v>
      </c>
      <c r="O190" s="139">
        <v>0.125</v>
      </c>
      <c r="P190" s="140">
        <v>2</v>
      </c>
      <c r="Q190" s="135"/>
      <c r="S190" s="143" t="s">
        <v>24</v>
      </c>
      <c r="T190" s="22"/>
    </row>
    <row r="191" spans="1:20" ht="75" x14ac:dyDescent="0.25">
      <c r="A191" s="15">
        <v>2</v>
      </c>
      <c r="B191" s="21" t="s">
        <v>7</v>
      </c>
      <c r="C191" s="51">
        <v>0.4375</v>
      </c>
      <c r="D191" s="51">
        <v>0.5625</v>
      </c>
      <c r="E191" s="138">
        <v>3.5</v>
      </c>
      <c r="F191" s="23"/>
      <c r="G191" s="21" t="s">
        <v>235</v>
      </c>
      <c r="I191" s="57"/>
      <c r="L191" s="15">
        <v>1</v>
      </c>
      <c r="M191" s="21" t="s">
        <v>6</v>
      </c>
      <c r="N191" s="51">
        <v>0.41666666666666669</v>
      </c>
      <c r="O191" s="51">
        <v>0.58333333333333337</v>
      </c>
      <c r="P191" s="138">
        <v>4</v>
      </c>
      <c r="Q191" s="23"/>
      <c r="S191" s="101" t="s">
        <v>240</v>
      </c>
      <c r="T191" s="22"/>
    </row>
    <row r="192" spans="1:20" ht="60" x14ac:dyDescent="0.25">
      <c r="A192" s="15">
        <v>3</v>
      </c>
      <c r="B192" s="21" t="s">
        <v>8</v>
      </c>
      <c r="C192" s="49"/>
      <c r="D192" s="49"/>
      <c r="E192" s="138"/>
      <c r="F192" s="23"/>
      <c r="G192" s="21"/>
      <c r="I192" s="57"/>
      <c r="L192" s="15">
        <v>2</v>
      </c>
      <c r="M192" s="21" t="s">
        <v>7</v>
      </c>
      <c r="N192" s="51">
        <v>0.4375</v>
      </c>
      <c r="O192" s="51">
        <v>0.5625</v>
      </c>
      <c r="P192" s="138">
        <v>3.5</v>
      </c>
      <c r="Q192" s="23"/>
      <c r="S192" s="101" t="s">
        <v>235</v>
      </c>
      <c r="T192" s="22"/>
    </row>
    <row r="193" spans="1:25" x14ac:dyDescent="0.25">
      <c r="B193" s="13" t="s">
        <v>26</v>
      </c>
      <c r="C193" s="32"/>
      <c r="D193" s="32"/>
      <c r="E193" s="32">
        <f>SUM(E185:E192)</f>
        <v>15</v>
      </c>
      <c r="G193" s="22"/>
      <c r="I193" s="57"/>
      <c r="L193" s="15">
        <v>3</v>
      </c>
      <c r="M193" s="21" t="s">
        <v>8</v>
      </c>
      <c r="N193" s="49"/>
      <c r="O193" s="49"/>
      <c r="P193" s="138"/>
      <c r="Q193" s="23"/>
      <c r="S193" s="101"/>
      <c r="T193" s="22"/>
    </row>
    <row r="194" spans="1:25" x14ac:dyDescent="0.25">
      <c r="I194" s="57"/>
      <c r="M194" s="22"/>
      <c r="N194" s="22"/>
      <c r="O194" s="22"/>
      <c r="P194" s="22">
        <f>+SUM(P188:P192)</f>
        <v>15</v>
      </c>
      <c r="Q194" s="22"/>
      <c r="S194" s="57"/>
      <c r="T194" s="22"/>
    </row>
    <row r="195" spans="1:25" x14ac:dyDescent="0.25">
      <c r="B195" s="13" t="s">
        <v>133</v>
      </c>
      <c r="C195" s="13" t="s">
        <v>11</v>
      </c>
      <c r="D195" s="13" t="s">
        <v>12</v>
      </c>
      <c r="E195" s="13" t="s">
        <v>13</v>
      </c>
      <c r="F195" s="13" t="s">
        <v>14</v>
      </c>
      <c r="G195" s="20" t="s">
        <v>0</v>
      </c>
      <c r="I195" s="57"/>
      <c r="M195" s="22"/>
      <c r="N195" s="22"/>
      <c r="O195" s="22"/>
      <c r="P195" s="22"/>
      <c r="Q195" s="22"/>
      <c r="S195" s="57"/>
      <c r="T195" s="22"/>
    </row>
    <row r="196" spans="1:25" x14ac:dyDescent="0.25">
      <c r="A196" s="15">
        <v>4</v>
      </c>
      <c r="B196" s="21" t="s">
        <v>2</v>
      </c>
      <c r="C196" s="49"/>
      <c r="D196" s="49"/>
      <c r="E196" s="138"/>
      <c r="F196" s="23"/>
      <c r="G196" s="21"/>
      <c r="I196" s="57"/>
      <c r="L196" s="27" t="s">
        <v>241</v>
      </c>
      <c r="M196" s="20" t="s">
        <v>242</v>
      </c>
      <c r="N196" s="20" t="s">
        <v>11</v>
      </c>
      <c r="O196" s="20" t="s">
        <v>12</v>
      </c>
      <c r="P196" s="20" t="s">
        <v>13</v>
      </c>
      <c r="Q196" s="20" t="s">
        <v>14</v>
      </c>
      <c r="S196" s="57"/>
      <c r="T196" s="22"/>
    </row>
    <row r="197" spans="1:25" x14ac:dyDescent="0.25">
      <c r="A197" s="15">
        <v>5</v>
      </c>
      <c r="B197" s="21" t="s">
        <v>3</v>
      </c>
      <c r="C197" s="48"/>
      <c r="D197" s="49"/>
      <c r="E197" s="138"/>
      <c r="F197" s="23"/>
      <c r="G197" s="21"/>
      <c r="I197" s="57"/>
      <c r="L197" s="15">
        <v>4</v>
      </c>
      <c r="M197" s="21" t="s">
        <v>2</v>
      </c>
      <c r="N197" s="49"/>
      <c r="O197" s="49"/>
      <c r="P197" s="138"/>
      <c r="Q197" s="23"/>
      <c r="S197" s="101"/>
      <c r="T197" s="22"/>
    </row>
    <row r="198" spans="1:25" x14ac:dyDescent="0.25">
      <c r="A198" s="15">
        <v>6</v>
      </c>
      <c r="B198" s="21" t="s">
        <v>4</v>
      </c>
      <c r="C198" s="51">
        <v>0.41666666666666669</v>
      </c>
      <c r="D198" s="51">
        <v>0.5625</v>
      </c>
      <c r="E198" s="138">
        <v>3.5</v>
      </c>
      <c r="F198" s="23"/>
      <c r="G198" s="22" t="s">
        <v>233</v>
      </c>
      <c r="I198" s="57"/>
      <c r="L198" s="15">
        <v>5</v>
      </c>
      <c r="M198" s="21" t="s">
        <v>3</v>
      </c>
      <c r="N198" s="48"/>
      <c r="O198" s="49"/>
      <c r="P198" s="138"/>
      <c r="Q198" s="23"/>
      <c r="S198" s="101"/>
      <c r="T198" s="22"/>
    </row>
    <row r="199" spans="1:25" ht="30" x14ac:dyDescent="0.25">
      <c r="A199" s="15">
        <v>7</v>
      </c>
      <c r="B199" s="21" t="s">
        <v>5</v>
      </c>
      <c r="C199" s="51">
        <v>0.4375</v>
      </c>
      <c r="D199" s="51">
        <v>0.52083333333333337</v>
      </c>
      <c r="E199" s="22">
        <v>2</v>
      </c>
      <c r="F199" s="22"/>
      <c r="G199" s="22" t="s">
        <v>243</v>
      </c>
      <c r="I199" s="57"/>
      <c r="L199" s="15">
        <v>6</v>
      </c>
      <c r="M199" s="21" t="s">
        <v>4</v>
      </c>
      <c r="N199" s="51">
        <v>0.41666666666666669</v>
      </c>
      <c r="O199" s="51">
        <v>0.5625</v>
      </c>
      <c r="P199" s="138">
        <v>3.5</v>
      </c>
      <c r="Q199" s="23"/>
      <c r="S199" s="57" t="s">
        <v>233</v>
      </c>
      <c r="T199" s="22"/>
    </row>
    <row r="200" spans="1:25" ht="45" x14ac:dyDescent="0.25">
      <c r="B200" s="21"/>
      <c r="C200" s="139">
        <v>4.1666666666666664E-2</v>
      </c>
      <c r="D200" s="139">
        <v>0.125</v>
      </c>
      <c r="E200" s="140">
        <v>2</v>
      </c>
      <c r="F200" s="135"/>
      <c r="G200" s="141" t="s">
        <v>24</v>
      </c>
      <c r="I200" s="57"/>
      <c r="L200" s="15">
        <v>7</v>
      </c>
      <c r="M200" s="21" t="s">
        <v>5</v>
      </c>
      <c r="N200" s="51">
        <v>0.4375</v>
      </c>
      <c r="O200" s="51">
        <v>0.52083333333333337</v>
      </c>
      <c r="P200" s="22">
        <v>2</v>
      </c>
      <c r="Q200" s="22"/>
      <c r="S200" s="57" t="s">
        <v>243</v>
      </c>
      <c r="T200" s="22"/>
    </row>
    <row r="201" spans="1:25" x14ac:dyDescent="0.25">
      <c r="A201" s="15">
        <v>8</v>
      </c>
      <c r="B201" s="21" t="s">
        <v>6</v>
      </c>
      <c r="C201" s="51">
        <v>0.41666666666666669</v>
      </c>
      <c r="D201" s="51">
        <v>0.58333333333333337</v>
      </c>
      <c r="E201" s="138">
        <v>4</v>
      </c>
      <c r="F201" s="23"/>
      <c r="G201" s="21" t="s">
        <v>244</v>
      </c>
      <c r="I201" s="57"/>
      <c r="M201" s="21"/>
      <c r="N201" s="139">
        <v>4.1666666666666664E-2</v>
      </c>
      <c r="O201" s="139">
        <v>0.125</v>
      </c>
      <c r="P201" s="140">
        <v>2</v>
      </c>
      <c r="Q201" s="135"/>
      <c r="S201" s="143" t="s">
        <v>24</v>
      </c>
      <c r="T201" s="22"/>
    </row>
    <row r="202" spans="1:25" ht="60" x14ac:dyDescent="0.25">
      <c r="A202" s="15">
        <v>9</v>
      </c>
      <c r="B202" s="21" t="s">
        <v>7</v>
      </c>
      <c r="C202" s="51">
        <v>0.4375</v>
      </c>
      <c r="D202" s="51">
        <v>0.5625</v>
      </c>
      <c r="E202" s="138">
        <v>3.5</v>
      </c>
      <c r="F202" s="23"/>
      <c r="G202" s="21" t="s">
        <v>245</v>
      </c>
      <c r="I202" s="57"/>
      <c r="L202" s="15">
        <v>8</v>
      </c>
      <c r="M202" s="21" t="s">
        <v>6</v>
      </c>
      <c r="N202" s="51">
        <v>0.41666666666666669</v>
      </c>
      <c r="O202" s="51">
        <v>0.58333333333333337</v>
      </c>
      <c r="P202" s="138">
        <v>4</v>
      </c>
      <c r="Q202" s="23"/>
      <c r="S202" s="101" t="s">
        <v>244</v>
      </c>
      <c r="T202" s="22"/>
    </row>
    <row r="203" spans="1:25" ht="60" x14ac:dyDescent="0.25">
      <c r="A203" s="15">
        <v>10</v>
      </c>
      <c r="B203" s="21" t="s">
        <v>8</v>
      </c>
      <c r="C203" s="49"/>
      <c r="D203" s="49"/>
      <c r="E203" s="138"/>
      <c r="F203" s="23"/>
      <c r="G203" s="21"/>
      <c r="I203" s="57"/>
      <c r="L203" s="15">
        <v>9</v>
      </c>
      <c r="M203" s="21" t="s">
        <v>7</v>
      </c>
      <c r="N203" s="51">
        <v>0.4375</v>
      </c>
      <c r="O203" s="51">
        <v>0.5625</v>
      </c>
      <c r="P203" s="138">
        <v>3.5</v>
      </c>
      <c r="Q203" s="23"/>
      <c r="S203" s="101" t="s">
        <v>245</v>
      </c>
      <c r="T203" s="22"/>
      <c r="U203" s="22"/>
      <c r="V203" s="22"/>
      <c r="W203" s="22"/>
      <c r="X203" s="22"/>
      <c r="Y203" s="22"/>
    </row>
    <row r="204" spans="1:25" ht="30" x14ac:dyDescent="0.25">
      <c r="B204" s="13" t="s">
        <v>26</v>
      </c>
      <c r="C204" s="32"/>
      <c r="D204" s="32"/>
      <c r="E204" s="289">
        <f>SUM(E196:E203)</f>
        <v>15</v>
      </c>
      <c r="F204" s="115" t="s">
        <v>393</v>
      </c>
      <c r="G204" s="145" t="s">
        <v>397</v>
      </c>
      <c r="I204" s="57"/>
      <c r="L204" s="15">
        <v>10</v>
      </c>
      <c r="M204" s="21" t="s">
        <v>8</v>
      </c>
      <c r="N204" s="49"/>
      <c r="O204" s="49"/>
      <c r="P204" s="138"/>
      <c r="Q204" s="23"/>
      <c r="S204" s="101"/>
      <c r="T204" s="22"/>
      <c r="U204" s="22"/>
      <c r="V204" s="22"/>
      <c r="W204" s="22"/>
      <c r="X204" s="22"/>
      <c r="Y204" s="22"/>
    </row>
    <row r="205" spans="1:25" x14ac:dyDescent="0.25">
      <c r="A205" s="144" t="s">
        <v>404</v>
      </c>
      <c r="B205" s="35" t="s">
        <v>227</v>
      </c>
      <c r="C205" s="60"/>
      <c r="D205" s="61"/>
      <c r="E205" s="35">
        <f>SUM(E204,E193)</f>
        <v>30</v>
      </c>
      <c r="F205" s="115">
        <f>SUM(Angelica_hist!G35)</f>
        <v>30</v>
      </c>
      <c r="G205" s="311">
        <f>SUM(E205+G180)-F205</f>
        <v>-7</v>
      </c>
      <c r="H205" s="43"/>
      <c r="I205" s="57"/>
      <c r="M205" s="21"/>
      <c r="N205" s="49"/>
      <c r="O205" s="49"/>
      <c r="P205" s="22">
        <f>+SUM(P199:P203)</f>
        <v>15</v>
      </c>
      <c r="Q205" s="23"/>
      <c r="S205" s="101"/>
      <c r="T205" s="22"/>
      <c r="U205" s="22"/>
      <c r="V205" s="22"/>
      <c r="W205" s="22"/>
      <c r="X205" s="22"/>
      <c r="Y205" s="22"/>
    </row>
    <row r="206" spans="1:25" x14ac:dyDescent="0.25">
      <c r="C206" s="32"/>
      <c r="D206" s="32"/>
      <c r="E206" s="289"/>
      <c r="I206" s="57"/>
      <c r="M206" s="22"/>
      <c r="N206" s="22"/>
      <c r="O206" s="22"/>
      <c r="P206" s="22"/>
      <c r="Q206" s="22"/>
      <c r="S206" s="57"/>
      <c r="T206" s="22"/>
      <c r="U206" s="22"/>
      <c r="V206" s="22"/>
      <c r="W206" s="22"/>
      <c r="X206" s="22"/>
      <c r="Y206" s="22"/>
    </row>
    <row r="207" spans="1:25" x14ac:dyDescent="0.25">
      <c r="A207" s="22"/>
      <c r="B207" s="22"/>
      <c r="C207" s="53"/>
      <c r="D207" s="53"/>
      <c r="E207" s="20"/>
      <c r="F207" s="22"/>
      <c r="G207" s="22"/>
      <c r="I207" s="57"/>
      <c r="L207" s="27" t="s">
        <v>246</v>
      </c>
      <c r="M207" s="20" t="s">
        <v>138</v>
      </c>
      <c r="N207" s="20" t="s">
        <v>11</v>
      </c>
      <c r="O207" s="20" t="s">
        <v>12</v>
      </c>
      <c r="P207" s="20" t="s">
        <v>13</v>
      </c>
      <c r="Q207" s="20" t="s">
        <v>14</v>
      </c>
      <c r="S207" s="57"/>
      <c r="T207" s="22"/>
      <c r="U207" s="22"/>
      <c r="V207" s="22"/>
      <c r="W207" s="22"/>
      <c r="X207" s="22"/>
      <c r="Y207" s="22"/>
    </row>
    <row r="208" spans="1:25" x14ac:dyDescent="0.25">
      <c r="A208" s="22"/>
      <c r="B208" s="22"/>
      <c r="C208" s="22"/>
      <c r="D208" s="22"/>
      <c r="E208" s="22"/>
      <c r="F208" s="22"/>
      <c r="G208" s="22"/>
      <c r="I208" s="57"/>
      <c r="L208" s="15">
        <v>11</v>
      </c>
      <c r="M208" s="21" t="s">
        <v>2</v>
      </c>
      <c r="N208" s="49"/>
      <c r="O208" s="49"/>
      <c r="P208" s="138"/>
      <c r="Q208" s="23"/>
      <c r="S208" s="101"/>
      <c r="T208" s="22"/>
      <c r="U208" s="22"/>
      <c r="V208" s="22"/>
      <c r="W208" s="22"/>
      <c r="X208" s="22"/>
      <c r="Y208" s="22"/>
    </row>
    <row r="209" spans="1:25" x14ac:dyDescent="0.25">
      <c r="B209" s="13" t="s">
        <v>138</v>
      </c>
      <c r="C209" s="13" t="s">
        <v>11</v>
      </c>
      <c r="D209" s="13" t="s">
        <v>12</v>
      </c>
      <c r="E209" s="13" t="s">
        <v>13</v>
      </c>
      <c r="F209" s="13" t="s">
        <v>14</v>
      </c>
      <c r="G209" s="20" t="s">
        <v>0</v>
      </c>
      <c r="I209" s="57"/>
      <c r="L209" s="15">
        <v>12</v>
      </c>
      <c r="M209" s="21" t="s">
        <v>3</v>
      </c>
      <c r="N209" s="48"/>
      <c r="O209" s="49"/>
      <c r="P209" s="138"/>
      <c r="Q209" s="23"/>
      <c r="S209" s="101"/>
      <c r="T209" s="22"/>
      <c r="U209" s="22"/>
      <c r="V209" s="22"/>
      <c r="W209" s="22"/>
      <c r="X209" s="22"/>
      <c r="Y209" s="22"/>
    </row>
    <row r="210" spans="1:25" ht="30" x14ac:dyDescent="0.25">
      <c r="A210" s="15">
        <v>11</v>
      </c>
      <c r="B210" s="21" t="s">
        <v>2</v>
      </c>
      <c r="C210" s="49"/>
      <c r="D210" s="49"/>
      <c r="E210" s="138"/>
      <c r="F210" s="23"/>
      <c r="G210" s="21"/>
      <c r="I210" s="57"/>
      <c r="L210" s="15">
        <v>13</v>
      </c>
      <c r="M210" s="21" t="s">
        <v>4</v>
      </c>
      <c r="N210" s="51">
        <v>0.41666666666666669</v>
      </c>
      <c r="O210" s="51">
        <v>0.5625</v>
      </c>
      <c r="P210" s="138">
        <v>3.5</v>
      </c>
      <c r="Q210" s="23"/>
      <c r="S210" s="57" t="s">
        <v>233</v>
      </c>
      <c r="T210" s="22"/>
      <c r="U210" s="22"/>
      <c r="V210" s="22"/>
      <c r="W210" s="22"/>
      <c r="X210" s="22"/>
      <c r="Y210" s="22"/>
    </row>
    <row r="211" spans="1:25" ht="30" x14ac:dyDescent="0.25">
      <c r="A211" s="15">
        <v>12</v>
      </c>
      <c r="B211" s="21" t="s">
        <v>3</v>
      </c>
      <c r="C211" s="48"/>
      <c r="D211" s="49"/>
      <c r="E211" s="138"/>
      <c r="F211" s="23"/>
      <c r="G211" s="21"/>
      <c r="I211" s="57"/>
      <c r="L211" s="15">
        <v>14</v>
      </c>
      <c r="M211" s="21" t="s">
        <v>5</v>
      </c>
      <c r="N211" s="51">
        <v>0.4375</v>
      </c>
      <c r="O211" s="51">
        <v>0.52083333333333337</v>
      </c>
      <c r="P211" s="22">
        <v>2</v>
      </c>
      <c r="Q211" s="22"/>
      <c r="S211" s="57" t="s">
        <v>233</v>
      </c>
      <c r="T211" s="22"/>
      <c r="U211" s="22"/>
      <c r="V211" s="22"/>
      <c r="W211" s="22"/>
      <c r="X211" s="22"/>
      <c r="Y211" s="22"/>
    </row>
    <row r="212" spans="1:25" x14ac:dyDescent="0.25">
      <c r="A212" s="15">
        <v>13</v>
      </c>
      <c r="B212" s="21" t="s">
        <v>4</v>
      </c>
      <c r="C212" s="51">
        <v>0.41666666666666669</v>
      </c>
      <c r="D212" s="51">
        <v>0.5625</v>
      </c>
      <c r="E212" s="138">
        <v>3.5</v>
      </c>
      <c r="F212" s="23"/>
      <c r="G212" s="22" t="s">
        <v>233</v>
      </c>
      <c r="I212" s="57"/>
      <c r="M212" s="21"/>
      <c r="N212" s="139">
        <v>4.1666666666666664E-2</v>
      </c>
      <c r="O212" s="139">
        <v>0.125</v>
      </c>
      <c r="P212" s="140">
        <v>2</v>
      </c>
      <c r="Q212" s="135"/>
      <c r="S212" s="143" t="s">
        <v>24</v>
      </c>
      <c r="T212" s="22"/>
      <c r="U212" s="22"/>
      <c r="V212" s="22"/>
      <c r="W212" s="22"/>
      <c r="X212" s="22"/>
      <c r="Y212" s="22"/>
    </row>
    <row r="213" spans="1:25" ht="60" x14ac:dyDescent="0.25">
      <c r="A213" s="15">
        <v>14</v>
      </c>
      <c r="B213" s="21" t="s">
        <v>5</v>
      </c>
      <c r="C213" s="51">
        <v>0.4375</v>
      </c>
      <c r="D213" s="51">
        <v>0.52083333333333337</v>
      </c>
      <c r="E213" s="22">
        <v>2</v>
      </c>
      <c r="F213" s="22"/>
      <c r="G213" s="22" t="s">
        <v>233</v>
      </c>
      <c r="I213" s="57"/>
      <c r="L213" s="15">
        <v>15</v>
      </c>
      <c r="M213" s="21" t="s">
        <v>6</v>
      </c>
      <c r="N213" s="51">
        <v>0.41666666666666669</v>
      </c>
      <c r="O213" s="51">
        <v>0.58333333333333337</v>
      </c>
      <c r="P213" s="138">
        <v>4</v>
      </c>
      <c r="Q213" s="23"/>
      <c r="S213" s="101" t="s">
        <v>247</v>
      </c>
      <c r="T213" s="22"/>
      <c r="U213" s="22"/>
      <c r="V213" s="22"/>
      <c r="W213" s="22"/>
      <c r="X213" s="22"/>
      <c r="Y213" s="22"/>
    </row>
    <row r="214" spans="1:25" ht="45" x14ac:dyDescent="0.25">
      <c r="B214" s="21"/>
      <c r="C214" s="139">
        <v>4.1666666666666664E-2</v>
      </c>
      <c r="D214" s="139">
        <v>0.125</v>
      </c>
      <c r="E214" s="140">
        <v>2</v>
      </c>
      <c r="F214" s="135"/>
      <c r="G214" s="141" t="s">
        <v>24</v>
      </c>
      <c r="I214" s="57"/>
      <c r="L214" s="15">
        <v>16</v>
      </c>
      <c r="M214" s="21" t="s">
        <v>7</v>
      </c>
      <c r="N214" s="51">
        <v>0.4375</v>
      </c>
      <c r="O214" s="51">
        <v>0.5625</v>
      </c>
      <c r="P214" s="138">
        <v>3.5</v>
      </c>
      <c r="Q214" s="23"/>
      <c r="S214" s="101" t="s">
        <v>248</v>
      </c>
      <c r="T214" s="22"/>
      <c r="U214" s="22"/>
      <c r="V214" s="22"/>
      <c r="W214" s="22"/>
      <c r="X214" s="22"/>
      <c r="Y214" s="22"/>
    </row>
    <row r="215" spans="1:25" x14ac:dyDescent="0.25">
      <c r="A215" s="15">
        <v>15</v>
      </c>
      <c r="B215" s="21" t="s">
        <v>6</v>
      </c>
      <c r="C215" s="51">
        <v>0.41666666666666669</v>
      </c>
      <c r="D215" s="51">
        <v>0.58333333333333337</v>
      </c>
      <c r="E215" s="138">
        <v>4</v>
      </c>
      <c r="F215" s="23"/>
      <c r="G215" s="21" t="s">
        <v>247</v>
      </c>
      <c r="I215" s="57"/>
      <c r="L215" s="15">
        <v>17</v>
      </c>
      <c r="M215" s="21" t="s">
        <v>8</v>
      </c>
      <c r="N215" s="49"/>
      <c r="O215" s="49"/>
      <c r="P215" s="138"/>
      <c r="Q215" s="23"/>
      <c r="S215" s="101"/>
      <c r="T215" s="22"/>
      <c r="U215" s="22"/>
      <c r="V215" s="22"/>
      <c r="W215" s="22"/>
      <c r="X215" s="22"/>
      <c r="Y215" s="22"/>
    </row>
    <row r="216" spans="1:25" x14ac:dyDescent="0.25">
      <c r="A216" s="15">
        <v>16</v>
      </c>
      <c r="B216" s="21" t="s">
        <v>7</v>
      </c>
      <c r="C216" s="51">
        <v>0.4375</v>
      </c>
      <c r="D216" s="51">
        <v>0.5625</v>
      </c>
      <c r="E216" s="138">
        <v>3.5</v>
      </c>
      <c r="F216" s="23"/>
      <c r="G216" s="21" t="s">
        <v>248</v>
      </c>
      <c r="I216" s="57"/>
      <c r="M216" s="21"/>
      <c r="N216" s="49"/>
      <c r="O216" s="49"/>
      <c r="P216" s="22">
        <f>+SUM(P210:P214)</f>
        <v>15</v>
      </c>
      <c r="Q216" s="23"/>
      <c r="S216" s="101"/>
      <c r="T216" s="22"/>
      <c r="U216" s="22"/>
      <c r="V216" s="22"/>
      <c r="W216" s="22"/>
      <c r="X216" s="22"/>
      <c r="Y216" s="22"/>
    </row>
    <row r="217" spans="1:25" x14ac:dyDescent="0.25">
      <c r="A217" s="15">
        <v>17</v>
      </c>
      <c r="B217" s="21" t="s">
        <v>8</v>
      </c>
      <c r="C217" s="49"/>
      <c r="D217" s="49"/>
      <c r="E217" s="138"/>
      <c r="F217" s="23"/>
      <c r="G217" s="21"/>
      <c r="I217" s="57"/>
      <c r="M217" s="22"/>
      <c r="N217" s="22"/>
      <c r="O217" s="22"/>
      <c r="P217" s="22"/>
      <c r="Q217" s="22"/>
      <c r="S217" s="57"/>
      <c r="T217" s="22"/>
      <c r="U217" s="22"/>
      <c r="V217" s="22"/>
      <c r="W217" s="22"/>
      <c r="X217" s="22"/>
      <c r="Y217" s="22"/>
    </row>
    <row r="218" spans="1:25" x14ac:dyDescent="0.25">
      <c r="B218" s="13" t="s">
        <v>26</v>
      </c>
      <c r="C218" s="32"/>
      <c r="D218" s="32"/>
      <c r="E218" s="32">
        <f>SUM(E210:E217)</f>
        <v>15</v>
      </c>
      <c r="I218" s="57"/>
      <c r="S218" s="57"/>
      <c r="T218" s="22"/>
      <c r="U218" s="22"/>
      <c r="V218" s="22"/>
      <c r="W218" s="22"/>
      <c r="X218" s="22"/>
      <c r="Y218" s="22"/>
    </row>
    <row r="219" spans="1:25" x14ac:dyDescent="0.25">
      <c r="I219" s="57"/>
      <c r="S219" s="57"/>
      <c r="T219" s="22"/>
      <c r="U219" s="22"/>
      <c r="V219" s="22"/>
      <c r="W219" s="22"/>
      <c r="X219" s="22"/>
      <c r="Y219" s="22"/>
    </row>
    <row r="220" spans="1:25" x14ac:dyDescent="0.25">
      <c r="A220" s="124"/>
      <c r="B220" s="120" t="s">
        <v>140</v>
      </c>
      <c r="C220" s="120" t="s">
        <v>11</v>
      </c>
      <c r="D220" s="120" t="s">
        <v>12</v>
      </c>
      <c r="E220" s="120" t="s">
        <v>13</v>
      </c>
      <c r="F220" s="120" t="s">
        <v>14</v>
      </c>
      <c r="G220" s="120" t="s">
        <v>0</v>
      </c>
      <c r="H220" s="585" t="s">
        <v>405</v>
      </c>
      <c r="I220" s="57"/>
      <c r="S220" s="57"/>
      <c r="T220" s="22"/>
      <c r="U220" s="22"/>
      <c r="V220" s="22"/>
      <c r="W220" s="22"/>
      <c r="X220" s="22"/>
      <c r="Y220" s="22"/>
    </row>
    <row r="221" spans="1:25" x14ac:dyDescent="0.25">
      <c r="A221" s="124"/>
      <c r="B221" s="121" t="s">
        <v>2</v>
      </c>
      <c r="C221" s="136"/>
      <c r="D221" s="122"/>
      <c r="E221" s="121"/>
      <c r="F221" s="123"/>
      <c r="G221" s="121"/>
      <c r="H221" s="585"/>
      <c r="I221" s="57"/>
      <c r="S221" s="57"/>
      <c r="T221" s="22"/>
      <c r="U221" s="22"/>
      <c r="V221" s="22"/>
      <c r="W221" s="22"/>
      <c r="X221" s="22"/>
      <c r="Y221" s="22"/>
    </row>
    <row r="222" spans="1:25" x14ac:dyDescent="0.25">
      <c r="A222" s="124"/>
      <c r="B222" s="121" t="s">
        <v>3</v>
      </c>
      <c r="C222" s="125"/>
      <c r="D222" s="125"/>
      <c r="E222" s="124"/>
      <c r="F222" s="124"/>
      <c r="G222" s="124"/>
      <c r="H222" s="585"/>
      <c r="I222" s="57"/>
      <c r="S222" s="57"/>
      <c r="T222" s="22"/>
      <c r="U222" s="22"/>
      <c r="V222" s="22"/>
      <c r="W222" s="22"/>
      <c r="X222" s="22"/>
      <c r="Y222" s="22"/>
    </row>
    <row r="223" spans="1:25" x14ac:dyDescent="0.25">
      <c r="A223" s="124"/>
      <c r="B223" s="121" t="s">
        <v>4</v>
      </c>
      <c r="C223" s="125"/>
      <c r="D223" s="125"/>
      <c r="E223" s="124"/>
      <c r="F223" s="124"/>
      <c r="G223" s="121"/>
      <c r="H223" s="585"/>
      <c r="I223" s="57"/>
      <c r="S223" s="57"/>
      <c r="T223" s="22"/>
      <c r="U223" s="22"/>
      <c r="V223" s="22"/>
      <c r="W223" s="22"/>
      <c r="X223" s="22"/>
      <c r="Y223" s="22"/>
    </row>
    <row r="224" spans="1:25" x14ac:dyDescent="0.25">
      <c r="A224" s="124"/>
      <c r="B224" s="121" t="s">
        <v>5</v>
      </c>
      <c r="C224" s="122"/>
      <c r="D224" s="122"/>
      <c r="E224" s="121"/>
      <c r="F224" s="123"/>
      <c r="G224" s="121"/>
      <c r="H224" s="585"/>
      <c r="I224" s="57"/>
      <c r="S224" s="57"/>
      <c r="T224" s="22"/>
      <c r="U224" s="22"/>
      <c r="V224" s="22"/>
      <c r="W224" s="22"/>
      <c r="X224" s="22"/>
      <c r="Y224" s="22"/>
    </row>
    <row r="225" spans="1:25" x14ac:dyDescent="0.25">
      <c r="A225" s="124"/>
      <c r="B225" s="121" t="s">
        <v>6</v>
      </c>
      <c r="C225" s="126"/>
      <c r="D225" s="126"/>
      <c r="E225" s="121"/>
      <c r="F225" s="124"/>
      <c r="G225" s="123"/>
      <c r="H225" s="585"/>
      <c r="I225" s="57"/>
      <c r="S225" s="57"/>
      <c r="T225" s="22"/>
      <c r="U225" s="22"/>
      <c r="V225" s="22"/>
      <c r="W225" s="22"/>
      <c r="X225" s="22"/>
      <c r="Y225" s="22"/>
    </row>
    <row r="226" spans="1:25" x14ac:dyDescent="0.25">
      <c r="A226" s="124"/>
      <c r="B226" s="121" t="s">
        <v>7</v>
      </c>
      <c r="C226" s="126"/>
      <c r="D226" s="126"/>
      <c r="E226" s="121"/>
      <c r="F226" s="123"/>
      <c r="G226" s="121"/>
      <c r="H226" s="585"/>
      <c r="I226" s="57"/>
      <c r="S226" s="57"/>
      <c r="T226" s="22"/>
      <c r="U226" s="22"/>
      <c r="V226" s="22"/>
      <c r="W226" s="22"/>
      <c r="X226" s="22"/>
      <c r="Y226" s="22"/>
    </row>
    <row r="227" spans="1:25" x14ac:dyDescent="0.25">
      <c r="A227" s="124"/>
      <c r="B227" s="121" t="s">
        <v>8</v>
      </c>
      <c r="C227" s="122"/>
      <c r="D227" s="122"/>
      <c r="E227" s="121"/>
      <c r="F227" s="123"/>
      <c r="G227" s="121"/>
      <c r="H227" s="585"/>
      <c r="I227" s="57"/>
      <c r="S227" s="57"/>
      <c r="T227" s="22"/>
      <c r="U227" s="22"/>
      <c r="V227" s="22"/>
      <c r="W227" s="22"/>
      <c r="X227" s="22"/>
      <c r="Y227" s="22"/>
    </row>
    <row r="228" spans="1:25" ht="30" x14ac:dyDescent="0.25">
      <c r="A228" s="121"/>
      <c r="B228" s="120" t="s">
        <v>26</v>
      </c>
      <c r="C228" s="127"/>
      <c r="D228" s="127"/>
      <c r="E228" s="32">
        <f>SUM(E220:E227)</f>
        <v>0</v>
      </c>
      <c r="F228" s="115" t="s">
        <v>393</v>
      </c>
      <c r="G228" s="145" t="s">
        <v>397</v>
      </c>
      <c r="H228" s="585"/>
      <c r="I228" s="57"/>
      <c r="S228" s="57"/>
      <c r="T228" s="22"/>
      <c r="U228" s="22"/>
      <c r="V228" s="22"/>
      <c r="W228" s="22"/>
      <c r="X228" s="22"/>
      <c r="Y228" s="22"/>
    </row>
    <row r="229" spans="1:25" x14ac:dyDescent="0.25">
      <c r="A229" s="144" t="s">
        <v>406</v>
      </c>
      <c r="B229" s="35" t="s">
        <v>227</v>
      </c>
      <c r="C229" s="60"/>
      <c r="D229" s="61"/>
      <c r="E229" s="35">
        <f>SUM(E221:E227, E210:E217)</f>
        <v>15</v>
      </c>
      <c r="F229" s="312">
        <f>SUM(Angelica_hist!G41)</f>
        <v>30</v>
      </c>
      <c r="G229" s="311">
        <f>SUM(E229+G205)-F229</f>
        <v>-22</v>
      </c>
      <c r="H229" s="43"/>
      <c r="I229" s="57"/>
      <c r="S229" s="57"/>
      <c r="T229" s="22"/>
      <c r="U229" s="22"/>
      <c r="V229" s="22"/>
      <c r="W229" s="22"/>
      <c r="X229" s="22"/>
      <c r="Y229" s="22"/>
    </row>
    <row r="230" spans="1:25" x14ac:dyDescent="0.25">
      <c r="I230" s="57"/>
      <c r="L230" s="27" t="s">
        <v>249</v>
      </c>
      <c r="M230" s="20" t="s">
        <v>143</v>
      </c>
      <c r="N230" s="20" t="s">
        <v>11</v>
      </c>
      <c r="O230" s="20" t="s">
        <v>12</v>
      </c>
      <c r="P230" s="20" t="s">
        <v>13</v>
      </c>
      <c r="Q230" s="20" t="s">
        <v>14</v>
      </c>
      <c r="S230" s="57"/>
      <c r="T230" s="22"/>
      <c r="U230" s="22"/>
      <c r="V230" s="22"/>
      <c r="W230" s="22"/>
      <c r="X230" s="22"/>
      <c r="Y230" s="22"/>
    </row>
    <row r="231" spans="1:25" x14ac:dyDescent="0.25">
      <c r="B231" s="13" t="s">
        <v>143</v>
      </c>
      <c r="C231" s="13" t="s">
        <v>11</v>
      </c>
      <c r="D231" s="13" t="s">
        <v>12</v>
      </c>
      <c r="E231" s="13" t="s">
        <v>13</v>
      </c>
      <c r="F231" s="13" t="s">
        <v>14</v>
      </c>
      <c r="G231" s="20" t="s">
        <v>0</v>
      </c>
      <c r="I231" s="57"/>
      <c r="L231" s="15">
        <v>18</v>
      </c>
      <c r="M231" s="21" t="s">
        <v>2</v>
      </c>
      <c r="N231" s="49"/>
      <c r="O231" s="49"/>
      <c r="P231" s="138"/>
      <c r="Q231" s="23"/>
      <c r="S231" s="101"/>
      <c r="T231" s="22"/>
      <c r="U231" s="22"/>
      <c r="V231" s="22"/>
      <c r="W231" s="22"/>
      <c r="X231" s="22"/>
      <c r="Y231" s="22"/>
    </row>
    <row r="232" spans="1:25" x14ac:dyDescent="0.25">
      <c r="A232" s="15">
        <v>18</v>
      </c>
      <c r="B232" s="21" t="s">
        <v>2</v>
      </c>
      <c r="C232" s="49"/>
      <c r="D232" s="49"/>
      <c r="E232" s="138" t="s">
        <v>408</v>
      </c>
      <c r="F232" s="23"/>
      <c r="G232" s="21"/>
      <c r="I232" s="57"/>
      <c r="L232" s="15">
        <v>19</v>
      </c>
      <c r="M232" s="21" t="s">
        <v>3</v>
      </c>
      <c r="N232" s="48"/>
      <c r="O232" s="49"/>
      <c r="P232" s="138"/>
      <c r="Q232" s="23"/>
      <c r="S232" s="101"/>
      <c r="T232" s="22"/>
      <c r="U232" s="22"/>
      <c r="V232" s="22"/>
      <c r="W232" s="22"/>
      <c r="X232" s="22"/>
      <c r="Y232" s="22"/>
    </row>
    <row r="233" spans="1:25" ht="30" x14ac:dyDescent="0.25">
      <c r="A233" s="15">
        <v>19</v>
      </c>
      <c r="B233" s="21" t="s">
        <v>3</v>
      </c>
      <c r="C233" s="48"/>
      <c r="D233" s="49"/>
      <c r="E233" s="138"/>
      <c r="F233" s="23"/>
      <c r="G233" s="21"/>
      <c r="I233" s="57"/>
      <c r="L233" s="15">
        <v>20</v>
      </c>
      <c r="M233" s="21" t="s">
        <v>4</v>
      </c>
      <c r="N233" s="51">
        <v>0.41666666666666669</v>
      </c>
      <c r="O233" s="51">
        <v>0.5625</v>
      </c>
      <c r="P233" s="138">
        <v>3.5</v>
      </c>
      <c r="Q233" s="23"/>
      <c r="S233" s="57" t="s">
        <v>233</v>
      </c>
      <c r="T233" s="22"/>
      <c r="U233" s="22"/>
      <c r="V233" s="22"/>
      <c r="W233" s="22"/>
      <c r="X233" s="22"/>
      <c r="Y233" s="22"/>
    </row>
    <row r="234" spans="1:25" ht="30" x14ac:dyDescent="0.25">
      <c r="A234" s="15">
        <v>20</v>
      </c>
      <c r="B234" s="21" t="s">
        <v>4</v>
      </c>
      <c r="C234" s="51">
        <v>0.41666666666666669</v>
      </c>
      <c r="D234" s="51">
        <v>0.5625</v>
      </c>
      <c r="E234" s="138">
        <v>3.5</v>
      </c>
      <c r="F234" s="23"/>
      <c r="G234" s="22" t="s">
        <v>233</v>
      </c>
      <c r="I234" s="57"/>
      <c r="L234" s="15">
        <v>21</v>
      </c>
      <c r="M234" s="21" t="s">
        <v>5</v>
      </c>
      <c r="N234" s="51">
        <v>0.4375</v>
      </c>
      <c r="O234" s="51">
        <v>0.52083333333333337</v>
      </c>
      <c r="P234" s="22">
        <v>2</v>
      </c>
      <c r="Q234" s="22"/>
      <c r="S234" s="57" t="s">
        <v>233</v>
      </c>
      <c r="T234" s="22"/>
      <c r="U234" s="22"/>
      <c r="V234" s="22"/>
      <c r="W234" s="22"/>
      <c r="X234" s="22"/>
      <c r="Y234" s="22"/>
    </row>
    <row r="235" spans="1:25" x14ac:dyDescent="0.25">
      <c r="A235" s="15">
        <v>21</v>
      </c>
      <c r="B235" s="21" t="s">
        <v>5</v>
      </c>
      <c r="C235" s="51">
        <v>0.4375</v>
      </c>
      <c r="D235" s="51">
        <v>0.52083333333333337</v>
      </c>
      <c r="E235" s="22">
        <v>2</v>
      </c>
      <c r="F235" s="22"/>
      <c r="G235" s="22" t="s">
        <v>233</v>
      </c>
      <c r="I235" s="57"/>
      <c r="M235" s="21"/>
      <c r="N235" s="139">
        <v>4.1666666666666664E-2</v>
      </c>
      <c r="O235" s="139">
        <v>0.125</v>
      </c>
      <c r="P235" s="140">
        <v>2</v>
      </c>
      <c r="Q235" s="135"/>
      <c r="S235" s="143" t="s">
        <v>24</v>
      </c>
      <c r="T235" s="22"/>
      <c r="U235" s="22"/>
      <c r="V235" s="22"/>
      <c r="W235" s="22"/>
      <c r="X235" s="22"/>
      <c r="Y235" s="22"/>
    </row>
    <row r="236" spans="1:25" ht="45" x14ac:dyDescent="0.25">
      <c r="B236" s="21"/>
      <c r="C236" s="139">
        <v>4.1666666666666664E-2</v>
      </c>
      <c r="D236" s="139">
        <v>0.125</v>
      </c>
      <c r="E236" s="140">
        <v>2</v>
      </c>
      <c r="F236" s="135"/>
      <c r="G236" s="141" t="s">
        <v>24</v>
      </c>
      <c r="I236" s="57"/>
      <c r="L236" s="15">
        <v>22</v>
      </c>
      <c r="M236" s="21" t="s">
        <v>6</v>
      </c>
      <c r="N236" s="51">
        <v>0.41666666666666669</v>
      </c>
      <c r="O236" s="51">
        <v>0.58333333333333337</v>
      </c>
      <c r="P236" s="138">
        <v>4</v>
      </c>
      <c r="Q236" s="23"/>
      <c r="S236" s="101" t="s">
        <v>250</v>
      </c>
      <c r="T236" s="22"/>
      <c r="U236" s="22"/>
      <c r="V236" s="22"/>
      <c r="W236" s="22"/>
      <c r="X236" s="22"/>
      <c r="Y236" s="22"/>
    </row>
    <row r="237" spans="1:25" ht="45" x14ac:dyDescent="0.25">
      <c r="A237" s="15">
        <v>22</v>
      </c>
      <c r="B237" s="21" t="s">
        <v>6</v>
      </c>
      <c r="C237" s="51">
        <v>0.41666666666666669</v>
      </c>
      <c r="D237" s="51">
        <v>0.58333333333333337</v>
      </c>
      <c r="E237" s="138">
        <v>4</v>
      </c>
      <c r="F237" s="23"/>
      <c r="G237" s="21" t="s">
        <v>250</v>
      </c>
      <c r="I237" s="57"/>
      <c r="L237" s="15">
        <v>23</v>
      </c>
      <c r="M237" s="21" t="s">
        <v>7</v>
      </c>
      <c r="N237" s="51">
        <v>0.4375</v>
      </c>
      <c r="O237" s="51">
        <v>0.5625</v>
      </c>
      <c r="P237" s="138">
        <v>3.5</v>
      </c>
      <c r="Q237" s="23"/>
      <c r="S237" s="101" t="s">
        <v>251</v>
      </c>
      <c r="T237" s="22"/>
      <c r="U237" s="22"/>
      <c r="V237" s="22"/>
      <c r="W237" s="22"/>
      <c r="X237" s="22"/>
      <c r="Y237" s="22"/>
    </row>
    <row r="238" spans="1:25" x14ac:dyDescent="0.25">
      <c r="A238" s="15">
        <v>23</v>
      </c>
      <c r="B238" s="21" t="s">
        <v>7</v>
      </c>
      <c r="C238" s="51">
        <v>0.4375</v>
      </c>
      <c r="D238" s="51">
        <v>0.5625</v>
      </c>
      <c r="E238" s="138">
        <v>3.5</v>
      </c>
      <c r="F238" s="23"/>
      <c r="G238" s="21" t="s">
        <v>251</v>
      </c>
      <c r="I238" s="57"/>
      <c r="L238" s="15">
        <v>24</v>
      </c>
      <c r="M238" s="21" t="s">
        <v>8</v>
      </c>
      <c r="N238" s="49"/>
      <c r="O238" s="49"/>
      <c r="P238" s="138"/>
      <c r="Q238" s="23"/>
      <c r="S238" s="101"/>
      <c r="T238" s="22"/>
      <c r="U238" s="22"/>
      <c r="V238" s="22"/>
      <c r="W238" s="22"/>
      <c r="X238" s="22"/>
      <c r="Y238" s="22"/>
    </row>
    <row r="239" spans="1:25" x14ac:dyDescent="0.25">
      <c r="A239" s="15">
        <v>24</v>
      </c>
      <c r="B239" s="21" t="s">
        <v>8</v>
      </c>
      <c r="C239" s="49"/>
      <c r="D239" s="49"/>
      <c r="E239" s="138"/>
      <c r="F239" s="23"/>
      <c r="G239" s="21"/>
      <c r="I239" s="57"/>
      <c r="P239" s="22">
        <f>+SUM(P233:P237)</f>
        <v>15</v>
      </c>
      <c r="S239" s="57"/>
      <c r="T239" s="22"/>
      <c r="U239" s="22"/>
      <c r="V239" s="22"/>
      <c r="W239" s="22"/>
      <c r="X239" s="22"/>
      <c r="Y239" s="22"/>
    </row>
    <row r="240" spans="1:25" x14ac:dyDescent="0.25">
      <c r="B240" s="13" t="s">
        <v>26</v>
      </c>
      <c r="C240" s="32"/>
      <c r="D240" s="32"/>
      <c r="E240" s="32">
        <f>SUM(E232:E239)</f>
        <v>15</v>
      </c>
      <c r="G240" s="22"/>
      <c r="I240" s="57"/>
      <c r="P240" s="22"/>
      <c r="S240" s="57"/>
      <c r="T240" s="22"/>
      <c r="U240" s="22"/>
      <c r="V240" s="22"/>
      <c r="W240" s="22"/>
      <c r="X240" s="22"/>
      <c r="Y240" s="22"/>
    </row>
    <row r="241" spans="1:25" x14ac:dyDescent="0.25">
      <c r="B241" s="13"/>
      <c r="C241" s="32"/>
      <c r="D241" s="32"/>
      <c r="E241" s="32"/>
      <c r="G241" s="22"/>
      <c r="I241" s="57"/>
      <c r="P241" s="22"/>
      <c r="S241" s="57"/>
      <c r="T241" s="22"/>
      <c r="U241" s="22"/>
      <c r="V241" s="22"/>
      <c r="W241" s="22"/>
      <c r="X241" s="22"/>
      <c r="Y241" s="22"/>
    </row>
    <row r="242" spans="1:25" ht="61.5" x14ac:dyDescent="0.9">
      <c r="A242" s="578" t="s">
        <v>252</v>
      </c>
      <c r="B242" s="578"/>
      <c r="C242" s="578"/>
      <c r="D242" s="578"/>
      <c r="E242" s="578"/>
      <c r="F242" s="578"/>
      <c r="G242" s="578"/>
      <c r="H242" s="578"/>
      <c r="I242" s="578"/>
      <c r="J242" s="578"/>
      <c r="K242" s="578"/>
      <c r="L242" s="578"/>
      <c r="M242" s="578"/>
      <c r="N242" s="578"/>
      <c r="O242" s="578"/>
      <c r="P242" s="578"/>
      <c r="Q242" s="578"/>
      <c r="R242" s="578"/>
      <c r="S242" s="578"/>
      <c r="T242" s="22"/>
      <c r="U242" s="22"/>
      <c r="V242" s="22"/>
      <c r="W242" s="22"/>
      <c r="X242" s="22"/>
      <c r="Y242" s="22"/>
    </row>
    <row r="243" spans="1:25" x14ac:dyDescent="0.25">
      <c r="I243" s="57"/>
      <c r="S243" s="57"/>
    </row>
    <row r="244" spans="1:25" x14ac:dyDescent="0.25">
      <c r="B244" s="13" t="s">
        <v>157</v>
      </c>
      <c r="C244" s="13" t="s">
        <v>11</v>
      </c>
      <c r="D244" s="13" t="s">
        <v>12</v>
      </c>
      <c r="E244" s="13" t="s">
        <v>13</v>
      </c>
      <c r="F244" s="13" t="s">
        <v>14</v>
      </c>
      <c r="G244" s="20" t="s">
        <v>0</v>
      </c>
      <c r="I244" s="57"/>
      <c r="L244" s="27" t="s">
        <v>253</v>
      </c>
      <c r="M244" s="20" t="s">
        <v>157</v>
      </c>
      <c r="N244" s="20" t="s">
        <v>11</v>
      </c>
      <c r="O244" s="20" t="s">
        <v>12</v>
      </c>
      <c r="P244" s="20" t="s">
        <v>13</v>
      </c>
      <c r="Q244" s="20" t="s">
        <v>14</v>
      </c>
      <c r="S244" s="57"/>
      <c r="T244" s="22"/>
      <c r="U244" s="22"/>
      <c r="V244" s="22"/>
      <c r="W244" s="22"/>
      <c r="X244" s="22"/>
      <c r="Y244" s="22"/>
    </row>
    <row r="245" spans="1:25" x14ac:dyDescent="0.25">
      <c r="A245" s="15">
        <v>2</v>
      </c>
      <c r="B245" s="21" t="s">
        <v>2</v>
      </c>
      <c r="C245" s="49"/>
      <c r="D245" s="49"/>
      <c r="E245" s="138"/>
      <c r="F245" s="23"/>
      <c r="G245" s="21"/>
      <c r="I245" s="57"/>
      <c r="L245" s="15">
        <v>2</v>
      </c>
      <c r="M245" s="21" t="s">
        <v>2</v>
      </c>
      <c r="N245" s="49"/>
      <c r="O245" s="49"/>
      <c r="P245" s="138"/>
      <c r="Q245" s="23"/>
      <c r="S245" s="101"/>
      <c r="T245" s="22"/>
      <c r="U245" s="22"/>
      <c r="V245" s="22"/>
      <c r="W245" s="22"/>
      <c r="X245" s="22"/>
      <c r="Y245" s="22"/>
    </row>
    <row r="246" spans="1:25" x14ac:dyDescent="0.25">
      <c r="A246" s="15">
        <v>3</v>
      </c>
      <c r="B246" s="21" t="s">
        <v>3</v>
      </c>
      <c r="C246" s="48"/>
      <c r="D246" s="49"/>
      <c r="E246" s="138"/>
      <c r="F246" s="23"/>
      <c r="G246" s="21"/>
      <c r="I246" s="57"/>
      <c r="L246" s="15">
        <v>3</v>
      </c>
      <c r="M246" s="21" t="s">
        <v>3</v>
      </c>
      <c r="N246" s="48"/>
      <c r="O246" s="49"/>
      <c r="P246" s="138"/>
      <c r="Q246" s="23"/>
      <c r="S246" s="101"/>
      <c r="T246" s="22"/>
      <c r="U246" s="22"/>
      <c r="V246" s="22"/>
      <c r="W246" s="22"/>
      <c r="X246" s="22"/>
      <c r="Y246" s="22"/>
    </row>
    <row r="247" spans="1:25" x14ac:dyDescent="0.25">
      <c r="A247" s="15">
        <v>4</v>
      </c>
      <c r="B247" s="21" t="s">
        <v>4</v>
      </c>
      <c r="C247" s="51"/>
      <c r="D247" s="51"/>
      <c r="E247" s="138"/>
      <c r="F247" s="23"/>
      <c r="G247" s="22"/>
      <c r="I247" s="57"/>
      <c r="L247" s="15">
        <v>4</v>
      </c>
      <c r="M247" s="21" t="s">
        <v>4</v>
      </c>
      <c r="N247" s="51"/>
      <c r="O247" s="51"/>
      <c r="P247" s="138"/>
      <c r="Q247" s="23"/>
      <c r="S247" s="57"/>
      <c r="T247" s="22"/>
      <c r="U247" s="22"/>
      <c r="V247" s="22"/>
      <c r="W247" s="22"/>
      <c r="X247" s="22"/>
      <c r="Y247" s="22"/>
    </row>
    <row r="248" spans="1:25" ht="75" x14ac:dyDescent="0.25">
      <c r="A248" s="15">
        <v>5</v>
      </c>
      <c r="B248" s="21" t="s">
        <v>5</v>
      </c>
      <c r="C248" s="51">
        <v>0.4375</v>
      </c>
      <c r="D248" s="51">
        <v>0.47916666666666669</v>
      </c>
      <c r="E248" s="22">
        <v>1</v>
      </c>
      <c r="F248" s="22"/>
      <c r="G248" s="22" t="s">
        <v>254</v>
      </c>
      <c r="I248" s="57"/>
      <c r="L248" s="15">
        <v>5</v>
      </c>
      <c r="M248" s="21" t="s">
        <v>5</v>
      </c>
      <c r="N248" s="51">
        <v>0.4375</v>
      </c>
      <c r="O248" s="51">
        <v>0.47916666666666669</v>
      </c>
      <c r="P248" s="22">
        <v>1</v>
      </c>
      <c r="Q248" s="22"/>
      <c r="S248" s="57" t="s">
        <v>254</v>
      </c>
      <c r="T248" s="22"/>
      <c r="U248" s="22"/>
      <c r="V248" s="22"/>
      <c r="W248" s="22"/>
      <c r="X248" s="22"/>
      <c r="Y248" s="22"/>
    </row>
    <row r="249" spans="1:25" x14ac:dyDescent="0.25">
      <c r="B249" s="21"/>
      <c r="C249" s="139">
        <v>4.1666666666666664E-2</v>
      </c>
      <c r="D249" s="139">
        <v>0.125</v>
      </c>
      <c r="E249" s="140">
        <v>2</v>
      </c>
      <c r="F249" s="135"/>
      <c r="G249" s="141" t="s">
        <v>24</v>
      </c>
      <c r="I249" s="57"/>
      <c r="M249" s="21"/>
      <c r="N249" s="139">
        <v>4.1666666666666664E-2</v>
      </c>
      <c r="O249" s="139">
        <v>0.125</v>
      </c>
      <c r="P249" s="140">
        <v>2</v>
      </c>
      <c r="Q249" s="135"/>
      <c r="S249" s="143" t="s">
        <v>24</v>
      </c>
      <c r="T249" s="22"/>
      <c r="U249" s="22"/>
      <c r="V249" s="22"/>
      <c r="W249" s="22"/>
      <c r="X249" s="22"/>
      <c r="Y249" s="22"/>
    </row>
    <row r="250" spans="1:25" x14ac:dyDescent="0.25">
      <c r="A250" s="15">
        <v>6</v>
      </c>
      <c r="B250" s="21" t="s">
        <v>6</v>
      </c>
      <c r="C250" s="51"/>
      <c r="D250" s="51"/>
      <c r="E250" s="138"/>
      <c r="F250" s="23"/>
      <c r="G250" s="21"/>
      <c r="I250" s="57"/>
      <c r="L250" s="15">
        <v>6</v>
      </c>
      <c r="M250" s="21" t="s">
        <v>6</v>
      </c>
      <c r="N250" s="51"/>
      <c r="O250" s="51"/>
      <c r="P250" s="138"/>
      <c r="Q250" s="23"/>
      <c r="S250" s="101"/>
      <c r="T250" s="22"/>
      <c r="U250" s="22"/>
      <c r="V250" s="22"/>
      <c r="W250" s="22"/>
      <c r="X250" s="22"/>
      <c r="Y250" s="22"/>
    </row>
    <row r="251" spans="1:25" ht="30" x14ac:dyDescent="0.25">
      <c r="A251" s="15">
        <v>7</v>
      </c>
      <c r="B251" s="21" t="s">
        <v>7</v>
      </c>
      <c r="C251" s="51">
        <v>0.4375</v>
      </c>
      <c r="D251" s="51">
        <v>0.5625</v>
      </c>
      <c r="E251" s="138">
        <v>2</v>
      </c>
      <c r="F251" s="23"/>
      <c r="G251" s="21" t="s">
        <v>255</v>
      </c>
      <c r="I251" s="57"/>
      <c r="L251" s="15">
        <v>7</v>
      </c>
      <c r="M251" s="21" t="s">
        <v>7</v>
      </c>
      <c r="N251" s="51">
        <v>0.4375</v>
      </c>
      <c r="O251" s="51">
        <v>0.5625</v>
      </c>
      <c r="P251" s="138">
        <v>2</v>
      </c>
      <c r="Q251" s="23"/>
      <c r="S251" s="101" t="s">
        <v>255</v>
      </c>
      <c r="T251" s="22"/>
      <c r="U251" s="22"/>
      <c r="V251" s="22"/>
      <c r="W251" s="22"/>
      <c r="X251" s="22"/>
      <c r="Y251" s="22"/>
    </row>
    <row r="252" spans="1:25" x14ac:dyDescent="0.25">
      <c r="A252" s="15">
        <v>8</v>
      </c>
      <c r="B252" s="21" t="s">
        <v>8</v>
      </c>
      <c r="C252" s="49"/>
      <c r="D252" s="49"/>
      <c r="E252" s="138"/>
      <c r="F252" s="23"/>
      <c r="G252" s="21"/>
      <c r="I252" s="57"/>
      <c r="L252" s="15">
        <v>8</v>
      </c>
      <c r="M252" s="21" t="s">
        <v>8</v>
      </c>
      <c r="N252" s="49"/>
      <c r="O252" s="49"/>
      <c r="P252" s="138"/>
      <c r="Q252" s="23"/>
      <c r="S252" s="101"/>
      <c r="T252" s="22"/>
      <c r="U252" s="22"/>
      <c r="V252" s="22"/>
      <c r="W252" s="22"/>
      <c r="X252" s="22"/>
      <c r="Y252" s="22"/>
    </row>
    <row r="253" spans="1:25" ht="30" x14ac:dyDescent="0.25">
      <c r="B253" s="13" t="s">
        <v>26</v>
      </c>
      <c r="C253" s="32"/>
      <c r="D253" s="32"/>
      <c r="E253" s="32">
        <f>SUM(E245:E252)</f>
        <v>5</v>
      </c>
      <c r="F253" s="115" t="s">
        <v>393</v>
      </c>
      <c r="G253" s="145" t="s">
        <v>397</v>
      </c>
      <c r="I253" s="57"/>
      <c r="M253" s="21"/>
      <c r="N253" s="49"/>
      <c r="O253" s="49"/>
      <c r="P253" s="138"/>
      <c r="Q253" s="23"/>
      <c r="S253" s="101"/>
      <c r="T253" s="22"/>
      <c r="U253" s="22"/>
      <c r="V253" s="22"/>
      <c r="W253" s="22"/>
      <c r="X253" s="22"/>
      <c r="Y253" s="22"/>
    </row>
    <row r="254" spans="1:25" x14ac:dyDescent="0.25">
      <c r="A254" s="313" t="s">
        <v>407</v>
      </c>
      <c r="B254" s="35" t="s">
        <v>227</v>
      </c>
      <c r="C254" s="60"/>
      <c r="D254" s="61"/>
      <c r="E254" s="35">
        <f>SUM(E232:E239,E245:E252)</f>
        <v>20</v>
      </c>
      <c r="F254" s="312">
        <f>SUM(Angelica_hist!G47,Angelica_hist!G48)</f>
        <v>31</v>
      </c>
      <c r="G254" s="311">
        <f>SUM(E254+G229)-F254</f>
        <v>-33</v>
      </c>
      <c r="H254" s="43"/>
      <c r="I254" s="57"/>
      <c r="P254" s="15">
        <f>+SUM(P245:P252)</f>
        <v>5</v>
      </c>
      <c r="S254" s="57"/>
      <c r="T254" s="22"/>
      <c r="U254" s="22"/>
      <c r="V254" s="22"/>
      <c r="W254" s="22"/>
      <c r="X254" s="22"/>
      <c r="Y254" s="22"/>
    </row>
    <row r="255" spans="1:25" x14ac:dyDescent="0.25">
      <c r="I255" s="57"/>
      <c r="L255" s="27" t="s">
        <v>249</v>
      </c>
      <c r="M255" s="20" t="s">
        <v>158</v>
      </c>
      <c r="N255" s="20" t="s">
        <v>11</v>
      </c>
      <c r="O255" s="20" t="s">
        <v>12</v>
      </c>
      <c r="P255" s="20" t="s">
        <v>13</v>
      </c>
      <c r="Q255" s="20" t="s">
        <v>14</v>
      </c>
      <c r="S255" s="57"/>
      <c r="T255" s="22"/>
      <c r="U255" s="22"/>
      <c r="V255" s="22"/>
      <c r="W255" s="22"/>
      <c r="X255" s="22"/>
      <c r="Y255" s="22"/>
    </row>
    <row r="256" spans="1:25" x14ac:dyDescent="0.25">
      <c r="B256" s="13" t="s">
        <v>158</v>
      </c>
      <c r="C256" s="13" t="s">
        <v>11</v>
      </c>
      <c r="D256" s="13" t="s">
        <v>12</v>
      </c>
      <c r="E256" s="13" t="s">
        <v>13</v>
      </c>
      <c r="F256" s="13" t="s">
        <v>14</v>
      </c>
      <c r="G256" s="20" t="s">
        <v>0</v>
      </c>
      <c r="I256" s="57"/>
      <c r="L256" s="15">
        <v>9</v>
      </c>
      <c r="M256" s="21" t="s">
        <v>2</v>
      </c>
      <c r="N256" s="49"/>
      <c r="O256" s="49"/>
      <c r="P256" s="138"/>
      <c r="Q256" s="23"/>
      <c r="S256" s="101"/>
      <c r="T256" s="22"/>
      <c r="U256" s="22"/>
      <c r="V256" s="22"/>
      <c r="W256" s="22"/>
      <c r="X256" s="22"/>
      <c r="Y256" s="22"/>
    </row>
    <row r="257" spans="1:25" x14ac:dyDescent="0.25">
      <c r="A257" s="15">
        <v>9</v>
      </c>
      <c r="B257" s="21" t="s">
        <v>2</v>
      </c>
      <c r="C257" s="49"/>
      <c r="D257" s="49"/>
      <c r="E257" s="138"/>
      <c r="F257" s="23"/>
      <c r="G257" s="21"/>
      <c r="I257" s="57"/>
      <c r="L257" s="15">
        <v>10</v>
      </c>
      <c r="M257" s="21" t="s">
        <v>3</v>
      </c>
      <c r="N257" s="48"/>
      <c r="O257" s="49"/>
      <c r="P257" s="138"/>
      <c r="Q257" s="23"/>
      <c r="S257" s="101"/>
      <c r="T257" s="22"/>
      <c r="U257" s="22"/>
      <c r="V257" s="22"/>
      <c r="W257" s="22"/>
      <c r="X257" s="22"/>
      <c r="Y257" s="22"/>
    </row>
    <row r="258" spans="1:25" x14ac:dyDescent="0.25">
      <c r="A258" s="15">
        <v>10</v>
      </c>
      <c r="B258" s="21" t="s">
        <v>3</v>
      </c>
      <c r="C258" s="48"/>
      <c r="D258" s="49"/>
      <c r="E258" s="138"/>
      <c r="F258" s="23"/>
      <c r="G258" s="21"/>
      <c r="I258" s="57"/>
      <c r="L258" s="15">
        <v>11</v>
      </c>
      <c r="M258" s="21" t="s">
        <v>4</v>
      </c>
      <c r="N258" s="51"/>
      <c r="O258" s="51"/>
      <c r="P258" s="138"/>
      <c r="Q258" s="23"/>
      <c r="S258" s="57"/>
      <c r="T258" s="22"/>
      <c r="U258" s="22"/>
      <c r="V258" s="22"/>
      <c r="W258" s="22"/>
      <c r="X258" s="22"/>
      <c r="Y258" s="22"/>
    </row>
    <row r="259" spans="1:25" ht="45" x14ac:dyDescent="0.25">
      <c r="A259" s="15">
        <v>11</v>
      </c>
      <c r="B259" s="21" t="s">
        <v>4</v>
      </c>
      <c r="C259" s="51"/>
      <c r="D259" s="51"/>
      <c r="E259" s="138"/>
      <c r="F259" s="23"/>
      <c r="G259" s="22"/>
      <c r="I259" s="57"/>
      <c r="L259" s="15">
        <v>12</v>
      </c>
      <c r="M259" s="21" t="s">
        <v>5</v>
      </c>
      <c r="N259" s="51">
        <v>0.16666666666666666</v>
      </c>
      <c r="O259" s="51">
        <v>0.25</v>
      </c>
      <c r="P259" s="22">
        <v>2</v>
      </c>
      <c r="Q259" s="22"/>
      <c r="S259" s="57" t="s">
        <v>256</v>
      </c>
      <c r="T259" s="22"/>
      <c r="U259" s="22"/>
      <c r="V259" s="22"/>
      <c r="W259" s="22"/>
      <c r="X259" s="22"/>
      <c r="Y259" s="22"/>
    </row>
    <row r="260" spans="1:25" x14ac:dyDescent="0.25">
      <c r="A260" s="15">
        <v>12</v>
      </c>
      <c r="B260" s="21" t="s">
        <v>5</v>
      </c>
      <c r="C260" s="51">
        <v>0.16666666666666666</v>
      </c>
      <c r="D260" s="51">
        <v>0.25</v>
      </c>
      <c r="E260" s="22">
        <v>2</v>
      </c>
      <c r="F260" s="22"/>
      <c r="G260" s="22" t="s">
        <v>256</v>
      </c>
      <c r="I260" s="57"/>
      <c r="L260" s="15">
        <v>13</v>
      </c>
      <c r="M260" s="21" t="s">
        <v>6</v>
      </c>
      <c r="N260" s="51"/>
      <c r="O260" s="51"/>
      <c r="P260" s="138"/>
      <c r="Q260" s="23"/>
      <c r="S260" s="101"/>
      <c r="T260" s="22"/>
      <c r="U260" s="22"/>
      <c r="V260" s="22"/>
      <c r="W260" s="22"/>
      <c r="X260" s="22"/>
      <c r="Y260" s="22"/>
    </row>
    <row r="261" spans="1:25" x14ac:dyDescent="0.25">
      <c r="A261" s="15">
        <v>13</v>
      </c>
      <c r="B261" s="21" t="s">
        <v>6</v>
      </c>
      <c r="C261" s="51"/>
      <c r="D261" s="51"/>
      <c r="E261" s="138"/>
      <c r="F261" s="23"/>
      <c r="G261" s="21"/>
      <c r="I261" s="57"/>
      <c r="L261" s="15">
        <v>14</v>
      </c>
      <c r="M261" s="21" t="s">
        <v>7</v>
      </c>
      <c r="N261" s="51"/>
      <c r="O261" s="51"/>
      <c r="P261" s="138"/>
      <c r="Q261" s="23"/>
      <c r="S261" s="101"/>
      <c r="T261" s="22"/>
      <c r="U261" s="22"/>
      <c r="V261" s="22"/>
      <c r="W261" s="22"/>
      <c r="X261" s="22"/>
      <c r="Y261" s="22"/>
    </row>
    <row r="262" spans="1:25" x14ac:dyDescent="0.25">
      <c r="A262" s="15">
        <v>14</v>
      </c>
      <c r="B262" s="21" t="s">
        <v>7</v>
      </c>
      <c r="C262" s="51"/>
      <c r="D262" s="51"/>
      <c r="E262" s="138"/>
      <c r="F262" s="23"/>
      <c r="G262" s="21"/>
      <c r="I262" s="57"/>
      <c r="L262" s="15">
        <v>15</v>
      </c>
      <c r="M262" s="21" t="s">
        <v>8</v>
      </c>
      <c r="N262" s="49"/>
      <c r="O262" s="49"/>
      <c r="P262" s="138"/>
      <c r="Q262" s="23"/>
      <c r="S262" s="101"/>
      <c r="T262" s="22"/>
      <c r="U262" s="22"/>
      <c r="V262" s="22"/>
      <c r="W262" s="22"/>
      <c r="X262" s="22"/>
      <c r="Y262" s="22"/>
    </row>
    <row r="263" spans="1:25" x14ac:dyDescent="0.25">
      <c r="A263" s="15">
        <v>15</v>
      </c>
      <c r="B263" s="21" t="s">
        <v>8</v>
      </c>
      <c r="C263" s="49"/>
      <c r="D263" s="49"/>
      <c r="E263" s="138"/>
      <c r="F263" s="23"/>
      <c r="G263" s="21"/>
      <c r="I263" s="57"/>
      <c r="S263" s="57"/>
      <c r="T263" s="22"/>
      <c r="U263" s="22"/>
      <c r="V263" s="22"/>
      <c r="W263" s="22"/>
      <c r="X263" s="22"/>
      <c r="Y263" s="22"/>
    </row>
    <row r="264" spans="1:25" x14ac:dyDescent="0.25">
      <c r="B264" s="13" t="s">
        <v>26</v>
      </c>
      <c r="C264" s="32"/>
      <c r="D264" s="32"/>
      <c r="E264" s="32">
        <f>SUM(E256:E263)</f>
        <v>2</v>
      </c>
      <c r="G264" s="22"/>
      <c r="I264" s="57"/>
      <c r="S264" s="57"/>
      <c r="T264" s="22"/>
      <c r="U264" s="22"/>
      <c r="V264" s="22"/>
      <c r="W264" s="22"/>
      <c r="X264" s="22"/>
      <c r="Y264" s="22"/>
    </row>
    <row r="265" spans="1:25" x14ac:dyDescent="0.25">
      <c r="G265" s="22"/>
      <c r="I265" s="57"/>
      <c r="L265" s="27" t="s">
        <v>249</v>
      </c>
      <c r="M265" s="20" t="s">
        <v>159</v>
      </c>
      <c r="N265" s="20" t="s">
        <v>11</v>
      </c>
      <c r="O265" s="20" t="s">
        <v>12</v>
      </c>
      <c r="P265" s="20" t="s">
        <v>13</v>
      </c>
      <c r="Q265" s="20" t="s">
        <v>14</v>
      </c>
      <c r="S265" s="57"/>
      <c r="T265" s="22"/>
      <c r="U265" s="22"/>
      <c r="V265" s="22"/>
      <c r="W265" s="22"/>
      <c r="X265" s="22"/>
      <c r="Y265" s="22"/>
    </row>
    <row r="266" spans="1:25" x14ac:dyDescent="0.25">
      <c r="B266" s="13" t="s">
        <v>159</v>
      </c>
      <c r="C266" s="13" t="s">
        <v>11</v>
      </c>
      <c r="D266" s="13" t="s">
        <v>12</v>
      </c>
      <c r="E266" s="13" t="s">
        <v>13</v>
      </c>
      <c r="F266" s="13" t="s">
        <v>14</v>
      </c>
      <c r="G266" s="20" t="s">
        <v>0</v>
      </c>
      <c r="I266" s="57"/>
      <c r="L266" s="15">
        <v>16</v>
      </c>
      <c r="M266" s="21" t="s">
        <v>2</v>
      </c>
      <c r="N266" s="49"/>
      <c r="O266" s="49"/>
      <c r="P266" s="138"/>
      <c r="Q266" s="23"/>
      <c r="S266" s="57"/>
      <c r="T266" s="22"/>
      <c r="U266" s="22"/>
      <c r="V266" s="22"/>
      <c r="W266" s="22"/>
      <c r="X266" s="22"/>
      <c r="Y266" s="22"/>
    </row>
    <row r="267" spans="1:25" x14ac:dyDescent="0.25">
      <c r="B267" s="14" t="s">
        <v>2</v>
      </c>
      <c r="C267" s="33"/>
      <c r="D267" s="25"/>
      <c r="E267" s="14"/>
      <c r="F267" s="24"/>
      <c r="G267" s="21"/>
      <c r="I267" s="57"/>
      <c r="L267" s="15">
        <v>17</v>
      </c>
      <c r="M267" s="21" t="s">
        <v>3</v>
      </c>
      <c r="N267" s="48"/>
      <c r="O267" s="49"/>
      <c r="P267" s="138"/>
      <c r="Q267" s="23"/>
      <c r="S267" s="57"/>
      <c r="T267" s="22"/>
      <c r="U267" s="22"/>
      <c r="V267" s="22"/>
      <c r="W267" s="22"/>
      <c r="X267" s="22"/>
      <c r="Y267" s="22"/>
    </row>
    <row r="268" spans="1:25" x14ac:dyDescent="0.25">
      <c r="B268" s="14" t="s">
        <v>3</v>
      </c>
      <c r="C268" s="26"/>
      <c r="D268" s="26"/>
      <c r="G268" s="22"/>
      <c r="I268" s="57"/>
      <c r="L268" s="15">
        <v>18</v>
      </c>
      <c r="M268" s="21" t="s">
        <v>4</v>
      </c>
      <c r="N268" s="51"/>
      <c r="O268" s="51"/>
      <c r="P268" s="138"/>
      <c r="Q268" s="23"/>
      <c r="S268" s="57"/>
      <c r="T268" s="22"/>
      <c r="U268" s="22"/>
      <c r="V268" s="22"/>
      <c r="W268" s="22"/>
      <c r="X268" s="22"/>
      <c r="Y268" s="22"/>
    </row>
    <row r="269" spans="1:25" x14ac:dyDescent="0.25">
      <c r="B269" s="14" t="s">
        <v>4</v>
      </c>
      <c r="C269" s="26"/>
      <c r="D269" s="26"/>
      <c r="G269" s="21"/>
      <c r="I269" s="57"/>
      <c r="L269" s="15">
        <v>19</v>
      </c>
      <c r="M269" s="21" t="s">
        <v>5</v>
      </c>
      <c r="N269" s="51"/>
      <c r="O269" s="51"/>
      <c r="P269" s="22"/>
      <c r="Q269" s="22"/>
      <c r="S269" s="57"/>
      <c r="T269" s="22"/>
      <c r="U269" s="22"/>
      <c r="V269" s="22"/>
      <c r="W269" s="22"/>
      <c r="X269" s="22"/>
      <c r="Y269" s="22"/>
    </row>
    <row r="270" spans="1:25" x14ac:dyDescent="0.25">
      <c r="B270" s="14" t="s">
        <v>5</v>
      </c>
      <c r="C270" s="25"/>
      <c r="D270" s="25"/>
      <c r="E270" s="14"/>
      <c r="F270" s="24"/>
      <c r="G270" s="21"/>
      <c r="I270" s="57"/>
      <c r="L270" s="15">
        <v>20</v>
      </c>
      <c r="M270" s="21" t="s">
        <v>6</v>
      </c>
      <c r="N270" s="51"/>
      <c r="O270" s="51"/>
      <c r="P270" s="138"/>
      <c r="Q270" s="23"/>
      <c r="S270" s="57"/>
      <c r="T270" s="22"/>
      <c r="U270" s="22"/>
      <c r="V270" s="22"/>
      <c r="W270" s="22"/>
      <c r="X270" s="22"/>
      <c r="Y270" s="22"/>
    </row>
    <row r="271" spans="1:25" x14ac:dyDescent="0.25">
      <c r="B271" s="14" t="s">
        <v>6</v>
      </c>
      <c r="C271" s="42"/>
      <c r="D271" s="42"/>
      <c r="E271" s="14"/>
      <c r="G271" s="23"/>
      <c r="I271" s="57"/>
      <c r="L271" s="15">
        <v>21</v>
      </c>
      <c r="M271" s="21" t="s">
        <v>7</v>
      </c>
      <c r="N271" s="51"/>
      <c r="O271" s="51"/>
      <c r="P271" s="138"/>
      <c r="Q271" s="23"/>
      <c r="S271" s="57"/>
      <c r="T271" s="22"/>
      <c r="U271" s="22"/>
      <c r="V271" s="22"/>
      <c r="W271" s="22"/>
      <c r="X271" s="22"/>
      <c r="Y271" s="22"/>
    </row>
    <row r="272" spans="1:25" x14ac:dyDescent="0.25">
      <c r="B272" s="14" t="s">
        <v>7</v>
      </c>
      <c r="C272" s="42"/>
      <c r="D272" s="42"/>
      <c r="E272" s="14"/>
      <c r="F272" s="24"/>
      <c r="G272" s="21"/>
      <c r="I272" s="57"/>
      <c r="L272" s="15">
        <v>22</v>
      </c>
      <c r="M272" s="21" t="s">
        <v>8</v>
      </c>
      <c r="N272" s="49"/>
      <c r="O272" s="49"/>
      <c r="P272" s="138"/>
      <c r="Q272" s="23"/>
      <c r="S272" s="57"/>
      <c r="T272" s="22"/>
      <c r="U272" s="22"/>
      <c r="V272" s="22"/>
      <c r="W272" s="22"/>
      <c r="X272" s="22"/>
      <c r="Y272" s="22"/>
    </row>
    <row r="273" spans="1:25" x14ac:dyDescent="0.25">
      <c r="A273" s="21"/>
      <c r="B273" s="14" t="s">
        <v>8</v>
      </c>
      <c r="C273" s="25"/>
      <c r="D273" s="25"/>
      <c r="E273" s="14"/>
      <c r="F273" s="24"/>
      <c r="G273" s="21"/>
      <c r="I273" s="57"/>
      <c r="S273" s="57"/>
      <c r="T273" s="22"/>
      <c r="U273" s="22"/>
      <c r="V273" s="22"/>
      <c r="W273" s="22"/>
      <c r="X273" s="22"/>
      <c r="Y273" s="22"/>
    </row>
    <row r="274" spans="1:25" ht="30" x14ac:dyDescent="0.25">
      <c r="A274" s="61" t="s">
        <v>396</v>
      </c>
      <c r="B274" s="13" t="s">
        <v>26</v>
      </c>
      <c r="C274" s="32"/>
      <c r="D274" s="32"/>
      <c r="E274" s="32">
        <f>SUM(E266:E273)</f>
        <v>0</v>
      </c>
      <c r="F274" s="115" t="s">
        <v>393</v>
      </c>
      <c r="G274" s="145" t="s">
        <v>397</v>
      </c>
      <c r="I274" s="57"/>
      <c r="S274" s="57"/>
      <c r="T274" s="22"/>
      <c r="U274" s="22"/>
      <c r="V274" s="22"/>
      <c r="W274" s="22"/>
      <c r="X274" s="22"/>
      <c r="Y274" s="22"/>
    </row>
    <row r="275" spans="1:25" x14ac:dyDescent="0.25">
      <c r="A275" s="144"/>
      <c r="B275" s="35" t="s">
        <v>227</v>
      </c>
      <c r="C275" s="60"/>
      <c r="D275" s="61" t="s">
        <v>396</v>
      </c>
      <c r="E275" s="35"/>
      <c r="F275" s="115"/>
      <c r="G275" s="311">
        <f>SUM(E275+G254)-F275</f>
        <v>-33</v>
      </c>
      <c r="H275" s="43"/>
      <c r="I275" s="57"/>
      <c r="S275" s="57"/>
      <c r="T275" s="22"/>
      <c r="U275" s="22"/>
      <c r="V275" s="22"/>
      <c r="W275" s="22"/>
      <c r="X275" s="22"/>
      <c r="Y275" s="22"/>
    </row>
    <row r="276" spans="1:25" x14ac:dyDescent="0.25">
      <c r="I276" s="57"/>
      <c r="S276" s="57"/>
      <c r="T276" s="22"/>
      <c r="U276" s="22"/>
      <c r="V276" s="22"/>
      <c r="W276" s="22"/>
      <c r="X276" s="22"/>
      <c r="Y276" s="22"/>
    </row>
    <row r="277" spans="1:25" x14ac:dyDescent="0.25">
      <c r="B277" s="13" t="s">
        <v>160</v>
      </c>
      <c r="C277" s="13" t="s">
        <v>11</v>
      </c>
      <c r="D277" s="13" t="s">
        <v>12</v>
      </c>
      <c r="E277" s="13" t="s">
        <v>13</v>
      </c>
      <c r="F277" s="13" t="s">
        <v>14</v>
      </c>
      <c r="G277" s="13" t="s">
        <v>0</v>
      </c>
      <c r="I277" s="57"/>
      <c r="S277" s="57"/>
      <c r="T277" s="22"/>
      <c r="U277" s="22"/>
      <c r="V277" s="22"/>
      <c r="W277" s="22"/>
      <c r="X277" s="22"/>
      <c r="Y277" s="22"/>
    </row>
    <row r="278" spans="1:25" x14ac:dyDescent="0.25">
      <c r="B278" s="14" t="s">
        <v>2</v>
      </c>
      <c r="C278" s="33"/>
      <c r="D278" s="25"/>
      <c r="E278" s="14"/>
      <c r="F278" s="24"/>
      <c r="G278" s="14"/>
      <c r="I278" s="57"/>
      <c r="S278" s="57"/>
    </row>
    <row r="279" spans="1:25" x14ac:dyDescent="0.25">
      <c r="B279" s="14" t="s">
        <v>3</v>
      </c>
      <c r="C279" s="26"/>
      <c r="D279" s="26"/>
      <c r="I279" s="57"/>
      <c r="S279" s="57"/>
    </row>
    <row r="280" spans="1:25" x14ac:dyDescent="0.25">
      <c r="B280" s="14" t="s">
        <v>4</v>
      </c>
      <c r="C280" s="26"/>
      <c r="D280" s="26"/>
      <c r="G280" s="14"/>
      <c r="I280" s="57"/>
      <c r="S280" s="57"/>
    </row>
    <row r="281" spans="1:25" x14ac:dyDescent="0.25">
      <c r="B281" s="14" t="s">
        <v>5</v>
      </c>
      <c r="C281" s="25"/>
      <c r="D281" s="25"/>
      <c r="E281" s="14"/>
      <c r="F281" s="24"/>
      <c r="G281" s="14"/>
      <c r="I281" s="57"/>
      <c r="S281" s="57"/>
    </row>
    <row r="282" spans="1:25" x14ac:dyDescent="0.25">
      <c r="B282" s="14" t="s">
        <v>6</v>
      </c>
      <c r="C282" s="42"/>
      <c r="D282" s="42"/>
      <c r="E282" s="14"/>
      <c r="G282" s="24"/>
      <c r="I282" s="57"/>
      <c r="S282" s="57"/>
    </row>
    <row r="283" spans="1:25" x14ac:dyDescent="0.25">
      <c r="B283" s="14" t="s">
        <v>7</v>
      </c>
      <c r="C283" s="42"/>
      <c r="D283" s="42"/>
      <c r="E283" s="14"/>
      <c r="F283" s="24"/>
      <c r="G283" s="14"/>
      <c r="I283" s="57"/>
      <c r="S283" s="57"/>
    </row>
    <row r="284" spans="1:25" x14ac:dyDescent="0.25">
      <c r="B284" s="14" t="s">
        <v>8</v>
      </c>
      <c r="C284" s="25"/>
      <c r="D284" s="25"/>
      <c r="E284" s="14"/>
      <c r="F284" s="24"/>
      <c r="G284" s="14"/>
      <c r="I284" s="57"/>
      <c r="S284" s="57"/>
    </row>
    <row r="285" spans="1:25" x14ac:dyDescent="0.25">
      <c r="B285" s="13" t="s">
        <v>26</v>
      </c>
      <c r="C285" s="32"/>
      <c r="D285" s="32"/>
      <c r="E285" s="32">
        <f>SUM(E277:E284)</f>
        <v>0</v>
      </c>
      <c r="I285" s="57"/>
      <c r="S285" s="57"/>
    </row>
    <row r="286" spans="1:25" x14ac:dyDescent="0.25">
      <c r="I286" s="57"/>
      <c r="S286" s="57"/>
    </row>
    <row r="287" spans="1:25" x14ac:dyDescent="0.25">
      <c r="B287" s="13" t="s">
        <v>162</v>
      </c>
      <c r="C287" s="13" t="s">
        <v>11</v>
      </c>
      <c r="D287" s="13" t="s">
        <v>12</v>
      </c>
      <c r="E287" s="13" t="s">
        <v>13</v>
      </c>
      <c r="F287" s="13" t="s">
        <v>14</v>
      </c>
      <c r="G287" s="13" t="s">
        <v>0</v>
      </c>
      <c r="I287" s="57"/>
      <c r="S287" s="57"/>
    </row>
    <row r="288" spans="1:25" x14ac:dyDescent="0.25">
      <c r="B288" s="14" t="s">
        <v>2</v>
      </c>
      <c r="C288" s="33"/>
      <c r="D288" s="25"/>
      <c r="E288" s="14"/>
      <c r="F288" s="24"/>
      <c r="G288" s="14"/>
      <c r="I288" s="57"/>
      <c r="S288" s="57"/>
    </row>
    <row r="289" spans="1:19" x14ac:dyDescent="0.25">
      <c r="A289" s="43" t="s">
        <v>422</v>
      </c>
      <c r="B289" s="14" t="s">
        <v>3</v>
      </c>
      <c r="C289" s="26"/>
      <c r="D289" s="26"/>
      <c r="I289" s="57"/>
      <c r="S289" s="57"/>
    </row>
    <row r="290" spans="1:19" x14ac:dyDescent="0.25">
      <c r="B290" s="14" t="s">
        <v>4</v>
      </c>
      <c r="C290" s="26"/>
      <c r="D290" s="26"/>
      <c r="G290" s="14"/>
      <c r="I290" s="57"/>
      <c r="S290" s="57"/>
    </row>
    <row r="291" spans="1:19" x14ac:dyDescent="0.25">
      <c r="B291" s="14" t="s">
        <v>5</v>
      </c>
      <c r="C291" s="25"/>
      <c r="D291" s="25"/>
      <c r="E291" s="14"/>
      <c r="F291" s="24"/>
      <c r="G291" s="14"/>
      <c r="I291" s="57"/>
      <c r="S291" s="57"/>
    </row>
    <row r="292" spans="1:19" x14ac:dyDescent="0.25">
      <c r="B292" s="14" t="s">
        <v>6</v>
      </c>
      <c r="C292" s="42"/>
      <c r="D292" s="42"/>
      <c r="E292" s="14"/>
      <c r="G292" s="24"/>
      <c r="I292" s="57"/>
      <c r="S292" s="57"/>
    </row>
    <row r="293" spans="1:19" x14ac:dyDescent="0.25">
      <c r="B293" s="14" t="s">
        <v>7</v>
      </c>
      <c r="C293" s="42"/>
      <c r="D293" s="42"/>
      <c r="E293" s="14"/>
      <c r="F293" s="24"/>
      <c r="G293" s="14"/>
      <c r="I293" s="57"/>
      <c r="S293" s="57"/>
    </row>
    <row r="294" spans="1:19" x14ac:dyDescent="0.25">
      <c r="A294" s="21"/>
      <c r="B294" s="14" t="s">
        <v>8</v>
      </c>
      <c r="C294" s="25"/>
      <c r="D294" s="25"/>
      <c r="E294" s="14"/>
      <c r="F294" s="24"/>
      <c r="G294" s="14"/>
      <c r="I294" s="57"/>
      <c r="S294" s="57"/>
    </row>
    <row r="295" spans="1:19" ht="30" x14ac:dyDescent="0.25">
      <c r="B295" s="13" t="s">
        <v>26</v>
      </c>
      <c r="C295" s="32"/>
      <c r="D295" s="32"/>
      <c r="E295" s="32">
        <f>SUM(E287:E294)</f>
        <v>0</v>
      </c>
      <c r="F295" s="115" t="s">
        <v>393</v>
      </c>
      <c r="G295" s="145" t="s">
        <v>397</v>
      </c>
      <c r="I295" s="57"/>
      <c r="S295" s="57"/>
    </row>
    <row r="296" spans="1:19" x14ac:dyDescent="0.25">
      <c r="A296" s="313" t="s">
        <v>334</v>
      </c>
      <c r="B296" s="35" t="s">
        <v>227</v>
      </c>
      <c r="C296" s="40"/>
      <c r="D296" s="41"/>
      <c r="E296" s="18"/>
      <c r="F296" s="118"/>
      <c r="G296" s="311">
        <f>SUM(E296+G275)-F296</f>
        <v>-33</v>
      </c>
      <c r="H296" s="43" t="s">
        <v>422</v>
      </c>
      <c r="I296" s="57"/>
      <c r="S296" s="57"/>
    </row>
    <row r="297" spans="1:19" x14ac:dyDescent="0.25">
      <c r="I297" s="57"/>
      <c r="S297" s="57"/>
    </row>
    <row r="298" spans="1:19" x14ac:dyDescent="0.25">
      <c r="B298" s="13" t="s">
        <v>161</v>
      </c>
      <c r="C298" s="13" t="s">
        <v>11</v>
      </c>
      <c r="D298" s="13" t="s">
        <v>12</v>
      </c>
      <c r="E298" s="13" t="s">
        <v>13</v>
      </c>
      <c r="F298" s="13" t="s">
        <v>14</v>
      </c>
      <c r="G298" s="13" t="s">
        <v>0</v>
      </c>
      <c r="I298" s="57"/>
      <c r="S298" s="57"/>
    </row>
    <row r="299" spans="1:19" x14ac:dyDescent="0.25">
      <c r="B299" s="14" t="s">
        <v>2</v>
      </c>
      <c r="C299" s="33"/>
      <c r="D299" s="25"/>
      <c r="E299" s="14"/>
      <c r="F299" s="24"/>
      <c r="G299" s="14"/>
      <c r="I299" s="57"/>
      <c r="S299" s="57"/>
    </row>
    <row r="300" spans="1:19" x14ac:dyDescent="0.25">
      <c r="B300" s="14" t="s">
        <v>3</v>
      </c>
      <c r="C300" s="26"/>
      <c r="D300" s="26"/>
      <c r="I300" s="57"/>
      <c r="S300" s="57"/>
    </row>
    <row r="301" spans="1:19" x14ac:dyDescent="0.25">
      <c r="B301" s="14" t="s">
        <v>4</v>
      </c>
      <c r="C301" s="26"/>
      <c r="D301" s="26"/>
      <c r="G301" s="14"/>
      <c r="I301" s="57"/>
      <c r="S301" s="57"/>
    </row>
    <row r="302" spans="1:19" x14ac:dyDescent="0.25">
      <c r="B302" s="14" t="s">
        <v>5</v>
      </c>
      <c r="C302" s="25"/>
      <c r="D302" s="25"/>
      <c r="E302" s="14"/>
      <c r="F302" s="24"/>
      <c r="G302" s="14"/>
      <c r="I302" s="57"/>
      <c r="S302" s="57"/>
    </row>
    <row r="303" spans="1:19" x14ac:dyDescent="0.25">
      <c r="B303" s="14" t="s">
        <v>6</v>
      </c>
      <c r="C303" s="42"/>
      <c r="D303" s="42"/>
      <c r="E303" s="14"/>
      <c r="G303" s="24"/>
      <c r="I303" s="57"/>
      <c r="S303" s="57"/>
    </row>
    <row r="304" spans="1:19" x14ac:dyDescent="0.25">
      <c r="B304" s="14" t="s">
        <v>7</v>
      </c>
      <c r="C304" s="42"/>
      <c r="D304" s="42"/>
      <c r="E304" s="14"/>
      <c r="F304" s="24"/>
      <c r="G304" s="14"/>
      <c r="I304" s="57"/>
      <c r="S304" s="57"/>
    </row>
    <row r="305" spans="1:19" x14ac:dyDescent="0.25">
      <c r="B305" s="14" t="s">
        <v>8</v>
      </c>
      <c r="C305" s="25"/>
      <c r="D305" s="25"/>
      <c r="E305" s="14"/>
      <c r="F305" s="24"/>
      <c r="G305" s="14"/>
      <c r="I305" s="57"/>
      <c r="S305" s="57"/>
    </row>
    <row r="306" spans="1:19" x14ac:dyDescent="0.25">
      <c r="B306" s="13" t="s">
        <v>26</v>
      </c>
      <c r="C306" s="32"/>
      <c r="D306" s="32"/>
      <c r="E306" s="32">
        <f>SUM(E298:E305)</f>
        <v>0</v>
      </c>
      <c r="I306" s="57"/>
      <c r="S306" s="57"/>
    </row>
    <row r="307" spans="1:19" x14ac:dyDescent="0.25">
      <c r="I307" s="57"/>
      <c r="S307" s="57"/>
    </row>
    <row r="308" spans="1:19" x14ac:dyDescent="0.25">
      <c r="B308" s="13" t="s">
        <v>163</v>
      </c>
      <c r="C308" s="13" t="s">
        <v>11</v>
      </c>
      <c r="D308" s="13" t="s">
        <v>12</v>
      </c>
      <c r="E308" s="13" t="s">
        <v>13</v>
      </c>
      <c r="F308" s="13" t="s">
        <v>14</v>
      </c>
      <c r="G308" s="13" t="s">
        <v>0</v>
      </c>
      <c r="I308" s="57"/>
      <c r="S308" s="57"/>
    </row>
    <row r="309" spans="1:19" x14ac:dyDescent="0.25">
      <c r="B309" s="14" t="s">
        <v>2</v>
      </c>
      <c r="C309" s="33"/>
      <c r="D309" s="25"/>
      <c r="E309" s="14"/>
      <c r="F309" s="24"/>
      <c r="G309" s="14"/>
      <c r="I309" s="57"/>
      <c r="S309" s="57"/>
    </row>
    <row r="310" spans="1:19" x14ac:dyDescent="0.25">
      <c r="B310" s="14" t="s">
        <v>3</v>
      </c>
      <c r="C310" s="26"/>
      <c r="D310" s="26"/>
      <c r="I310" s="57"/>
      <c r="S310" s="57"/>
    </row>
    <row r="311" spans="1:19" x14ac:dyDescent="0.25">
      <c r="B311" s="14" t="s">
        <v>4</v>
      </c>
      <c r="C311" s="26"/>
      <c r="D311" s="26"/>
      <c r="G311" s="14"/>
      <c r="I311" s="57"/>
      <c r="S311" s="57"/>
    </row>
    <row r="312" spans="1:19" x14ac:dyDescent="0.25">
      <c r="B312" s="14" t="s">
        <v>5</v>
      </c>
      <c r="C312" s="25"/>
      <c r="D312" s="25"/>
      <c r="E312" s="14"/>
      <c r="F312" s="24"/>
      <c r="G312" s="14"/>
      <c r="I312" s="57"/>
      <c r="S312" s="57"/>
    </row>
    <row r="313" spans="1:19" x14ac:dyDescent="0.25">
      <c r="B313" s="14" t="s">
        <v>6</v>
      </c>
      <c r="C313" s="42"/>
      <c r="D313" s="42"/>
      <c r="E313" s="14"/>
      <c r="G313" s="24"/>
      <c r="I313" s="57"/>
      <c r="S313" s="57"/>
    </row>
    <row r="314" spans="1:19" x14ac:dyDescent="0.25">
      <c r="B314" s="14" t="s">
        <v>7</v>
      </c>
      <c r="C314" s="42"/>
      <c r="D314" s="42"/>
      <c r="E314" s="14"/>
      <c r="F314" s="24"/>
      <c r="G314" s="14"/>
      <c r="I314" s="57"/>
      <c r="S314" s="57"/>
    </row>
    <row r="315" spans="1:19" x14ac:dyDescent="0.25">
      <c r="A315" s="21"/>
      <c r="B315" s="14" t="s">
        <v>8</v>
      </c>
      <c r="C315" s="25"/>
      <c r="D315" s="25"/>
      <c r="E315" s="14"/>
      <c r="F315" s="24"/>
      <c r="G315" s="14"/>
      <c r="I315" s="57"/>
      <c r="S315" s="57"/>
    </row>
    <row r="316" spans="1:19" ht="30" x14ac:dyDescent="0.25">
      <c r="B316" s="13" t="s">
        <v>26</v>
      </c>
      <c r="C316" s="32"/>
      <c r="D316" s="32"/>
      <c r="E316" s="32">
        <f>SUM(E308:E315)</f>
        <v>0</v>
      </c>
      <c r="F316" s="115" t="s">
        <v>393</v>
      </c>
      <c r="G316" s="145" t="s">
        <v>397</v>
      </c>
      <c r="I316" s="57"/>
      <c r="S316" s="57"/>
    </row>
    <row r="317" spans="1:19" x14ac:dyDescent="0.25">
      <c r="A317" s="313" t="s">
        <v>335</v>
      </c>
      <c r="B317" s="35" t="s">
        <v>227</v>
      </c>
      <c r="C317" s="40"/>
      <c r="D317" s="41"/>
      <c r="E317" s="18"/>
      <c r="F317" s="118"/>
      <c r="G317" s="311">
        <f>SUM(E317+G296)-F317</f>
        <v>-33</v>
      </c>
      <c r="H317" s="43" t="s">
        <v>422</v>
      </c>
      <c r="I317" s="57"/>
      <c r="S317" s="57"/>
    </row>
    <row r="318" spans="1:19" x14ac:dyDescent="0.25">
      <c r="I318" s="57"/>
      <c r="S318" s="57"/>
    </row>
    <row r="319" spans="1:19" x14ac:dyDescent="0.25">
      <c r="B319" s="13" t="s">
        <v>164</v>
      </c>
      <c r="C319" s="13" t="s">
        <v>11</v>
      </c>
      <c r="D319" s="13" t="s">
        <v>12</v>
      </c>
      <c r="E319" s="13" t="s">
        <v>13</v>
      </c>
      <c r="F319" s="13" t="s">
        <v>14</v>
      </c>
      <c r="G319" s="13" t="s">
        <v>0</v>
      </c>
      <c r="I319" s="57"/>
      <c r="S319" s="57"/>
    </row>
    <row r="320" spans="1:19" x14ac:dyDescent="0.25">
      <c r="B320" s="14" t="s">
        <v>2</v>
      </c>
      <c r="C320" s="33"/>
      <c r="D320" s="25"/>
      <c r="E320" s="14"/>
      <c r="F320" s="24"/>
      <c r="G320" s="14"/>
      <c r="I320" s="57"/>
      <c r="S320" s="57"/>
    </row>
    <row r="321" spans="1:19" x14ac:dyDescent="0.25">
      <c r="B321" s="14" t="s">
        <v>3</v>
      </c>
      <c r="C321" s="26"/>
      <c r="D321" s="26"/>
      <c r="I321" s="57"/>
      <c r="S321" s="57"/>
    </row>
    <row r="322" spans="1:19" x14ac:dyDescent="0.25">
      <c r="B322" s="14" t="s">
        <v>4</v>
      </c>
      <c r="C322" s="26"/>
      <c r="D322" s="26"/>
      <c r="G322" s="14"/>
      <c r="I322" s="57"/>
      <c r="S322" s="57"/>
    </row>
    <row r="323" spans="1:19" x14ac:dyDescent="0.25">
      <c r="B323" s="14" t="s">
        <v>5</v>
      </c>
      <c r="C323" s="25"/>
      <c r="D323" s="25"/>
      <c r="E323" s="14"/>
      <c r="F323" s="24"/>
      <c r="G323" s="14"/>
      <c r="I323" s="57"/>
      <c r="S323" s="57"/>
    </row>
    <row r="324" spans="1:19" x14ac:dyDescent="0.25">
      <c r="B324" s="14" t="s">
        <v>6</v>
      </c>
      <c r="C324" s="42"/>
      <c r="D324" s="42"/>
      <c r="E324" s="14"/>
      <c r="G324" s="24"/>
      <c r="I324" s="57"/>
      <c r="S324" s="57"/>
    </row>
    <row r="325" spans="1:19" x14ac:dyDescent="0.25">
      <c r="B325" s="14" t="s">
        <v>7</v>
      </c>
      <c r="C325" s="42"/>
      <c r="D325" s="42"/>
      <c r="E325" s="14"/>
      <c r="F325" s="24"/>
      <c r="G325" s="14"/>
      <c r="I325" s="57"/>
      <c r="S325" s="57"/>
    </row>
    <row r="326" spans="1:19" x14ac:dyDescent="0.25">
      <c r="B326" s="14" t="s">
        <v>8</v>
      </c>
      <c r="C326" s="25"/>
      <c r="D326" s="25"/>
      <c r="E326" s="14"/>
      <c r="F326" s="24"/>
      <c r="G326" s="14"/>
      <c r="I326" s="57"/>
      <c r="S326" s="57"/>
    </row>
    <row r="327" spans="1:19" x14ac:dyDescent="0.25">
      <c r="B327" s="13" t="s">
        <v>26</v>
      </c>
      <c r="C327" s="32"/>
      <c r="D327" s="32"/>
      <c r="E327" s="32">
        <f>SUM(E319:E326)</f>
        <v>0</v>
      </c>
      <c r="I327" s="57"/>
      <c r="S327" s="57"/>
    </row>
    <row r="328" spans="1:19" x14ac:dyDescent="0.25">
      <c r="I328" s="57"/>
      <c r="S328" s="57"/>
    </row>
    <row r="329" spans="1:19" x14ac:dyDescent="0.25">
      <c r="B329" s="13" t="s">
        <v>165</v>
      </c>
      <c r="C329" s="13" t="s">
        <v>11</v>
      </c>
      <c r="D329" s="13" t="s">
        <v>12</v>
      </c>
      <c r="E329" s="13" t="s">
        <v>13</v>
      </c>
      <c r="F329" s="13" t="s">
        <v>14</v>
      </c>
      <c r="G329" s="13" t="s">
        <v>0</v>
      </c>
      <c r="I329" s="57"/>
      <c r="S329" s="57"/>
    </row>
    <row r="330" spans="1:19" x14ac:dyDescent="0.25">
      <c r="B330" s="14" t="s">
        <v>2</v>
      </c>
      <c r="C330" s="33"/>
      <c r="D330" s="25"/>
      <c r="E330" s="14"/>
      <c r="F330" s="24"/>
      <c r="G330" s="14"/>
      <c r="I330" s="57"/>
      <c r="S330" s="57"/>
    </row>
    <row r="331" spans="1:19" x14ac:dyDescent="0.25">
      <c r="B331" s="14" t="s">
        <v>3</v>
      </c>
      <c r="C331" s="26"/>
      <c r="D331" s="26"/>
      <c r="I331" s="57"/>
      <c r="S331" s="57"/>
    </row>
    <row r="332" spans="1:19" x14ac:dyDescent="0.25">
      <c r="B332" s="14" t="s">
        <v>4</v>
      </c>
      <c r="C332" s="26"/>
      <c r="D332" s="26"/>
      <c r="G332" s="14"/>
      <c r="I332" s="57"/>
      <c r="S332" s="57"/>
    </row>
    <row r="333" spans="1:19" x14ac:dyDescent="0.25">
      <c r="B333" s="14" t="s">
        <v>5</v>
      </c>
      <c r="C333" s="25"/>
      <c r="D333" s="25"/>
      <c r="E333" s="14"/>
      <c r="F333" s="24"/>
      <c r="G333" s="14"/>
      <c r="I333" s="57"/>
      <c r="S333" s="57"/>
    </row>
    <row r="334" spans="1:19" x14ac:dyDescent="0.25">
      <c r="B334" s="14" t="s">
        <v>6</v>
      </c>
      <c r="C334" s="42"/>
      <c r="D334" s="42"/>
      <c r="E334" s="14"/>
      <c r="G334" s="24"/>
      <c r="I334" s="57"/>
      <c r="S334" s="57"/>
    </row>
    <row r="335" spans="1:19" x14ac:dyDescent="0.25">
      <c r="B335" s="14" t="s">
        <v>7</v>
      </c>
      <c r="C335" s="42"/>
      <c r="D335" s="42"/>
      <c r="E335" s="14"/>
      <c r="F335" s="24"/>
      <c r="G335" s="14"/>
      <c r="I335" s="57"/>
      <c r="S335" s="57"/>
    </row>
    <row r="336" spans="1:19" x14ac:dyDescent="0.25">
      <c r="A336" s="21"/>
      <c r="B336" s="14" t="s">
        <v>8</v>
      </c>
      <c r="C336" s="25"/>
      <c r="D336" s="25"/>
      <c r="E336" s="14"/>
      <c r="F336" s="24"/>
      <c r="G336" s="14"/>
      <c r="I336" s="57"/>
      <c r="S336" s="57"/>
    </row>
    <row r="337" spans="1:23" ht="30" x14ac:dyDescent="0.25">
      <c r="B337" s="13" t="s">
        <v>26</v>
      </c>
      <c r="C337" s="32"/>
      <c r="D337" s="32"/>
      <c r="E337" s="32">
        <f>SUM(E329:E336)</f>
        <v>0</v>
      </c>
      <c r="F337" s="115" t="s">
        <v>393</v>
      </c>
      <c r="G337" s="145" t="s">
        <v>397</v>
      </c>
      <c r="I337" s="57"/>
      <c r="S337" s="57"/>
    </row>
    <row r="338" spans="1:23" x14ac:dyDescent="0.25">
      <c r="A338" s="313" t="s">
        <v>336</v>
      </c>
      <c r="B338" s="35" t="s">
        <v>227</v>
      </c>
      <c r="C338" s="40"/>
      <c r="D338" s="41"/>
      <c r="E338" s="18"/>
      <c r="F338" s="118"/>
      <c r="G338" s="311">
        <f>SUM(E338+G317)-F338</f>
        <v>-33</v>
      </c>
      <c r="H338" s="43" t="s">
        <v>422</v>
      </c>
      <c r="I338" s="57"/>
      <c r="S338" s="57"/>
    </row>
    <row r="341" spans="1:23" x14ac:dyDescent="0.25">
      <c r="W341" s="22"/>
    </row>
    <row r="342" spans="1:23" ht="45" customHeight="1" x14ac:dyDescent="0.5">
      <c r="A342" s="587" t="s">
        <v>423</v>
      </c>
      <c r="B342" s="587"/>
      <c r="C342" s="587"/>
      <c r="D342" s="587"/>
      <c r="E342" s="587"/>
      <c r="F342" s="587"/>
      <c r="G342" s="587"/>
      <c r="H342" s="587"/>
      <c r="W342" s="22"/>
    </row>
    <row r="343" spans="1:23" ht="45" customHeight="1" x14ac:dyDescent="0.5">
      <c r="A343" s="341" t="s">
        <v>425</v>
      </c>
      <c r="B343" s="341" t="s">
        <v>426</v>
      </c>
      <c r="C343" s="341"/>
      <c r="D343" s="341"/>
      <c r="E343" s="341"/>
      <c r="F343" s="341"/>
      <c r="G343" s="341" t="s">
        <v>430</v>
      </c>
      <c r="H343" s="341"/>
      <c r="W343" s="22"/>
    </row>
    <row r="344" spans="1:23" ht="30" x14ac:dyDescent="0.25">
      <c r="A344" s="338" t="s">
        <v>424</v>
      </c>
      <c r="B344" s="310">
        <f>SUM(Angelica_hist!G54)</f>
        <v>188.5</v>
      </c>
      <c r="C344" s="338"/>
      <c r="D344" s="338"/>
      <c r="E344" s="338"/>
      <c r="F344" s="338"/>
      <c r="G344" s="338" t="s">
        <v>431</v>
      </c>
      <c r="H344" s="338"/>
      <c r="W344" s="22"/>
    </row>
    <row r="345" spans="1:23" ht="60" x14ac:dyDescent="0.25">
      <c r="A345" s="44" t="s">
        <v>429</v>
      </c>
      <c r="B345" s="44">
        <f>SUM(E337,E327,E316,E295,E285,E274,E264,E253,E228,E204,E193,E168,E179,E156,E102,E90,E76,E42,E54,E64,E119,E132,E240,E145,E306)</f>
        <v>150.5</v>
      </c>
      <c r="C345" s="44"/>
      <c r="D345" s="44"/>
      <c r="E345" s="44"/>
      <c r="F345" s="44"/>
      <c r="G345" s="44" t="s">
        <v>432</v>
      </c>
      <c r="H345" s="44"/>
      <c r="W345" s="22"/>
    </row>
    <row r="346" spans="1:23" ht="72" x14ac:dyDescent="0.55000000000000004">
      <c r="A346" s="339" t="s">
        <v>427</v>
      </c>
      <c r="B346" s="342">
        <f>SUM(B344-B345)</f>
        <v>38</v>
      </c>
      <c r="C346" s="339"/>
      <c r="D346" s="339"/>
      <c r="E346" s="339"/>
      <c r="F346" s="339"/>
      <c r="G346" s="339" t="s">
        <v>428</v>
      </c>
      <c r="H346" s="340"/>
      <c r="W346" s="22"/>
    </row>
    <row r="347" spans="1:23" x14ac:dyDescent="0.25">
      <c r="W347" s="22"/>
    </row>
    <row r="348" spans="1:23" x14ac:dyDescent="0.25">
      <c r="W348" s="22"/>
    </row>
    <row r="349" spans="1:23" x14ac:dyDescent="0.25">
      <c r="W349" s="22"/>
    </row>
    <row r="350" spans="1:23" x14ac:dyDescent="0.25">
      <c r="W350" s="22"/>
    </row>
    <row r="351" spans="1:23" x14ac:dyDescent="0.25">
      <c r="W351" s="22"/>
    </row>
    <row r="352" spans="1:23" x14ac:dyDescent="0.25">
      <c r="W352" s="22"/>
    </row>
    <row r="353" spans="23:23" x14ac:dyDescent="0.25">
      <c r="W353" s="22"/>
    </row>
    <row r="354" spans="23:23" x14ac:dyDescent="0.25">
      <c r="W354" s="22"/>
    </row>
    <row r="355" spans="23:23" x14ac:dyDescent="0.25">
      <c r="W355" s="22"/>
    </row>
    <row r="356" spans="23:23" x14ac:dyDescent="0.25">
      <c r="W356" s="22"/>
    </row>
    <row r="357" spans="23:23" x14ac:dyDescent="0.25">
      <c r="W357" s="22"/>
    </row>
    <row r="358" spans="23:23" x14ac:dyDescent="0.25">
      <c r="W358" s="22"/>
    </row>
    <row r="359" spans="23:23" x14ac:dyDescent="0.25">
      <c r="W359" s="22"/>
    </row>
    <row r="360" spans="23:23" x14ac:dyDescent="0.25">
      <c r="W360" s="22"/>
    </row>
    <row r="361" spans="23:23" x14ac:dyDescent="0.25">
      <c r="W361" s="22"/>
    </row>
    <row r="362" spans="23:23" x14ac:dyDescent="0.25">
      <c r="W362" s="22"/>
    </row>
    <row r="363" spans="23:23" x14ac:dyDescent="0.25">
      <c r="W363" s="22"/>
    </row>
    <row r="364" spans="23:23" x14ac:dyDescent="0.25">
      <c r="W364" s="22"/>
    </row>
    <row r="365" spans="23:23" x14ac:dyDescent="0.25">
      <c r="W365" s="22"/>
    </row>
    <row r="366" spans="23:23" x14ac:dyDescent="0.25">
      <c r="W366" s="22"/>
    </row>
    <row r="367" spans="23:23" x14ac:dyDescent="0.25">
      <c r="W367" s="22"/>
    </row>
    <row r="368" spans="23:23" x14ac:dyDescent="0.25">
      <c r="W368" s="22"/>
    </row>
    <row r="369" spans="23:23" x14ac:dyDescent="0.25">
      <c r="W369" s="22"/>
    </row>
    <row r="370" spans="23:23" x14ac:dyDescent="0.25">
      <c r="W370" s="22"/>
    </row>
    <row r="371" spans="23:23" x14ac:dyDescent="0.25">
      <c r="W371" s="22"/>
    </row>
    <row r="372" spans="23:23" x14ac:dyDescent="0.25">
      <c r="W372" s="22"/>
    </row>
    <row r="373" spans="23:23" x14ac:dyDescent="0.25">
      <c r="W373" s="22"/>
    </row>
    <row r="374" spans="23:23" x14ac:dyDescent="0.25">
      <c r="W374" s="22"/>
    </row>
    <row r="375" spans="23:23" x14ac:dyDescent="0.25">
      <c r="W375" s="22"/>
    </row>
    <row r="376" spans="23:23" x14ac:dyDescent="0.25">
      <c r="W376" s="22"/>
    </row>
    <row r="377" spans="23:23" x14ac:dyDescent="0.25">
      <c r="W377" s="22"/>
    </row>
    <row r="378" spans="23:23" x14ac:dyDescent="0.25">
      <c r="W378" s="22"/>
    </row>
    <row r="379" spans="23:23" x14ac:dyDescent="0.25">
      <c r="W379" s="22"/>
    </row>
    <row r="380" spans="23:23" x14ac:dyDescent="0.25">
      <c r="W380" s="22"/>
    </row>
    <row r="381" spans="23:23" x14ac:dyDescent="0.25">
      <c r="W381" s="22"/>
    </row>
    <row r="382" spans="23:23" x14ac:dyDescent="0.25">
      <c r="W382" s="22"/>
    </row>
    <row r="383" spans="23:23" x14ac:dyDescent="0.25">
      <c r="W383" s="22"/>
    </row>
    <row r="384" spans="23:23" x14ac:dyDescent="0.25">
      <c r="W384" s="22"/>
    </row>
    <row r="385" spans="23:23" x14ac:dyDescent="0.25">
      <c r="W385" s="22"/>
    </row>
    <row r="386" spans="23:23" x14ac:dyDescent="0.25">
      <c r="W386" s="22"/>
    </row>
    <row r="387" spans="23:23" x14ac:dyDescent="0.25">
      <c r="W387" s="22"/>
    </row>
    <row r="388" spans="23:23" x14ac:dyDescent="0.25">
      <c r="W388" s="22"/>
    </row>
    <row r="389" spans="23:23" x14ac:dyDescent="0.25">
      <c r="W389" s="22"/>
    </row>
    <row r="390" spans="23:23" x14ac:dyDescent="0.25">
      <c r="W390" s="22"/>
    </row>
    <row r="391" spans="23:23" x14ac:dyDescent="0.25">
      <c r="W391" s="22"/>
    </row>
    <row r="392" spans="23:23" x14ac:dyDescent="0.25">
      <c r="W392" s="22"/>
    </row>
    <row r="393" spans="23:23" x14ac:dyDescent="0.25">
      <c r="W393" s="22"/>
    </row>
    <row r="394" spans="23:23" x14ac:dyDescent="0.25">
      <c r="W394" s="22"/>
    </row>
    <row r="395" spans="23:23" x14ac:dyDescent="0.25">
      <c r="W395" s="22"/>
    </row>
    <row r="396" spans="23:23" x14ac:dyDescent="0.25">
      <c r="W396" s="22"/>
    </row>
    <row r="397" spans="23:23" x14ac:dyDescent="0.25">
      <c r="W397" s="22"/>
    </row>
    <row r="398" spans="23:23" x14ac:dyDescent="0.25">
      <c r="W398" s="22"/>
    </row>
    <row r="399" spans="23:23" x14ac:dyDescent="0.25">
      <c r="W399" s="22"/>
    </row>
    <row r="400" spans="23:23" x14ac:dyDescent="0.25">
      <c r="W400" s="22"/>
    </row>
    <row r="401" spans="23:23" x14ac:dyDescent="0.25">
      <c r="W401" s="22"/>
    </row>
    <row r="402" spans="23:23" x14ac:dyDescent="0.25">
      <c r="W402" s="22"/>
    </row>
    <row r="403" spans="23:23" x14ac:dyDescent="0.25">
      <c r="W403" s="22"/>
    </row>
    <row r="404" spans="23:23" x14ac:dyDescent="0.25">
      <c r="W404" s="22"/>
    </row>
    <row r="405" spans="23:23" x14ac:dyDescent="0.25">
      <c r="W405" s="22"/>
    </row>
    <row r="406" spans="23:23" x14ac:dyDescent="0.25">
      <c r="W406" s="22"/>
    </row>
    <row r="407" spans="23:23" x14ac:dyDescent="0.25">
      <c r="W407" s="22"/>
    </row>
    <row r="408" spans="23:23" x14ac:dyDescent="0.25">
      <c r="W408" s="22"/>
    </row>
    <row r="409" spans="23:23" x14ac:dyDescent="0.25">
      <c r="W409" s="22"/>
    </row>
    <row r="410" spans="23:23" x14ac:dyDescent="0.25">
      <c r="W410" s="22"/>
    </row>
    <row r="411" spans="23:23" x14ac:dyDescent="0.25">
      <c r="W411" s="22"/>
    </row>
    <row r="412" spans="23:23" x14ac:dyDescent="0.25">
      <c r="W412" s="22"/>
    </row>
    <row r="413" spans="23:23" x14ac:dyDescent="0.25">
      <c r="W413" s="22"/>
    </row>
    <row r="414" spans="23:23" x14ac:dyDescent="0.25">
      <c r="W414" s="22"/>
    </row>
    <row r="415" spans="23:23" x14ac:dyDescent="0.25">
      <c r="W415" s="22"/>
    </row>
    <row r="416" spans="23:23" x14ac:dyDescent="0.25">
      <c r="W416" s="22"/>
    </row>
    <row r="417" spans="23:23" x14ac:dyDescent="0.25">
      <c r="W417" s="22"/>
    </row>
    <row r="418" spans="23:23" x14ac:dyDescent="0.25">
      <c r="W418" s="22"/>
    </row>
    <row r="419" spans="23:23" x14ac:dyDescent="0.25">
      <c r="W419" s="22"/>
    </row>
    <row r="420" spans="23:23" x14ac:dyDescent="0.25">
      <c r="W420" s="22"/>
    </row>
    <row r="421" spans="23:23" x14ac:dyDescent="0.25">
      <c r="W421" s="22"/>
    </row>
    <row r="422" spans="23:23" x14ac:dyDescent="0.25">
      <c r="W422" s="22"/>
    </row>
    <row r="423" spans="23:23" x14ac:dyDescent="0.25">
      <c r="W423" s="22"/>
    </row>
    <row r="424" spans="23:23" x14ac:dyDescent="0.25">
      <c r="W424" s="22"/>
    </row>
    <row r="425" spans="23:23" x14ac:dyDescent="0.25">
      <c r="W425" s="22"/>
    </row>
    <row r="426" spans="23:23" x14ac:dyDescent="0.25">
      <c r="W426" s="22"/>
    </row>
    <row r="427" spans="23:23" x14ac:dyDescent="0.25">
      <c r="W427" s="22"/>
    </row>
    <row r="428" spans="23:23" x14ac:dyDescent="0.25">
      <c r="W428" s="22"/>
    </row>
    <row r="429" spans="23:23" x14ac:dyDescent="0.25">
      <c r="W429" s="22"/>
    </row>
    <row r="430" spans="23:23" x14ac:dyDescent="0.25">
      <c r="W430" s="22"/>
    </row>
    <row r="431" spans="23:23" x14ac:dyDescent="0.25">
      <c r="W431" s="22"/>
    </row>
    <row r="432" spans="23:23" x14ac:dyDescent="0.25">
      <c r="W432" s="22"/>
    </row>
    <row r="433" spans="23:23" x14ac:dyDescent="0.25">
      <c r="W433" s="22"/>
    </row>
    <row r="434" spans="23:23" x14ac:dyDescent="0.25">
      <c r="W434" s="22"/>
    </row>
    <row r="435" spans="23:23" x14ac:dyDescent="0.25">
      <c r="W435" s="22"/>
    </row>
    <row r="436" spans="23:23" x14ac:dyDescent="0.25">
      <c r="W436" s="22"/>
    </row>
    <row r="437" spans="23:23" x14ac:dyDescent="0.25">
      <c r="W437" s="22"/>
    </row>
    <row r="438" spans="23:23" x14ac:dyDescent="0.25">
      <c r="W438" s="22"/>
    </row>
    <row r="439" spans="23:23" x14ac:dyDescent="0.25">
      <c r="W439" s="22"/>
    </row>
    <row r="440" spans="23:23" x14ac:dyDescent="0.25">
      <c r="W440" s="22"/>
    </row>
    <row r="441" spans="23:23" x14ac:dyDescent="0.25">
      <c r="W441" s="22"/>
    </row>
    <row r="442" spans="23:23" x14ac:dyDescent="0.25">
      <c r="W442" s="22"/>
    </row>
    <row r="443" spans="23:23" x14ac:dyDescent="0.25">
      <c r="W443" s="22"/>
    </row>
    <row r="444" spans="23:23" x14ac:dyDescent="0.25">
      <c r="W444" s="22"/>
    </row>
    <row r="445" spans="23:23" x14ac:dyDescent="0.25">
      <c r="W445" s="22"/>
    </row>
    <row r="446" spans="23:23" x14ac:dyDescent="0.25">
      <c r="W446" s="22"/>
    </row>
    <row r="447" spans="23:23" x14ac:dyDescent="0.25">
      <c r="W447" s="22"/>
    </row>
    <row r="448" spans="23:23" x14ac:dyDescent="0.25">
      <c r="W448" s="22"/>
    </row>
    <row r="449" spans="23:23" x14ac:dyDescent="0.25">
      <c r="W449" s="22"/>
    </row>
    <row r="450" spans="23:23" x14ac:dyDescent="0.25">
      <c r="W450" s="22"/>
    </row>
    <row r="451" spans="23:23" x14ac:dyDescent="0.25">
      <c r="W451" s="22"/>
    </row>
    <row r="452" spans="23:23" x14ac:dyDescent="0.25">
      <c r="W452" s="22"/>
    </row>
    <row r="453" spans="23:23" x14ac:dyDescent="0.25">
      <c r="W453" s="22"/>
    </row>
    <row r="454" spans="23:23" x14ac:dyDescent="0.25">
      <c r="W454" s="22"/>
    </row>
    <row r="455" spans="23:23" x14ac:dyDescent="0.25">
      <c r="W455" s="22"/>
    </row>
    <row r="456" spans="23:23" x14ac:dyDescent="0.25">
      <c r="W456" s="22"/>
    </row>
    <row r="457" spans="23:23" x14ac:dyDescent="0.25">
      <c r="W457" s="22"/>
    </row>
    <row r="458" spans="23:23" x14ac:dyDescent="0.25">
      <c r="W458" s="22"/>
    </row>
    <row r="459" spans="23:23" x14ac:dyDescent="0.25">
      <c r="W459" s="22"/>
    </row>
    <row r="460" spans="23:23" x14ac:dyDescent="0.25">
      <c r="W460" s="22"/>
    </row>
    <row r="461" spans="23:23" x14ac:dyDescent="0.25">
      <c r="W461" s="22"/>
    </row>
    <row r="462" spans="23:23" x14ac:dyDescent="0.25">
      <c r="W462" s="22"/>
    </row>
    <row r="463" spans="23:23" x14ac:dyDescent="0.25">
      <c r="W463" s="22"/>
    </row>
    <row r="464" spans="23:23" x14ac:dyDescent="0.25">
      <c r="W464" s="22"/>
    </row>
    <row r="465" spans="23:23" x14ac:dyDescent="0.25">
      <c r="W465" s="22"/>
    </row>
    <row r="466" spans="23:23" x14ac:dyDescent="0.25">
      <c r="W466" s="22"/>
    </row>
    <row r="467" spans="23:23" x14ac:dyDescent="0.25">
      <c r="W467" s="22"/>
    </row>
    <row r="468" spans="23:23" x14ac:dyDescent="0.25">
      <c r="W468" s="22"/>
    </row>
    <row r="469" spans="23:23" x14ac:dyDescent="0.25">
      <c r="W469" s="22"/>
    </row>
    <row r="470" spans="23:23" x14ac:dyDescent="0.25">
      <c r="W470" s="22"/>
    </row>
    <row r="471" spans="23:23" x14ac:dyDescent="0.25">
      <c r="W471" s="22"/>
    </row>
    <row r="472" spans="23:23" x14ac:dyDescent="0.25">
      <c r="W472" s="22"/>
    </row>
    <row r="473" spans="23:23" x14ac:dyDescent="0.25">
      <c r="W473" s="22"/>
    </row>
    <row r="474" spans="23:23" x14ac:dyDescent="0.25">
      <c r="W474" s="22"/>
    </row>
    <row r="475" spans="23:23" x14ac:dyDescent="0.25">
      <c r="W475" s="22"/>
    </row>
    <row r="476" spans="23:23" x14ac:dyDescent="0.25">
      <c r="W476" s="22"/>
    </row>
    <row r="477" spans="23:23" x14ac:dyDescent="0.25">
      <c r="W477" s="22"/>
    </row>
    <row r="478" spans="23:23" x14ac:dyDescent="0.25">
      <c r="W478" s="22"/>
    </row>
    <row r="479" spans="23:23" x14ac:dyDescent="0.25">
      <c r="W479" s="22"/>
    </row>
    <row r="480" spans="23:23" x14ac:dyDescent="0.25">
      <c r="W480" s="22"/>
    </row>
    <row r="481" spans="23:23" x14ac:dyDescent="0.25">
      <c r="W481" s="22"/>
    </row>
    <row r="482" spans="23:23" x14ac:dyDescent="0.25">
      <c r="W482" s="22"/>
    </row>
    <row r="483" spans="23:23" x14ac:dyDescent="0.25">
      <c r="W483" s="22"/>
    </row>
    <row r="484" spans="23:23" x14ac:dyDescent="0.25">
      <c r="W484" s="22"/>
    </row>
    <row r="485" spans="23:23" x14ac:dyDescent="0.25">
      <c r="W485" s="22"/>
    </row>
    <row r="486" spans="23:23" x14ac:dyDescent="0.25">
      <c r="W486" s="22"/>
    </row>
    <row r="487" spans="23:23" x14ac:dyDescent="0.25">
      <c r="W487" s="22"/>
    </row>
    <row r="488" spans="23:23" x14ac:dyDescent="0.25">
      <c r="W488" s="22"/>
    </row>
    <row r="489" spans="23:23" x14ac:dyDescent="0.25">
      <c r="W489" s="22"/>
    </row>
    <row r="490" spans="23:23" x14ac:dyDescent="0.25">
      <c r="W490" s="22"/>
    </row>
    <row r="491" spans="23:23" x14ac:dyDescent="0.25">
      <c r="W491" s="22"/>
    </row>
    <row r="492" spans="23:23" x14ac:dyDescent="0.25">
      <c r="W492" s="22"/>
    </row>
    <row r="493" spans="23:23" x14ac:dyDescent="0.25">
      <c r="W493" s="22"/>
    </row>
    <row r="494" spans="23:23" x14ac:dyDescent="0.25">
      <c r="W494" s="22"/>
    </row>
    <row r="495" spans="23:23" x14ac:dyDescent="0.25">
      <c r="W495" s="22"/>
    </row>
    <row r="496" spans="23:23" x14ac:dyDescent="0.25">
      <c r="W496" s="22"/>
    </row>
    <row r="497" spans="23:23" x14ac:dyDescent="0.25">
      <c r="W497" s="22"/>
    </row>
    <row r="498" spans="23:23" x14ac:dyDescent="0.25">
      <c r="W498" s="22"/>
    </row>
    <row r="499" spans="23:23" x14ac:dyDescent="0.25">
      <c r="W499" s="22"/>
    </row>
    <row r="500" spans="23:23" x14ac:dyDescent="0.25">
      <c r="W500" s="22"/>
    </row>
    <row r="501" spans="23:23" x14ac:dyDescent="0.25">
      <c r="W501" s="22"/>
    </row>
    <row r="502" spans="23:23" x14ac:dyDescent="0.25">
      <c r="W502" s="22"/>
    </row>
    <row r="503" spans="23:23" x14ac:dyDescent="0.25">
      <c r="W503" s="22"/>
    </row>
    <row r="504" spans="23:23" x14ac:dyDescent="0.25">
      <c r="W504" s="22"/>
    </row>
    <row r="505" spans="23:23" x14ac:dyDescent="0.25">
      <c r="W505" s="22"/>
    </row>
    <row r="506" spans="23:23" x14ac:dyDescent="0.25">
      <c r="W506" s="22"/>
    </row>
    <row r="507" spans="23:23" x14ac:dyDescent="0.25">
      <c r="W507" s="22"/>
    </row>
    <row r="508" spans="23:23" x14ac:dyDescent="0.25">
      <c r="W508" s="22"/>
    </row>
    <row r="509" spans="23:23" x14ac:dyDescent="0.25">
      <c r="W509" s="22"/>
    </row>
    <row r="510" spans="23:23" x14ac:dyDescent="0.25">
      <c r="W510" s="22"/>
    </row>
    <row r="511" spans="23:23" x14ac:dyDescent="0.25">
      <c r="W511" s="22"/>
    </row>
    <row r="512" spans="23:23" x14ac:dyDescent="0.25">
      <c r="W512" s="22"/>
    </row>
    <row r="513" spans="23:23" x14ac:dyDescent="0.25">
      <c r="W513" s="22"/>
    </row>
    <row r="514" spans="23:23" x14ac:dyDescent="0.25">
      <c r="W514" s="22"/>
    </row>
    <row r="515" spans="23:23" x14ac:dyDescent="0.25">
      <c r="W515" s="22"/>
    </row>
    <row r="516" spans="23:23" x14ac:dyDescent="0.25">
      <c r="W516" s="22"/>
    </row>
    <row r="517" spans="23:23" x14ac:dyDescent="0.25">
      <c r="W517" s="22"/>
    </row>
    <row r="518" spans="23:23" x14ac:dyDescent="0.25">
      <c r="W518" s="22"/>
    </row>
    <row r="519" spans="23:23" x14ac:dyDescent="0.25">
      <c r="W519" s="22"/>
    </row>
    <row r="520" spans="23:23" x14ac:dyDescent="0.25">
      <c r="W520" s="22"/>
    </row>
    <row r="521" spans="23:23" x14ac:dyDescent="0.25">
      <c r="W521" s="22"/>
    </row>
    <row r="522" spans="23:23" x14ac:dyDescent="0.25">
      <c r="W522" s="22"/>
    </row>
    <row r="523" spans="23:23" x14ac:dyDescent="0.25">
      <c r="W523" s="22"/>
    </row>
    <row r="524" spans="23:23" x14ac:dyDescent="0.25">
      <c r="W524" s="22"/>
    </row>
    <row r="525" spans="23:23" x14ac:dyDescent="0.25">
      <c r="W525" s="22"/>
    </row>
    <row r="526" spans="23:23" x14ac:dyDescent="0.25">
      <c r="W526" s="22"/>
    </row>
    <row r="527" spans="23:23" x14ac:dyDescent="0.25">
      <c r="W527" s="22"/>
    </row>
    <row r="528" spans="23:23" x14ac:dyDescent="0.25">
      <c r="W528" s="22"/>
    </row>
    <row r="529" spans="1:23" x14ac:dyDescent="0.25">
      <c r="W529" s="22"/>
    </row>
    <row r="530" spans="1:23" x14ac:dyDescent="0.25">
      <c r="A530" s="79"/>
      <c r="B530" s="202"/>
      <c r="C530" s="208"/>
      <c r="D530" s="208"/>
      <c r="E530" s="202"/>
      <c r="F530" s="207"/>
      <c r="G530" s="205"/>
      <c r="H530" s="188"/>
      <c r="I530" s="188"/>
      <c r="J530" s="188"/>
      <c r="K530" s="188"/>
      <c r="L530" s="188"/>
      <c r="M530" s="188"/>
      <c r="N530" s="188"/>
      <c r="O530" s="188"/>
      <c r="P530" s="188"/>
      <c r="Q530" s="188"/>
      <c r="R530" s="188"/>
      <c r="S530" s="188"/>
      <c r="T530" s="188"/>
      <c r="U530" s="188"/>
      <c r="V530" s="22"/>
      <c r="W530" s="22"/>
    </row>
    <row r="531" spans="1:23" x14ac:dyDescent="0.25">
      <c r="A531" s="79"/>
      <c r="B531" s="202"/>
      <c r="C531" s="208"/>
      <c r="D531" s="208"/>
      <c r="E531" s="202"/>
      <c r="F531" s="205"/>
      <c r="G531" s="202"/>
      <c r="H531" s="188"/>
      <c r="I531" s="188"/>
      <c r="J531" s="188"/>
      <c r="K531" s="188"/>
      <c r="L531" s="188"/>
      <c r="M531" s="188"/>
      <c r="N531" s="188"/>
      <c r="O531" s="188"/>
      <c r="P531" s="188"/>
      <c r="Q531" s="188"/>
      <c r="R531" s="188"/>
      <c r="S531" s="188"/>
      <c r="T531" s="188"/>
      <c r="U531" s="188"/>
      <c r="V531" s="22"/>
      <c r="W531" s="22"/>
    </row>
    <row r="532" spans="1:23" x14ac:dyDescent="0.25">
      <c r="A532" s="79"/>
      <c r="B532" s="202"/>
      <c r="C532" s="204"/>
      <c r="D532" s="204"/>
      <c r="E532" s="202"/>
      <c r="F532" s="205"/>
      <c r="G532" s="202"/>
      <c r="H532" s="188"/>
      <c r="I532" s="188"/>
      <c r="J532" s="188"/>
      <c r="K532" s="188"/>
      <c r="L532" s="188"/>
      <c r="M532" s="188"/>
      <c r="N532" s="188"/>
      <c r="O532" s="188"/>
      <c r="P532" s="188"/>
      <c r="Q532" s="188"/>
      <c r="R532" s="188"/>
      <c r="S532" s="188"/>
      <c r="T532" s="188"/>
      <c r="U532" s="188"/>
      <c r="V532" s="22"/>
      <c r="W532" s="22"/>
    </row>
    <row r="533" spans="1:23" x14ac:dyDescent="0.25">
      <c r="A533" s="79"/>
      <c r="B533" s="201"/>
      <c r="C533" s="209"/>
      <c r="D533" s="209"/>
      <c r="E533" s="209"/>
      <c r="F533" s="207"/>
      <c r="G533" s="79"/>
      <c r="H533" s="188"/>
      <c r="I533" s="188"/>
      <c r="J533" s="188"/>
      <c r="K533" s="188"/>
      <c r="L533" s="188"/>
      <c r="M533" s="188"/>
      <c r="N533" s="188"/>
      <c r="O533" s="188"/>
      <c r="P533" s="188"/>
      <c r="Q533" s="188"/>
      <c r="R533" s="188"/>
      <c r="S533" s="188"/>
      <c r="T533" s="188"/>
      <c r="U533" s="188"/>
      <c r="V533" s="22"/>
      <c r="W533" s="22"/>
    </row>
    <row r="534" spans="1:23" x14ac:dyDescent="0.25">
      <c r="A534" s="79"/>
      <c r="B534" s="210"/>
      <c r="C534" s="211"/>
      <c r="D534" s="212"/>
      <c r="E534" s="210"/>
      <c r="F534" s="210"/>
      <c r="G534" s="79"/>
      <c r="H534" s="213"/>
      <c r="I534" s="188"/>
      <c r="J534" s="188"/>
      <c r="K534" s="188"/>
      <c r="L534" s="188"/>
      <c r="M534" s="188"/>
      <c r="N534" s="188"/>
      <c r="O534" s="188"/>
      <c r="P534" s="188"/>
      <c r="Q534" s="188"/>
      <c r="R534" s="188"/>
      <c r="S534" s="188"/>
      <c r="T534" s="188"/>
      <c r="U534" s="188"/>
      <c r="V534" s="22"/>
      <c r="W534" s="22"/>
    </row>
    <row r="535" spans="1:23" x14ac:dyDescent="0.25">
      <c r="A535" s="188"/>
      <c r="B535" s="188"/>
      <c r="C535" s="188"/>
      <c r="D535" s="188"/>
      <c r="E535" s="188"/>
      <c r="F535" s="188"/>
      <c r="G535" s="188"/>
      <c r="H535" s="188"/>
      <c r="I535" s="188"/>
      <c r="J535" s="188"/>
      <c r="K535" s="188"/>
      <c r="L535" s="188"/>
      <c r="M535" s="188"/>
      <c r="N535" s="188"/>
      <c r="O535" s="188"/>
      <c r="P535" s="188"/>
      <c r="Q535" s="188"/>
      <c r="R535" s="188"/>
      <c r="S535" s="188"/>
      <c r="T535" s="188"/>
      <c r="U535" s="188"/>
      <c r="V535" s="22"/>
      <c r="W535" s="22"/>
    </row>
    <row r="536" spans="1:23" x14ac:dyDescent="0.25">
      <c r="A536" s="188"/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88"/>
      <c r="S536" s="188"/>
      <c r="T536" s="188"/>
      <c r="U536" s="188"/>
    </row>
    <row r="537" spans="1:23" x14ac:dyDescent="0.25">
      <c r="A537" s="188"/>
      <c r="B537" s="188"/>
      <c r="C537" s="188"/>
      <c r="D537" s="188"/>
      <c r="E537" s="188"/>
      <c r="F537" s="188"/>
      <c r="G537" s="188"/>
      <c r="H537" s="188"/>
      <c r="I537" s="188"/>
      <c r="J537" s="188"/>
      <c r="K537" s="188"/>
      <c r="L537" s="188"/>
      <c r="M537" s="188"/>
      <c r="N537" s="188"/>
      <c r="O537" s="188"/>
      <c r="P537" s="188"/>
      <c r="Q537" s="188"/>
      <c r="R537" s="188"/>
      <c r="S537" s="188"/>
      <c r="T537" s="188"/>
      <c r="U537" s="188"/>
    </row>
    <row r="538" spans="1:23" x14ac:dyDescent="0.25">
      <c r="A538" s="188"/>
      <c r="B538" s="188"/>
      <c r="C538" s="188"/>
      <c r="D538" s="188"/>
      <c r="E538" s="188"/>
      <c r="F538" s="188"/>
      <c r="G538" s="188"/>
      <c r="H538" s="188"/>
      <c r="I538" s="188"/>
      <c r="J538" s="188"/>
      <c r="K538" s="188"/>
      <c r="L538" s="188"/>
      <c r="M538" s="188"/>
      <c r="N538" s="188"/>
      <c r="O538" s="188"/>
      <c r="P538" s="188"/>
      <c r="Q538" s="188"/>
      <c r="R538" s="188"/>
      <c r="S538" s="188"/>
      <c r="T538" s="188"/>
      <c r="U538" s="188"/>
    </row>
    <row r="539" spans="1:23" x14ac:dyDescent="0.25">
      <c r="A539" s="188"/>
      <c r="B539" s="188"/>
      <c r="C539" s="188"/>
      <c r="D539" s="188"/>
      <c r="E539" s="188"/>
      <c r="F539" s="188"/>
      <c r="G539" s="188"/>
      <c r="H539" s="188"/>
      <c r="I539" s="188"/>
      <c r="J539" s="188"/>
      <c r="K539" s="188"/>
      <c r="L539" s="188"/>
      <c r="M539" s="188"/>
      <c r="N539" s="188"/>
      <c r="O539" s="188"/>
      <c r="P539" s="188"/>
      <c r="Q539" s="188"/>
      <c r="R539" s="188"/>
      <c r="S539" s="188"/>
      <c r="T539" s="188"/>
      <c r="U539" s="188"/>
    </row>
    <row r="540" spans="1:23" x14ac:dyDescent="0.25">
      <c r="A540" s="188"/>
      <c r="B540" s="188"/>
      <c r="C540" s="188"/>
      <c r="D540" s="188"/>
      <c r="E540" s="188"/>
      <c r="F540" s="188"/>
      <c r="G540" s="188"/>
      <c r="H540" s="188"/>
      <c r="I540" s="188"/>
      <c r="J540" s="188"/>
      <c r="K540" s="188"/>
      <c r="L540" s="188"/>
      <c r="M540" s="188"/>
      <c r="N540" s="188"/>
      <c r="O540" s="188"/>
      <c r="P540" s="188"/>
      <c r="Q540" s="188"/>
      <c r="R540" s="188"/>
      <c r="S540" s="188"/>
      <c r="T540" s="188"/>
      <c r="U540" s="188"/>
    </row>
    <row r="541" spans="1:23" x14ac:dyDescent="0.25">
      <c r="A541" s="188"/>
      <c r="B541" s="188"/>
      <c r="C541" s="188"/>
      <c r="D541" s="188"/>
      <c r="E541" s="188"/>
      <c r="F541" s="188"/>
      <c r="G541" s="188"/>
      <c r="H541" s="188"/>
      <c r="I541" s="188"/>
      <c r="J541" s="188"/>
      <c r="K541" s="188"/>
      <c r="L541" s="188"/>
      <c r="M541" s="188"/>
      <c r="N541" s="188"/>
      <c r="O541" s="188"/>
      <c r="P541" s="188"/>
      <c r="Q541" s="188"/>
      <c r="R541" s="188"/>
      <c r="S541" s="188"/>
      <c r="T541" s="188"/>
      <c r="U541" s="188"/>
    </row>
    <row r="542" spans="1:23" x14ac:dyDescent="0.25">
      <c r="A542" s="188"/>
      <c r="B542" s="188"/>
      <c r="C542" s="188"/>
      <c r="D542" s="188"/>
      <c r="E542" s="188"/>
      <c r="F542" s="188"/>
      <c r="G542" s="188"/>
      <c r="H542" s="188"/>
      <c r="I542" s="188"/>
      <c r="J542" s="188"/>
      <c r="K542" s="188"/>
      <c r="L542" s="188"/>
      <c r="M542" s="188"/>
      <c r="N542" s="188"/>
      <c r="O542" s="188"/>
      <c r="P542" s="188"/>
      <c r="Q542" s="188"/>
      <c r="R542" s="188"/>
      <c r="S542" s="188"/>
      <c r="T542" s="188"/>
      <c r="U542" s="188"/>
    </row>
    <row r="543" spans="1:23" x14ac:dyDescent="0.25">
      <c r="A543" s="188"/>
      <c r="B543" s="188"/>
      <c r="C543" s="188"/>
      <c r="D543" s="188"/>
      <c r="E543" s="188"/>
      <c r="F543" s="188"/>
      <c r="G543" s="188"/>
      <c r="H543" s="188"/>
      <c r="I543" s="188"/>
      <c r="J543" s="188"/>
      <c r="K543" s="188"/>
      <c r="L543" s="188"/>
      <c r="M543" s="188"/>
      <c r="N543" s="188"/>
      <c r="O543" s="188"/>
      <c r="P543" s="188"/>
      <c r="Q543" s="188"/>
      <c r="R543" s="188"/>
      <c r="S543" s="188"/>
      <c r="T543" s="188"/>
      <c r="U543" s="188"/>
    </row>
    <row r="544" spans="1:23" x14ac:dyDescent="0.25">
      <c r="A544" s="188"/>
      <c r="B544" s="188"/>
      <c r="C544" s="188"/>
      <c r="D544" s="188"/>
      <c r="E544" s="188"/>
      <c r="F544" s="188"/>
      <c r="G544" s="188"/>
      <c r="H544" s="188"/>
      <c r="I544" s="188"/>
      <c r="J544" s="188"/>
      <c r="K544" s="188"/>
      <c r="L544" s="188"/>
      <c r="M544" s="188"/>
      <c r="N544" s="188"/>
      <c r="O544" s="188"/>
      <c r="P544" s="188"/>
      <c r="Q544" s="188"/>
      <c r="R544" s="188"/>
      <c r="S544" s="188"/>
      <c r="T544" s="188"/>
      <c r="U544" s="188"/>
    </row>
    <row r="545" spans="1:21" x14ac:dyDescent="0.25">
      <c r="A545" s="188"/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  <c r="T545" s="188"/>
      <c r="U545" s="188"/>
    </row>
    <row r="546" spans="1:21" x14ac:dyDescent="0.25">
      <c r="A546" s="188"/>
      <c r="B546" s="188"/>
      <c r="C546" s="188"/>
      <c r="D546" s="188"/>
      <c r="E546" s="188"/>
      <c r="F546" s="188"/>
      <c r="G546" s="188"/>
      <c r="H546" s="188"/>
      <c r="I546" s="188"/>
      <c r="J546" s="188"/>
      <c r="K546" s="188"/>
      <c r="L546" s="188"/>
      <c r="M546" s="188"/>
      <c r="N546" s="188"/>
      <c r="O546" s="188"/>
      <c r="P546" s="188"/>
      <c r="Q546" s="188"/>
      <c r="R546" s="188"/>
      <c r="S546" s="188"/>
      <c r="T546" s="188"/>
      <c r="U546" s="188"/>
    </row>
    <row r="547" spans="1:21" x14ac:dyDescent="0.25">
      <c r="A547" s="188"/>
      <c r="B547" s="188"/>
      <c r="C547" s="188"/>
      <c r="D547" s="188"/>
      <c r="E547" s="188"/>
      <c r="F547" s="188"/>
      <c r="G547" s="188"/>
      <c r="H547" s="188"/>
      <c r="I547" s="188"/>
      <c r="J547" s="188"/>
      <c r="K547" s="188"/>
      <c r="L547" s="188"/>
      <c r="M547" s="188"/>
      <c r="N547" s="188"/>
      <c r="O547" s="188"/>
      <c r="P547" s="188"/>
      <c r="Q547" s="188"/>
      <c r="R547" s="188"/>
      <c r="S547" s="188"/>
      <c r="T547" s="188"/>
      <c r="U547" s="188"/>
    </row>
    <row r="548" spans="1:21" x14ac:dyDescent="0.25">
      <c r="A548" s="188"/>
      <c r="B548" s="188"/>
      <c r="C548" s="188"/>
      <c r="D548" s="188"/>
      <c r="E548" s="188"/>
      <c r="F548" s="188"/>
      <c r="G548" s="188"/>
      <c r="H548" s="188"/>
      <c r="I548" s="188"/>
      <c r="J548" s="188"/>
      <c r="K548" s="188"/>
      <c r="L548" s="188"/>
      <c r="M548" s="188"/>
      <c r="N548" s="188"/>
      <c r="O548" s="188"/>
      <c r="P548" s="188"/>
      <c r="Q548" s="188"/>
      <c r="R548" s="188"/>
      <c r="S548" s="188"/>
      <c r="T548" s="188"/>
      <c r="U548" s="188"/>
    </row>
    <row r="549" spans="1:21" x14ac:dyDescent="0.25">
      <c r="A549" s="188"/>
      <c r="B549" s="188"/>
      <c r="C549" s="188"/>
      <c r="D549" s="188"/>
      <c r="E549" s="188"/>
      <c r="F549" s="188"/>
      <c r="G549" s="188"/>
      <c r="H549" s="188"/>
      <c r="I549" s="188"/>
      <c r="J549" s="188"/>
      <c r="K549" s="188"/>
      <c r="L549" s="188"/>
      <c r="M549" s="188"/>
      <c r="N549" s="188"/>
      <c r="O549" s="188"/>
      <c r="P549" s="188"/>
      <c r="Q549" s="188"/>
      <c r="R549" s="188"/>
      <c r="S549" s="188"/>
      <c r="T549" s="188"/>
      <c r="U549" s="188"/>
    </row>
    <row r="550" spans="1:21" x14ac:dyDescent="0.25">
      <c r="A550" s="188"/>
      <c r="B550" s="188"/>
      <c r="C550" s="188"/>
      <c r="D550" s="188"/>
      <c r="E550" s="188"/>
      <c r="F550" s="188"/>
      <c r="G550" s="188"/>
      <c r="H550" s="188"/>
      <c r="I550" s="188"/>
      <c r="J550" s="188"/>
      <c r="K550" s="188"/>
      <c r="L550" s="188"/>
      <c r="M550" s="188"/>
      <c r="N550" s="188"/>
      <c r="O550" s="188"/>
      <c r="P550" s="188"/>
      <c r="Q550" s="188"/>
      <c r="R550" s="188"/>
      <c r="S550" s="188"/>
      <c r="T550" s="188"/>
      <c r="U550" s="188"/>
    </row>
    <row r="551" spans="1:21" x14ac:dyDescent="0.25">
      <c r="A551" s="188"/>
      <c r="B551" s="188"/>
      <c r="C551" s="188"/>
      <c r="D551" s="188"/>
      <c r="E551" s="188"/>
      <c r="F551" s="188"/>
      <c r="G551" s="188"/>
      <c r="H551" s="188"/>
      <c r="I551" s="188"/>
      <c r="J551" s="188"/>
      <c r="K551" s="188"/>
      <c r="L551" s="188"/>
      <c r="M551" s="188"/>
      <c r="N551" s="188"/>
      <c r="O551" s="188"/>
      <c r="P551" s="188"/>
      <c r="Q551" s="188"/>
      <c r="R551" s="188"/>
      <c r="S551" s="188"/>
      <c r="T551" s="188"/>
      <c r="U551" s="188"/>
    </row>
    <row r="552" spans="1:21" x14ac:dyDescent="0.25">
      <c r="A552" s="188"/>
      <c r="B552" s="188"/>
      <c r="C552" s="188"/>
      <c r="D552" s="188"/>
      <c r="E552" s="188"/>
      <c r="F552" s="188"/>
      <c r="G552" s="188"/>
      <c r="H552" s="188"/>
      <c r="I552" s="188"/>
      <c r="J552" s="188"/>
      <c r="K552" s="188"/>
      <c r="L552" s="188"/>
      <c r="M552" s="188"/>
      <c r="N552" s="188"/>
      <c r="O552" s="188"/>
      <c r="P552" s="188"/>
      <c r="Q552" s="188"/>
      <c r="R552" s="188"/>
      <c r="S552" s="188"/>
      <c r="T552" s="188"/>
      <c r="U552" s="188"/>
    </row>
    <row r="553" spans="1:21" x14ac:dyDescent="0.25">
      <c r="A553" s="188"/>
      <c r="B553" s="188"/>
      <c r="C553" s="188"/>
      <c r="D553" s="188"/>
      <c r="E553" s="188"/>
      <c r="F553" s="188"/>
      <c r="G553" s="188"/>
      <c r="H553" s="188"/>
      <c r="I553" s="188"/>
      <c r="J553" s="188"/>
      <c r="K553" s="188"/>
      <c r="L553" s="188"/>
      <c r="M553" s="188"/>
      <c r="N553" s="188"/>
      <c r="O553" s="188"/>
      <c r="P553" s="188"/>
      <c r="Q553" s="188"/>
      <c r="R553" s="188"/>
      <c r="S553" s="188"/>
      <c r="T553" s="188"/>
      <c r="U553" s="188"/>
    </row>
    <row r="554" spans="1:21" x14ac:dyDescent="0.25">
      <c r="A554" s="188"/>
      <c r="B554" s="188"/>
      <c r="C554" s="188"/>
      <c r="D554" s="188"/>
      <c r="E554" s="188"/>
      <c r="F554" s="188"/>
      <c r="G554" s="188"/>
      <c r="H554" s="188"/>
      <c r="I554" s="188"/>
      <c r="J554" s="188"/>
      <c r="K554" s="188"/>
      <c r="L554" s="188"/>
      <c r="M554" s="188"/>
      <c r="N554" s="188"/>
      <c r="O554" s="188"/>
      <c r="P554" s="188"/>
      <c r="Q554" s="188"/>
      <c r="R554" s="188"/>
      <c r="S554" s="188"/>
      <c r="T554" s="188"/>
      <c r="U554" s="188"/>
    </row>
    <row r="555" spans="1:21" x14ac:dyDescent="0.25">
      <c r="A555" s="188"/>
      <c r="B555" s="188"/>
      <c r="C555" s="188"/>
      <c r="D555" s="188"/>
      <c r="E555" s="188"/>
      <c r="F555" s="188"/>
      <c r="G555" s="188"/>
      <c r="H555" s="188"/>
      <c r="I555" s="188"/>
      <c r="J555" s="188"/>
      <c r="K555" s="188"/>
      <c r="L555" s="188"/>
      <c r="M555" s="188"/>
      <c r="N555" s="188"/>
      <c r="O555" s="188"/>
      <c r="P555" s="188"/>
      <c r="Q555" s="188"/>
      <c r="R555" s="188"/>
      <c r="S555" s="188"/>
      <c r="T555" s="188"/>
      <c r="U555" s="188"/>
    </row>
    <row r="556" spans="1:21" x14ac:dyDescent="0.25">
      <c r="A556" s="188"/>
      <c r="B556" s="188"/>
      <c r="C556" s="188"/>
      <c r="D556" s="188"/>
      <c r="E556" s="188"/>
      <c r="F556" s="188"/>
      <c r="G556" s="188"/>
      <c r="H556" s="188"/>
      <c r="I556" s="188"/>
      <c r="J556" s="188"/>
      <c r="K556" s="188"/>
      <c r="L556" s="188"/>
      <c r="M556" s="188"/>
      <c r="N556" s="188"/>
      <c r="O556" s="188"/>
      <c r="P556" s="188"/>
      <c r="Q556" s="188"/>
      <c r="R556" s="188"/>
      <c r="S556" s="188"/>
      <c r="T556" s="188"/>
      <c r="U556" s="188"/>
    </row>
    <row r="557" spans="1:21" x14ac:dyDescent="0.25">
      <c r="A557" s="188"/>
      <c r="B557" s="188"/>
      <c r="C557" s="188"/>
      <c r="D557" s="188"/>
      <c r="E557" s="188"/>
      <c r="F557" s="188"/>
      <c r="G557" s="188"/>
      <c r="H557" s="188"/>
      <c r="I557" s="188"/>
      <c r="J557" s="188"/>
      <c r="K557" s="188"/>
      <c r="L557" s="188"/>
      <c r="M557" s="188"/>
      <c r="N557" s="188"/>
      <c r="O557" s="188"/>
      <c r="P557" s="188"/>
      <c r="Q557" s="188"/>
      <c r="R557" s="188"/>
      <c r="S557" s="188"/>
      <c r="T557" s="188"/>
      <c r="U557" s="188"/>
    </row>
    <row r="558" spans="1:21" x14ac:dyDescent="0.25">
      <c r="A558" s="188"/>
      <c r="B558" s="188"/>
      <c r="C558" s="188"/>
      <c r="D558" s="188"/>
      <c r="E558" s="188"/>
      <c r="F558" s="188"/>
      <c r="G558" s="188"/>
      <c r="H558" s="188"/>
      <c r="I558" s="188"/>
      <c r="J558" s="188"/>
      <c r="K558" s="188"/>
      <c r="L558" s="188"/>
      <c r="M558" s="188"/>
      <c r="N558" s="188"/>
      <c r="O558" s="188"/>
      <c r="P558" s="188"/>
      <c r="Q558" s="188"/>
      <c r="R558" s="188"/>
      <c r="S558" s="188"/>
      <c r="T558" s="188"/>
      <c r="U558" s="188"/>
    </row>
    <row r="559" spans="1:21" x14ac:dyDescent="0.25">
      <c r="A559" s="188"/>
      <c r="B559" s="188"/>
      <c r="C559" s="188"/>
      <c r="D559" s="188"/>
      <c r="E559" s="188"/>
      <c r="F559" s="188"/>
      <c r="G559" s="188"/>
      <c r="H559" s="188"/>
      <c r="I559" s="188"/>
      <c r="J559" s="188"/>
      <c r="K559" s="188"/>
      <c r="L559" s="188"/>
      <c r="M559" s="188"/>
      <c r="N559" s="188"/>
      <c r="O559" s="188"/>
      <c r="P559" s="188"/>
      <c r="Q559" s="188"/>
      <c r="R559" s="188"/>
      <c r="S559" s="188"/>
      <c r="T559" s="188"/>
      <c r="U559" s="188"/>
    </row>
    <row r="560" spans="1:21" x14ac:dyDescent="0.25">
      <c r="A560" s="188"/>
      <c r="B560" s="188"/>
      <c r="C560" s="188"/>
      <c r="D560" s="188"/>
      <c r="E560" s="188"/>
      <c r="F560" s="188"/>
      <c r="G560" s="188"/>
      <c r="H560" s="188"/>
      <c r="I560" s="188"/>
      <c r="J560" s="188"/>
      <c r="K560" s="188"/>
      <c r="L560" s="188"/>
      <c r="M560" s="188"/>
      <c r="N560" s="188"/>
      <c r="O560" s="188"/>
      <c r="P560" s="188"/>
      <c r="Q560" s="188"/>
      <c r="R560" s="188"/>
      <c r="S560" s="188"/>
      <c r="T560" s="188"/>
      <c r="U560" s="188"/>
    </row>
    <row r="561" spans="1:21" x14ac:dyDescent="0.25">
      <c r="A561" s="188"/>
      <c r="B561" s="188"/>
      <c r="C561" s="188"/>
      <c r="D561" s="188"/>
      <c r="E561" s="188"/>
      <c r="F561" s="188"/>
      <c r="G561" s="188"/>
      <c r="H561" s="188"/>
      <c r="I561" s="188"/>
      <c r="J561" s="188"/>
      <c r="K561" s="188"/>
      <c r="L561" s="188"/>
      <c r="M561" s="188"/>
      <c r="N561" s="188"/>
      <c r="O561" s="188"/>
      <c r="P561" s="188"/>
      <c r="Q561" s="188"/>
      <c r="R561" s="188"/>
      <c r="S561" s="188"/>
      <c r="T561" s="188"/>
      <c r="U561" s="188"/>
    </row>
    <row r="562" spans="1:21" x14ac:dyDescent="0.25">
      <c r="A562" s="188"/>
      <c r="B562" s="188"/>
      <c r="C562" s="188"/>
      <c r="D562" s="188"/>
      <c r="E562" s="188"/>
      <c r="F562" s="188"/>
      <c r="G562" s="188"/>
      <c r="H562" s="188"/>
      <c r="I562" s="188"/>
      <c r="J562" s="188"/>
      <c r="K562" s="188"/>
      <c r="L562" s="188"/>
      <c r="M562" s="188"/>
      <c r="N562" s="188"/>
      <c r="O562" s="188"/>
      <c r="P562" s="188"/>
      <c r="Q562" s="188"/>
      <c r="R562" s="188"/>
      <c r="S562" s="188"/>
      <c r="T562" s="188"/>
      <c r="U562" s="188"/>
    </row>
    <row r="563" spans="1:21" x14ac:dyDescent="0.25">
      <c r="A563" s="188"/>
      <c r="B563" s="188"/>
      <c r="C563" s="188"/>
      <c r="D563" s="188"/>
      <c r="E563" s="188"/>
      <c r="F563" s="188"/>
      <c r="G563" s="188"/>
      <c r="H563" s="188"/>
    </row>
  </sheetData>
  <mergeCells count="9">
    <mergeCell ref="A27:S27"/>
    <mergeCell ref="A1:G3"/>
    <mergeCell ref="A342:H342"/>
    <mergeCell ref="A120:S120"/>
    <mergeCell ref="A242:S242"/>
    <mergeCell ref="B29:H31"/>
    <mergeCell ref="J29:Q31"/>
    <mergeCell ref="H67:H76"/>
    <mergeCell ref="H220:H22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81"/>
  <sheetViews>
    <sheetView view="pageBreakPreview" topLeftCell="A140" zoomScale="55" zoomScaleNormal="55" zoomScaleSheetLayoutView="55" workbookViewId="0">
      <selection activeCell="G368" sqref="G368"/>
    </sheetView>
  </sheetViews>
  <sheetFormatPr defaultColWidth="25.140625" defaultRowHeight="15" x14ac:dyDescent="0.25"/>
  <cols>
    <col min="1" max="1" width="41.85546875" style="15" bestFit="1" customWidth="1"/>
    <col min="2" max="2" width="27.140625" style="15" bestFit="1" customWidth="1"/>
    <col min="3" max="3" width="32" style="15" customWidth="1"/>
    <col min="4" max="4" width="13.85546875" style="15" bestFit="1" customWidth="1"/>
    <col min="5" max="5" width="15.42578125" style="15" bestFit="1" customWidth="1"/>
    <col min="6" max="6" width="21.140625" style="15" customWidth="1"/>
    <col min="7" max="7" width="30.5703125" style="15" customWidth="1"/>
    <col min="8" max="8" width="36.7109375" style="15" bestFit="1" customWidth="1"/>
    <col min="9" max="9" width="13.7109375" style="15" customWidth="1"/>
    <col min="10" max="10" width="21.7109375" style="15" customWidth="1"/>
    <col min="11" max="11" width="25.7109375" style="15" customWidth="1"/>
    <col min="12" max="12" width="2.28515625" style="15" hidden="1" customWidth="1"/>
    <col min="13" max="13" width="3.28515625" style="22" customWidth="1"/>
    <col min="14" max="14" width="3.42578125" style="22" customWidth="1"/>
    <col min="15" max="15" width="27.140625" style="15" bestFit="1" customWidth="1"/>
    <col min="16" max="17" width="11" style="15" bestFit="1" customWidth="1"/>
    <col min="18" max="18" width="15.42578125" style="15" bestFit="1" customWidth="1"/>
    <col min="19" max="19" width="15.7109375" style="15" customWidth="1"/>
    <col min="20" max="20" width="35.85546875" style="15" customWidth="1"/>
    <col min="21" max="21" width="9.42578125" style="15" bestFit="1" customWidth="1"/>
    <col min="22" max="22" width="58.85546875" style="22" bestFit="1" customWidth="1"/>
    <col min="23" max="47" width="25.140625" style="22"/>
    <col min="48" max="16384" width="25.140625" style="15"/>
  </cols>
  <sheetData>
    <row r="1" spans="1:21" x14ac:dyDescent="0.25">
      <c r="A1" s="15" t="s">
        <v>9</v>
      </c>
      <c r="B1" s="62" t="s">
        <v>166</v>
      </c>
      <c r="H1" s="22"/>
      <c r="I1" s="57"/>
      <c r="J1" s="57"/>
      <c r="K1" s="57"/>
      <c r="L1" s="57"/>
      <c r="U1" s="57"/>
    </row>
    <row r="2" spans="1:21" x14ac:dyDescent="0.25">
      <c r="A2" s="530" t="s">
        <v>266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7"/>
    </row>
    <row r="3" spans="1:21" x14ac:dyDescent="0.25">
      <c r="A3" s="530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7"/>
    </row>
    <row r="4" spans="1:21" ht="60" x14ac:dyDescent="0.25">
      <c r="A4" s="137" t="s">
        <v>252</v>
      </c>
      <c r="B4" s="13" t="s">
        <v>15</v>
      </c>
      <c r="C4" s="13" t="s">
        <v>11</v>
      </c>
      <c r="D4" s="13" t="s">
        <v>12</v>
      </c>
      <c r="E4" s="13" t="s">
        <v>13</v>
      </c>
      <c r="F4" s="13" t="s">
        <v>14</v>
      </c>
      <c r="G4" s="13" t="s">
        <v>0</v>
      </c>
      <c r="H4" s="22"/>
      <c r="I4" s="15" t="s">
        <v>187</v>
      </c>
      <c r="J4" s="15" t="s">
        <v>186</v>
      </c>
      <c r="K4" s="57"/>
      <c r="L4" s="57"/>
      <c r="O4" s="13" t="s">
        <v>15</v>
      </c>
      <c r="P4" s="13" t="s">
        <v>11</v>
      </c>
      <c r="Q4" s="13" t="s">
        <v>12</v>
      </c>
      <c r="R4" s="13" t="s">
        <v>13</v>
      </c>
      <c r="S4" s="13" t="s">
        <v>14</v>
      </c>
      <c r="T4" s="13" t="s">
        <v>0</v>
      </c>
      <c r="U4" s="57"/>
    </row>
    <row r="5" spans="1:21" ht="30" x14ac:dyDescent="0.25">
      <c r="A5" s="32">
        <v>4</v>
      </c>
      <c r="B5" s="14" t="s">
        <v>2</v>
      </c>
      <c r="C5" s="25">
        <v>0.625</v>
      </c>
      <c r="D5" s="25">
        <v>0.66666666666666696</v>
      </c>
      <c r="E5" s="14">
        <v>1</v>
      </c>
      <c r="F5" s="24"/>
      <c r="G5" s="14" t="s">
        <v>101</v>
      </c>
      <c r="H5" s="22"/>
      <c r="I5" s="57" t="s">
        <v>182</v>
      </c>
      <c r="J5" s="57" t="s">
        <v>181</v>
      </c>
      <c r="K5" s="57"/>
      <c r="L5" s="57"/>
      <c r="O5" s="14" t="s">
        <v>2</v>
      </c>
      <c r="P5" s="25">
        <v>0.625</v>
      </c>
      <c r="Q5" s="25">
        <v>0.66666666666666696</v>
      </c>
      <c r="R5" s="14">
        <v>1</v>
      </c>
      <c r="S5" s="24"/>
      <c r="T5" s="14" t="s">
        <v>101</v>
      </c>
      <c r="U5" s="57"/>
    </row>
    <row r="6" spans="1:21" ht="30" x14ac:dyDescent="0.25">
      <c r="A6" s="32">
        <v>5</v>
      </c>
      <c r="B6" s="14" t="s">
        <v>3</v>
      </c>
      <c r="C6" s="25"/>
      <c r="D6" s="25"/>
      <c r="E6" s="14"/>
      <c r="F6" s="24"/>
      <c r="G6" s="14"/>
      <c r="H6" s="22"/>
      <c r="I6" s="57" t="s">
        <v>180</v>
      </c>
      <c r="J6" s="57" t="s">
        <v>179</v>
      </c>
      <c r="K6" s="57"/>
      <c r="L6" s="57"/>
      <c r="O6" s="14" t="s">
        <v>3</v>
      </c>
      <c r="P6" s="25"/>
      <c r="Q6" s="25"/>
      <c r="R6" s="14"/>
      <c r="S6" s="24"/>
      <c r="T6" s="14"/>
      <c r="U6" s="57"/>
    </row>
    <row r="7" spans="1:21" x14ac:dyDescent="0.25">
      <c r="A7" s="32">
        <v>6</v>
      </c>
      <c r="B7" s="14" t="s">
        <v>4</v>
      </c>
      <c r="C7" s="25">
        <v>0.625</v>
      </c>
      <c r="D7" s="25">
        <v>0.66666666666666696</v>
      </c>
      <c r="E7" s="14">
        <v>1</v>
      </c>
      <c r="F7" s="24"/>
      <c r="G7" s="14" t="s">
        <v>102</v>
      </c>
      <c r="H7" s="22"/>
      <c r="I7" s="57"/>
      <c r="J7" s="57"/>
      <c r="K7" s="57"/>
      <c r="L7" s="57"/>
      <c r="O7" s="14" t="s">
        <v>4</v>
      </c>
      <c r="P7" s="25">
        <v>0.625</v>
      </c>
      <c r="Q7" s="25">
        <v>0.66666666666666696</v>
      </c>
      <c r="R7" s="14">
        <v>1</v>
      </c>
      <c r="S7" s="24"/>
      <c r="T7" s="14" t="s">
        <v>102</v>
      </c>
      <c r="U7" s="57"/>
    </row>
    <row r="8" spans="1:21" x14ac:dyDescent="0.25">
      <c r="A8" s="32">
        <v>7</v>
      </c>
      <c r="B8" s="14" t="s">
        <v>5</v>
      </c>
      <c r="C8" s="26"/>
      <c r="D8" s="26"/>
      <c r="F8" s="24"/>
      <c r="G8" s="14"/>
      <c r="H8" s="22"/>
      <c r="I8" s="57"/>
      <c r="J8" s="57"/>
      <c r="K8" s="57"/>
      <c r="L8" s="57"/>
      <c r="O8" s="14" t="s">
        <v>5</v>
      </c>
      <c r="P8" s="25"/>
      <c r="Q8" s="25"/>
      <c r="R8" s="14"/>
      <c r="S8" s="24"/>
      <c r="T8" s="14"/>
      <c r="U8" s="57"/>
    </row>
    <row r="9" spans="1:21" x14ac:dyDescent="0.25">
      <c r="A9" s="32">
        <v>8</v>
      </c>
      <c r="B9" s="14"/>
      <c r="C9" s="25"/>
      <c r="D9" s="25"/>
      <c r="E9" s="14"/>
      <c r="F9" s="24"/>
      <c r="G9" s="14"/>
      <c r="H9" s="22"/>
      <c r="I9" s="57"/>
      <c r="J9" s="57"/>
      <c r="K9" s="57"/>
      <c r="L9" s="57"/>
      <c r="O9" s="14" t="s">
        <v>6</v>
      </c>
      <c r="P9" s="14"/>
      <c r="Q9" s="14"/>
      <c r="R9" s="14"/>
      <c r="S9" s="24"/>
      <c r="T9" s="14"/>
      <c r="U9" s="57"/>
    </row>
    <row r="10" spans="1:21" x14ac:dyDescent="0.25">
      <c r="A10" s="32">
        <v>9</v>
      </c>
      <c r="B10" s="14" t="s">
        <v>6</v>
      </c>
      <c r="C10" s="14"/>
      <c r="D10" s="14"/>
      <c r="E10" s="14"/>
      <c r="F10" s="23"/>
      <c r="G10" s="21"/>
      <c r="H10" s="22"/>
      <c r="I10" s="57"/>
      <c r="J10" s="57"/>
      <c r="K10" s="57"/>
      <c r="L10" s="57"/>
      <c r="O10" s="14" t="s">
        <v>7</v>
      </c>
      <c r="P10" s="14"/>
      <c r="Q10" s="14"/>
      <c r="R10" s="14"/>
      <c r="S10" s="24"/>
      <c r="T10" s="14"/>
      <c r="U10" s="57"/>
    </row>
    <row r="11" spans="1:21" x14ac:dyDescent="0.25">
      <c r="A11" s="32">
        <v>10</v>
      </c>
      <c r="B11" s="14" t="s">
        <v>7</v>
      </c>
      <c r="C11" s="14"/>
      <c r="D11" s="14"/>
      <c r="E11" s="14"/>
      <c r="F11" s="23"/>
      <c r="G11" s="21"/>
      <c r="H11" s="22"/>
      <c r="I11" s="57"/>
      <c r="J11" s="57"/>
      <c r="K11" s="57"/>
      <c r="L11" s="57"/>
      <c r="O11" s="14" t="s">
        <v>8</v>
      </c>
      <c r="P11" s="25"/>
      <c r="Q11" s="25"/>
      <c r="R11" s="14"/>
      <c r="S11" s="24"/>
      <c r="T11" s="14"/>
      <c r="U11" s="57"/>
    </row>
    <row r="12" spans="1:21" x14ac:dyDescent="0.25">
      <c r="A12" s="32">
        <v>11</v>
      </c>
      <c r="B12" s="14" t="s">
        <v>8</v>
      </c>
      <c r="C12" s="25"/>
      <c r="D12" s="25"/>
      <c r="E12" s="14"/>
      <c r="F12" s="23"/>
      <c r="G12" s="53"/>
      <c r="H12" s="22"/>
      <c r="I12" s="57"/>
      <c r="J12" s="57"/>
      <c r="K12" s="57"/>
      <c r="L12" s="57"/>
      <c r="O12" s="13" t="s">
        <v>26</v>
      </c>
      <c r="P12" s="32"/>
      <c r="Q12" s="32"/>
      <c r="R12" s="32">
        <f>SUM(R5:R11)</f>
        <v>2</v>
      </c>
      <c r="U12" s="57"/>
    </row>
    <row r="13" spans="1:21" x14ac:dyDescent="0.25">
      <c r="B13" s="13" t="s">
        <v>26</v>
      </c>
      <c r="E13" s="32">
        <f>SUM(E5:E12)</f>
        <v>2</v>
      </c>
      <c r="F13" s="22"/>
      <c r="G13" s="53"/>
      <c r="H13" s="22"/>
      <c r="I13" s="57"/>
      <c r="J13" s="57"/>
      <c r="K13" s="57"/>
      <c r="L13" s="57"/>
      <c r="O13" s="13"/>
      <c r="P13" s="32"/>
      <c r="Q13" s="32"/>
      <c r="R13" s="32"/>
      <c r="U13" s="57"/>
    </row>
    <row r="14" spans="1:21" x14ac:dyDescent="0.25">
      <c r="A14" s="22"/>
      <c r="B14" s="22"/>
      <c r="C14" s="22"/>
      <c r="D14" s="22"/>
      <c r="E14" s="22"/>
      <c r="F14" s="22"/>
      <c r="G14" s="22"/>
      <c r="H14" s="22"/>
      <c r="I14" s="57"/>
      <c r="J14" s="57"/>
      <c r="K14" s="57"/>
      <c r="L14" s="57"/>
      <c r="O14" s="13"/>
      <c r="P14" s="32"/>
      <c r="Q14" s="32"/>
      <c r="R14" s="32"/>
      <c r="U14" s="57"/>
    </row>
    <row r="15" spans="1:21" x14ac:dyDescent="0.25">
      <c r="B15" s="13" t="s">
        <v>42</v>
      </c>
      <c r="C15" s="13" t="s">
        <v>11</v>
      </c>
      <c r="D15" s="13" t="s">
        <v>12</v>
      </c>
      <c r="E15" s="13" t="s">
        <v>13</v>
      </c>
      <c r="F15" s="32" t="s">
        <v>150</v>
      </c>
      <c r="G15" s="13" t="s">
        <v>0</v>
      </c>
      <c r="H15" s="13" t="s">
        <v>43</v>
      </c>
      <c r="I15" s="57"/>
      <c r="J15" s="57"/>
      <c r="K15" s="57"/>
      <c r="L15" s="57"/>
      <c r="O15" s="13" t="s">
        <v>42</v>
      </c>
      <c r="P15" s="13" t="s">
        <v>11</v>
      </c>
      <c r="Q15" s="13" t="s">
        <v>12</v>
      </c>
      <c r="R15" s="13" t="s">
        <v>13</v>
      </c>
      <c r="S15" s="13" t="s">
        <v>14</v>
      </c>
      <c r="T15" s="13" t="s">
        <v>0</v>
      </c>
      <c r="U15" s="57"/>
    </row>
    <row r="16" spans="1:21" x14ac:dyDescent="0.25">
      <c r="A16" s="32">
        <v>12</v>
      </c>
      <c r="B16" s="14" t="s">
        <v>2</v>
      </c>
      <c r="H16" s="22"/>
      <c r="I16" s="57"/>
      <c r="J16" s="57"/>
      <c r="K16" s="57"/>
      <c r="L16" s="57"/>
      <c r="O16" s="14" t="s">
        <v>2</v>
      </c>
      <c r="P16" s="25"/>
      <c r="Q16" s="25"/>
      <c r="R16" s="14"/>
      <c r="S16" s="24"/>
      <c r="T16" s="14"/>
      <c r="U16" s="57"/>
    </row>
    <row r="17" spans="1:47" x14ac:dyDescent="0.25">
      <c r="A17" s="32">
        <v>13</v>
      </c>
      <c r="B17" s="14" t="s">
        <v>3</v>
      </c>
      <c r="C17" s="26"/>
      <c r="D17" s="26"/>
      <c r="H17" s="22"/>
      <c r="I17" s="57"/>
      <c r="J17" s="57"/>
      <c r="K17" s="57"/>
      <c r="L17" s="57"/>
      <c r="O17" s="14" t="s">
        <v>3</v>
      </c>
      <c r="P17" s="33"/>
      <c r="Q17" s="25"/>
      <c r="R17" s="14"/>
      <c r="S17" s="24"/>
      <c r="T17" s="14"/>
      <c r="U17" s="57"/>
    </row>
    <row r="18" spans="1:47" x14ac:dyDescent="0.25">
      <c r="A18" s="32">
        <v>14</v>
      </c>
      <c r="B18" s="14" t="s">
        <v>4</v>
      </c>
      <c r="H18" s="22"/>
      <c r="I18" s="57"/>
      <c r="J18" s="57"/>
      <c r="K18" s="57"/>
      <c r="L18" s="57"/>
      <c r="O18" s="14" t="s">
        <v>4</v>
      </c>
      <c r="P18" s="26"/>
      <c r="Q18" s="26"/>
      <c r="R18" s="14"/>
      <c r="S18" s="24"/>
      <c r="T18" s="14"/>
      <c r="U18" s="57"/>
    </row>
    <row r="19" spans="1:47" x14ac:dyDescent="0.25">
      <c r="A19" s="32">
        <v>15</v>
      </c>
      <c r="B19" s="14" t="s">
        <v>5</v>
      </c>
      <c r="C19" s="25"/>
      <c r="D19" s="25"/>
      <c r="H19" s="22"/>
      <c r="I19" s="57"/>
      <c r="J19" s="57"/>
      <c r="K19" s="57"/>
      <c r="L19" s="57"/>
      <c r="O19" s="14" t="s">
        <v>5</v>
      </c>
      <c r="P19" s="25"/>
      <c r="Q19" s="25"/>
      <c r="R19" s="14"/>
      <c r="S19" s="24"/>
      <c r="T19" s="14"/>
      <c r="U19" s="57"/>
    </row>
    <row r="20" spans="1:47" x14ac:dyDescent="0.25">
      <c r="A20" s="32">
        <v>16</v>
      </c>
      <c r="B20" s="14" t="s">
        <v>6</v>
      </c>
      <c r="C20" s="26"/>
      <c r="D20" s="26"/>
      <c r="H20" s="22"/>
      <c r="I20" s="57"/>
      <c r="J20" s="57"/>
      <c r="K20" s="57"/>
      <c r="L20" s="57"/>
      <c r="O20" s="14" t="s">
        <v>6</v>
      </c>
      <c r="P20" s="14"/>
      <c r="Q20" s="14"/>
      <c r="R20" s="14"/>
      <c r="S20" s="24"/>
      <c r="T20" s="14"/>
      <c r="U20" s="57"/>
    </row>
    <row r="21" spans="1:47" x14ac:dyDescent="0.25">
      <c r="A21" s="32">
        <v>17</v>
      </c>
      <c r="B21" s="14" t="s">
        <v>7</v>
      </c>
      <c r="H21" s="22"/>
      <c r="I21" s="57"/>
      <c r="J21" s="57"/>
      <c r="K21" s="57"/>
      <c r="L21" s="57"/>
      <c r="O21" s="14" t="s">
        <v>7</v>
      </c>
      <c r="P21" s="14"/>
      <c r="Q21" s="14"/>
      <c r="R21" s="14"/>
      <c r="S21" s="24"/>
      <c r="T21" s="14"/>
      <c r="U21" s="57"/>
    </row>
    <row r="22" spans="1:47" x14ac:dyDescent="0.25">
      <c r="A22" s="32">
        <v>18</v>
      </c>
      <c r="B22" s="14" t="s">
        <v>8</v>
      </c>
      <c r="H22" s="22"/>
      <c r="I22" s="57"/>
      <c r="J22" s="57"/>
      <c r="K22" s="57"/>
      <c r="L22" s="57"/>
      <c r="O22" s="14" t="s">
        <v>8</v>
      </c>
      <c r="P22" s="25"/>
      <c r="Q22" s="25"/>
      <c r="R22" s="14"/>
      <c r="S22" s="24"/>
      <c r="T22" s="14"/>
      <c r="U22" s="57"/>
    </row>
    <row r="23" spans="1:47" x14ac:dyDescent="0.25">
      <c r="B23" s="13" t="s">
        <v>26</v>
      </c>
      <c r="C23" s="32"/>
      <c r="D23" s="32"/>
      <c r="E23" s="32">
        <f>SUM(E16:E22)</f>
        <v>0</v>
      </c>
      <c r="F23" s="115" t="s">
        <v>393</v>
      </c>
      <c r="G23" s="145" t="s">
        <v>397</v>
      </c>
      <c r="H23" s="22"/>
      <c r="I23" s="57"/>
      <c r="J23" s="57"/>
      <c r="K23" s="57"/>
      <c r="L23" s="57"/>
      <c r="O23" s="13" t="s">
        <v>26</v>
      </c>
      <c r="P23" s="32"/>
      <c r="Q23" s="32"/>
      <c r="R23" s="32"/>
      <c r="U23" s="57"/>
    </row>
    <row r="24" spans="1:47" ht="30" x14ac:dyDescent="0.25">
      <c r="A24" s="144" t="s">
        <v>230</v>
      </c>
      <c r="B24" s="35" t="s">
        <v>227</v>
      </c>
      <c r="C24" s="17"/>
      <c r="D24" s="17"/>
      <c r="E24" s="17">
        <f>SUM(E23+E13)</f>
        <v>2</v>
      </c>
      <c r="F24" s="115">
        <f>SUM(1*Marg_hist!G3)</f>
        <v>5</v>
      </c>
      <c r="G24" s="329">
        <f>SUM(E24+G13)-F24</f>
        <v>-3</v>
      </c>
      <c r="H24" s="43"/>
      <c r="I24" s="57"/>
      <c r="J24" s="57"/>
      <c r="K24" s="57"/>
      <c r="L24" s="57"/>
      <c r="U24" s="57"/>
    </row>
    <row r="25" spans="1:47" x14ac:dyDescent="0.25">
      <c r="A25" s="32"/>
      <c r="H25" s="22"/>
      <c r="I25" s="57"/>
      <c r="J25" s="57"/>
      <c r="K25" s="57"/>
      <c r="L25" s="57"/>
      <c r="U25" s="57"/>
    </row>
    <row r="26" spans="1:47" x14ac:dyDescent="0.25">
      <c r="A26" s="32"/>
      <c r="H26" s="22"/>
      <c r="I26" s="57"/>
      <c r="J26" s="57"/>
      <c r="K26" s="57"/>
      <c r="L26" s="57"/>
      <c r="U26" s="57"/>
    </row>
    <row r="27" spans="1:47" x14ac:dyDescent="0.25">
      <c r="A27" s="32"/>
      <c r="B27" s="13" t="s">
        <v>46</v>
      </c>
      <c r="C27" s="13" t="s">
        <v>11</v>
      </c>
      <c r="D27" s="13" t="s">
        <v>12</v>
      </c>
      <c r="E27" s="13" t="s">
        <v>13</v>
      </c>
      <c r="F27" s="32" t="s">
        <v>150</v>
      </c>
      <c r="G27" s="13" t="s">
        <v>0</v>
      </c>
      <c r="H27" s="13" t="s">
        <v>43</v>
      </c>
      <c r="I27" s="57"/>
      <c r="J27" s="57"/>
      <c r="K27" s="57"/>
      <c r="L27" s="57"/>
      <c r="O27" s="13" t="s">
        <v>46</v>
      </c>
      <c r="P27" s="13" t="s">
        <v>11</v>
      </c>
      <c r="Q27" s="13" t="s">
        <v>12</v>
      </c>
      <c r="R27" s="13" t="s">
        <v>13</v>
      </c>
      <c r="S27" s="13" t="s">
        <v>14</v>
      </c>
      <c r="T27" s="13" t="s">
        <v>0</v>
      </c>
      <c r="U27" s="57"/>
    </row>
    <row r="28" spans="1:47" x14ac:dyDescent="0.25">
      <c r="A28" s="32">
        <v>19</v>
      </c>
      <c r="B28" s="14" t="s">
        <v>2</v>
      </c>
      <c r="H28" s="22"/>
      <c r="I28" s="57"/>
      <c r="J28" s="57"/>
      <c r="K28" s="57"/>
      <c r="L28" s="57"/>
      <c r="O28" s="14" t="s">
        <v>2</v>
      </c>
      <c r="P28" s="25"/>
      <c r="Q28" s="25"/>
      <c r="R28" s="14"/>
      <c r="S28" s="24"/>
      <c r="T28" s="14"/>
      <c r="U28" s="57"/>
    </row>
    <row r="29" spans="1:47" x14ac:dyDescent="0.25">
      <c r="A29" s="32">
        <v>20</v>
      </c>
      <c r="B29" s="14" t="s">
        <v>3</v>
      </c>
      <c r="H29" s="22"/>
      <c r="I29" s="57"/>
      <c r="J29" s="57"/>
      <c r="K29" s="57"/>
      <c r="L29" s="57"/>
      <c r="O29" s="14" t="s">
        <v>3</v>
      </c>
      <c r="P29" s="33"/>
      <c r="Q29" s="25"/>
      <c r="R29" s="14"/>
      <c r="S29" s="24"/>
      <c r="T29" s="14"/>
      <c r="U29" s="57"/>
    </row>
    <row r="30" spans="1:47" x14ac:dyDescent="0.25">
      <c r="A30" s="32">
        <v>21</v>
      </c>
      <c r="B30" s="14" t="s">
        <v>4</v>
      </c>
      <c r="H30" s="22"/>
      <c r="I30" s="57"/>
      <c r="J30" s="57"/>
      <c r="K30" s="57"/>
      <c r="L30" s="57"/>
      <c r="O30" s="14" t="s">
        <v>4</v>
      </c>
      <c r="P30" s="26"/>
      <c r="Q30" s="26"/>
      <c r="R30" s="14"/>
      <c r="S30" s="24"/>
      <c r="T30" s="14"/>
      <c r="U30" s="57"/>
    </row>
    <row r="31" spans="1:47" x14ac:dyDescent="0.25">
      <c r="A31" s="32">
        <v>22</v>
      </c>
      <c r="B31" s="14" t="s">
        <v>5</v>
      </c>
      <c r="C31" s="25"/>
      <c r="D31" s="25"/>
      <c r="H31" s="22"/>
      <c r="I31" s="57"/>
      <c r="J31" s="57"/>
      <c r="K31" s="57"/>
      <c r="L31" s="57"/>
      <c r="O31" s="14" t="s">
        <v>5</v>
      </c>
      <c r="P31" s="33"/>
      <c r="Q31" s="33"/>
      <c r="U31" s="57"/>
    </row>
    <row r="32" spans="1:47" s="43" customFormat="1" x14ac:dyDescent="0.25">
      <c r="A32" s="32">
        <v>23</v>
      </c>
      <c r="B32" s="14" t="s">
        <v>6</v>
      </c>
      <c r="C32" s="26"/>
      <c r="D32" s="26"/>
      <c r="E32" s="15"/>
      <c r="F32" s="22"/>
      <c r="G32" s="22"/>
      <c r="H32" s="22"/>
      <c r="I32" s="57"/>
      <c r="J32" s="57"/>
      <c r="K32" s="57"/>
      <c r="L32" s="57"/>
      <c r="M32" s="22"/>
      <c r="N32" s="22"/>
      <c r="O32" s="14" t="s">
        <v>6</v>
      </c>
      <c r="P32" s="42"/>
      <c r="Q32" s="42"/>
      <c r="R32" s="14"/>
      <c r="S32" s="24"/>
      <c r="T32" s="14"/>
      <c r="U32" s="57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</row>
    <row r="33" spans="1:21" x14ac:dyDescent="0.25">
      <c r="A33" s="32">
        <v>24</v>
      </c>
      <c r="B33" s="14" t="s">
        <v>7</v>
      </c>
      <c r="F33" s="22"/>
      <c r="G33" s="22"/>
      <c r="H33" s="22"/>
      <c r="I33" s="57"/>
      <c r="J33" s="57"/>
      <c r="K33" s="57"/>
      <c r="L33" s="57"/>
      <c r="O33" s="14" t="s">
        <v>7</v>
      </c>
      <c r="P33" s="14"/>
      <c r="Q33" s="14"/>
      <c r="R33" s="14"/>
      <c r="S33" s="24"/>
      <c r="T33" s="14"/>
      <c r="U33" s="57"/>
    </row>
    <row r="34" spans="1:21" x14ac:dyDescent="0.25">
      <c r="A34" s="32">
        <v>25</v>
      </c>
      <c r="B34" s="14" t="s">
        <v>8</v>
      </c>
      <c r="F34" s="22"/>
      <c r="G34" s="53"/>
      <c r="H34" s="22"/>
      <c r="I34" s="57"/>
      <c r="J34" s="57"/>
      <c r="K34" s="57"/>
      <c r="L34" s="57"/>
      <c r="O34" s="14" t="s">
        <v>8</v>
      </c>
      <c r="P34" s="25"/>
      <c r="Q34" s="25"/>
      <c r="R34" s="14"/>
      <c r="S34" s="24"/>
      <c r="T34" s="14"/>
      <c r="U34" s="57"/>
    </row>
    <row r="35" spans="1:21" x14ac:dyDescent="0.25">
      <c r="A35" s="32"/>
      <c r="B35" s="13" t="s">
        <v>26</v>
      </c>
      <c r="C35" s="32"/>
      <c r="D35" s="32"/>
      <c r="E35" s="32">
        <f>SUM(E27:E34)</f>
        <v>0</v>
      </c>
      <c r="F35" s="22"/>
      <c r="G35" s="53"/>
      <c r="H35" s="22"/>
      <c r="I35" s="57"/>
      <c r="J35" s="57"/>
      <c r="K35" s="57"/>
      <c r="L35" s="57"/>
      <c r="O35" s="13" t="s">
        <v>26</v>
      </c>
      <c r="P35" s="32"/>
      <c r="Q35" s="32"/>
      <c r="R35" s="32"/>
      <c r="U35" s="57"/>
    </row>
    <row r="36" spans="1:21" x14ac:dyDescent="0.25">
      <c r="A36" s="32"/>
      <c r="B36" s="14"/>
      <c r="H36" s="22"/>
      <c r="I36" s="57"/>
      <c r="J36" s="57"/>
      <c r="K36" s="57"/>
      <c r="L36" s="57"/>
      <c r="O36" s="19" t="s">
        <v>27</v>
      </c>
      <c r="P36" s="19"/>
      <c r="Q36" s="19"/>
      <c r="R36" s="148" t="s">
        <v>104</v>
      </c>
      <c r="S36" s="19" t="s">
        <v>103</v>
      </c>
      <c r="T36" s="19"/>
      <c r="U36" s="57"/>
    </row>
    <row r="37" spans="1:21" x14ac:dyDescent="0.25">
      <c r="A37" s="32"/>
      <c r="B37" s="13" t="s">
        <v>10</v>
      </c>
      <c r="C37" s="13" t="s">
        <v>11</v>
      </c>
      <c r="D37" s="13" t="s">
        <v>12</v>
      </c>
      <c r="E37" s="13" t="s">
        <v>13</v>
      </c>
      <c r="F37" s="13" t="s">
        <v>14</v>
      </c>
      <c r="G37" s="13" t="s">
        <v>0</v>
      </c>
      <c r="H37" s="22"/>
      <c r="I37" s="57"/>
      <c r="J37" s="57"/>
      <c r="K37" s="57"/>
      <c r="L37" s="57"/>
      <c r="O37" s="32" t="s">
        <v>10</v>
      </c>
      <c r="P37" s="32" t="s">
        <v>11</v>
      </c>
      <c r="Q37" s="32" t="s">
        <v>12</v>
      </c>
      <c r="R37" s="32" t="s">
        <v>13</v>
      </c>
      <c r="S37" s="32" t="s">
        <v>14</v>
      </c>
      <c r="T37" s="32" t="s">
        <v>0</v>
      </c>
      <c r="U37" s="57"/>
    </row>
    <row r="38" spans="1:21" x14ac:dyDescent="0.25">
      <c r="A38" s="32">
        <v>26</v>
      </c>
      <c r="B38" s="14" t="s">
        <v>2</v>
      </c>
      <c r="C38" s="26"/>
      <c r="D38" s="26"/>
      <c r="H38" s="22"/>
      <c r="I38" s="57"/>
      <c r="J38" s="57"/>
      <c r="K38" s="57"/>
      <c r="L38" s="57"/>
      <c r="O38" s="15" t="s">
        <v>2</v>
      </c>
      <c r="U38" s="57"/>
    </row>
    <row r="39" spans="1:21" x14ac:dyDescent="0.25">
      <c r="A39" s="32">
        <v>27</v>
      </c>
      <c r="B39" s="14" t="s">
        <v>3</v>
      </c>
      <c r="H39" s="22"/>
      <c r="I39" s="57"/>
      <c r="J39" s="57"/>
      <c r="K39" s="57"/>
      <c r="L39" s="57"/>
      <c r="O39" s="15" t="s">
        <v>3</v>
      </c>
      <c r="U39" s="57"/>
    </row>
    <row r="40" spans="1:21" x14ac:dyDescent="0.25">
      <c r="A40" s="32">
        <v>28</v>
      </c>
      <c r="B40" s="14" t="s">
        <v>21</v>
      </c>
      <c r="H40" s="22"/>
      <c r="I40" s="57"/>
      <c r="J40" s="57"/>
      <c r="K40" s="57"/>
      <c r="L40" s="57"/>
      <c r="O40" s="15" t="s">
        <v>4</v>
      </c>
      <c r="P40" s="33"/>
      <c r="Q40" s="33"/>
      <c r="U40" s="57"/>
    </row>
    <row r="41" spans="1:21" x14ac:dyDescent="0.25">
      <c r="A41" s="32">
        <v>29</v>
      </c>
      <c r="B41" s="14" t="s">
        <v>5</v>
      </c>
      <c r="C41" s="33">
        <v>0.5</v>
      </c>
      <c r="D41" s="33">
        <v>0.66666666666666663</v>
      </c>
      <c r="E41" s="15">
        <v>4</v>
      </c>
      <c r="G41" s="15" t="s">
        <v>105</v>
      </c>
      <c r="H41" s="22"/>
      <c r="I41" s="57"/>
      <c r="J41" s="57"/>
      <c r="K41" s="57"/>
      <c r="L41" s="57"/>
      <c r="O41" s="15" t="s">
        <v>5</v>
      </c>
      <c r="P41" s="33">
        <v>0.5</v>
      </c>
      <c r="Q41" s="33">
        <v>0.66666666666666663</v>
      </c>
      <c r="R41" s="15">
        <v>4</v>
      </c>
      <c r="T41" s="15" t="s">
        <v>105</v>
      </c>
      <c r="U41" s="57"/>
    </row>
    <row r="42" spans="1:21" x14ac:dyDescent="0.25">
      <c r="A42" s="32">
        <v>30</v>
      </c>
      <c r="B42" s="14" t="s">
        <v>6</v>
      </c>
      <c r="C42" s="26"/>
      <c r="D42" s="26"/>
      <c r="H42" s="22"/>
      <c r="I42" s="57"/>
      <c r="J42" s="57"/>
      <c r="K42" s="57"/>
      <c r="L42" s="57"/>
      <c r="O42" s="15" t="s">
        <v>6</v>
      </c>
      <c r="U42" s="57"/>
    </row>
    <row r="43" spans="1:21" x14ac:dyDescent="0.25">
      <c r="A43" s="32">
        <v>31</v>
      </c>
      <c r="B43" s="14" t="s">
        <v>7</v>
      </c>
      <c r="H43" s="22"/>
      <c r="I43" s="58"/>
      <c r="J43" s="58"/>
      <c r="K43" s="58"/>
      <c r="L43" s="58"/>
      <c r="O43" s="15" t="s">
        <v>7</v>
      </c>
      <c r="U43" s="57"/>
    </row>
    <row r="44" spans="1:21" x14ac:dyDescent="0.25">
      <c r="A44" s="32">
        <v>1</v>
      </c>
      <c r="B44" s="14" t="s">
        <v>8</v>
      </c>
      <c r="H44" s="22"/>
      <c r="I44" s="57"/>
      <c r="J44" s="57"/>
      <c r="K44" s="57"/>
      <c r="L44" s="57"/>
      <c r="O44" s="15" t="s">
        <v>8</v>
      </c>
      <c r="U44" s="57"/>
    </row>
    <row r="45" spans="1:21" x14ac:dyDescent="0.25">
      <c r="B45" s="13" t="s">
        <v>26</v>
      </c>
      <c r="C45" s="32"/>
      <c r="D45" s="32"/>
      <c r="E45" s="32">
        <f>SUM(E37:E44)</f>
        <v>4</v>
      </c>
      <c r="F45" s="115" t="s">
        <v>393</v>
      </c>
      <c r="G45" s="145" t="s">
        <v>397</v>
      </c>
      <c r="H45" s="22"/>
      <c r="I45" s="59" t="s">
        <v>23</v>
      </c>
      <c r="J45" s="59"/>
      <c r="K45" s="59"/>
      <c r="L45" s="59"/>
      <c r="O45" s="13" t="s">
        <v>26</v>
      </c>
      <c r="P45" s="32"/>
      <c r="Q45" s="32"/>
      <c r="R45" s="32">
        <f>SUM(R38:R44)</f>
        <v>4</v>
      </c>
      <c r="S45" s="47"/>
      <c r="U45" s="57"/>
    </row>
    <row r="46" spans="1:21" ht="30" x14ac:dyDescent="0.25">
      <c r="A46" s="144" t="s">
        <v>229</v>
      </c>
      <c r="B46" s="35" t="s">
        <v>227</v>
      </c>
      <c r="C46" s="60"/>
      <c r="D46" s="61"/>
      <c r="E46" s="35">
        <f>SUM(E38:E44,E28:E34)</f>
        <v>4</v>
      </c>
      <c r="F46" s="312">
        <f>SUM(Marg_hist!G9)</f>
        <v>5</v>
      </c>
      <c r="G46" s="330">
        <f>SUM(E46+G24)-F46</f>
        <v>-4</v>
      </c>
      <c r="H46" s="151"/>
      <c r="I46" s="59"/>
      <c r="J46" s="59"/>
      <c r="K46" s="59"/>
      <c r="L46" s="59"/>
      <c r="U46" s="57"/>
    </row>
    <row r="47" spans="1:21" x14ac:dyDescent="0.25">
      <c r="H47" s="22"/>
      <c r="I47" s="59"/>
      <c r="J47" s="59"/>
      <c r="K47" s="59"/>
      <c r="L47" s="59"/>
      <c r="U47" s="57"/>
    </row>
    <row r="48" spans="1:21" x14ac:dyDescent="0.25">
      <c r="A48" s="22"/>
      <c r="B48" s="13" t="s">
        <v>29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0</v>
      </c>
      <c r="H48" s="22"/>
      <c r="I48" s="57"/>
      <c r="J48" s="57"/>
      <c r="K48" s="57"/>
      <c r="L48" s="57"/>
      <c r="O48" s="13" t="s">
        <v>29</v>
      </c>
      <c r="P48" s="13" t="s">
        <v>11</v>
      </c>
      <c r="Q48" s="13" t="s">
        <v>12</v>
      </c>
      <c r="R48" s="13" t="s">
        <v>13</v>
      </c>
      <c r="S48" s="13" t="s">
        <v>14</v>
      </c>
      <c r="T48" s="13" t="s">
        <v>0</v>
      </c>
      <c r="U48" s="57"/>
    </row>
    <row r="49" spans="1:21" x14ac:dyDescent="0.25">
      <c r="A49" s="53">
        <v>2</v>
      </c>
      <c r="B49" s="14" t="s">
        <v>2</v>
      </c>
      <c r="C49" s="25"/>
      <c r="D49" s="25"/>
      <c r="E49" s="14"/>
      <c r="F49" s="24"/>
      <c r="G49" s="14" t="s">
        <v>30</v>
      </c>
      <c r="H49" s="22"/>
      <c r="I49" s="57"/>
      <c r="J49" s="57"/>
      <c r="K49" s="57"/>
      <c r="L49" s="57"/>
      <c r="O49" s="14" t="s">
        <v>2</v>
      </c>
      <c r="P49" s="25"/>
      <c r="Q49" s="25"/>
      <c r="R49" s="14"/>
      <c r="S49" s="24"/>
      <c r="T49" s="14" t="s">
        <v>30</v>
      </c>
      <c r="U49" s="57"/>
    </row>
    <row r="50" spans="1:21" x14ac:dyDescent="0.25">
      <c r="A50" s="53">
        <v>3</v>
      </c>
      <c r="B50" s="14" t="s">
        <v>3</v>
      </c>
      <c r="C50" s="33"/>
      <c r="D50" s="25"/>
      <c r="E50" s="14"/>
      <c r="F50" s="24"/>
      <c r="G50" s="14"/>
      <c r="H50" s="22"/>
      <c r="I50" s="57"/>
      <c r="J50" s="57"/>
      <c r="K50" s="57"/>
      <c r="L50" s="57"/>
      <c r="O50" s="14" t="s">
        <v>3</v>
      </c>
      <c r="P50" s="33"/>
      <c r="Q50" s="25"/>
      <c r="R50" s="14"/>
      <c r="S50" s="24"/>
      <c r="T50" s="14"/>
      <c r="U50" s="57"/>
    </row>
    <row r="51" spans="1:21" x14ac:dyDescent="0.25">
      <c r="A51" s="53">
        <v>4</v>
      </c>
      <c r="B51" s="14" t="s">
        <v>4</v>
      </c>
      <c r="C51" s="26"/>
      <c r="D51" s="26"/>
      <c r="E51" s="14"/>
      <c r="F51" s="24"/>
      <c r="G51" s="14"/>
      <c r="H51" s="22"/>
      <c r="I51" s="57"/>
      <c r="J51" s="57"/>
      <c r="K51" s="57"/>
      <c r="L51" s="57"/>
      <c r="O51" s="14" t="s">
        <v>4</v>
      </c>
      <c r="P51" s="26"/>
      <c r="Q51" s="26"/>
      <c r="R51" s="14"/>
      <c r="S51" s="24"/>
      <c r="T51" s="14"/>
      <c r="U51" s="57"/>
    </row>
    <row r="52" spans="1:21" x14ac:dyDescent="0.25">
      <c r="A52" s="53">
        <v>5</v>
      </c>
      <c r="B52" s="14" t="s">
        <v>5</v>
      </c>
      <c r="C52" s="25"/>
      <c r="D52" s="25"/>
      <c r="E52" s="14"/>
      <c r="F52" s="24"/>
      <c r="G52" s="14"/>
      <c r="H52" s="22"/>
      <c r="I52" s="57"/>
      <c r="J52" s="57"/>
      <c r="K52" s="57"/>
      <c r="L52" s="57"/>
      <c r="O52" s="14" t="s">
        <v>5</v>
      </c>
      <c r="P52" s="25"/>
      <c r="Q52" s="25"/>
      <c r="R52" s="14"/>
      <c r="S52" s="24"/>
      <c r="T52" s="14"/>
      <c r="U52" s="57"/>
    </row>
    <row r="53" spans="1:21" x14ac:dyDescent="0.25">
      <c r="A53" s="53">
        <v>6</v>
      </c>
      <c r="B53" s="14" t="s">
        <v>6</v>
      </c>
      <c r="C53" s="33">
        <v>0.39583333333333331</v>
      </c>
      <c r="D53" s="33">
        <v>0.47916666666666669</v>
      </c>
      <c r="E53" s="15">
        <v>2</v>
      </c>
      <c r="G53" s="15" t="s">
        <v>105</v>
      </c>
      <c r="H53" s="22"/>
      <c r="I53" s="57"/>
      <c r="J53" s="57"/>
      <c r="K53" s="57"/>
      <c r="L53" s="57"/>
      <c r="O53" s="14" t="s">
        <v>6</v>
      </c>
      <c r="P53" s="33">
        <v>0.39583333333333331</v>
      </c>
      <c r="Q53" s="33">
        <v>0.47916666666666669</v>
      </c>
      <c r="R53" s="15">
        <v>2</v>
      </c>
      <c r="T53" s="15" t="s">
        <v>105</v>
      </c>
      <c r="U53" s="57"/>
    </row>
    <row r="54" spans="1:21" x14ac:dyDescent="0.25">
      <c r="A54" s="53">
        <v>7</v>
      </c>
      <c r="B54" s="14" t="s">
        <v>7</v>
      </c>
      <c r="C54" s="33">
        <v>0.5</v>
      </c>
      <c r="D54" s="33">
        <v>0.54166666666666663</v>
      </c>
      <c r="E54" s="15">
        <v>1</v>
      </c>
      <c r="G54" s="15" t="s">
        <v>106</v>
      </c>
      <c r="H54" s="22"/>
      <c r="I54" s="57"/>
      <c r="J54" s="57"/>
      <c r="K54" s="57"/>
      <c r="L54" s="57"/>
      <c r="O54" s="14" t="s">
        <v>7</v>
      </c>
      <c r="P54" s="33">
        <v>0.5</v>
      </c>
      <c r="Q54" s="33">
        <v>0.54166666666666663</v>
      </c>
      <c r="R54" s="15">
        <v>1</v>
      </c>
      <c r="T54" s="15" t="s">
        <v>106</v>
      </c>
      <c r="U54" s="57"/>
    </row>
    <row r="55" spans="1:21" x14ac:dyDescent="0.25">
      <c r="A55" s="53">
        <v>8</v>
      </c>
      <c r="B55" s="14" t="s">
        <v>8</v>
      </c>
      <c r="C55" s="33">
        <v>0.5</v>
      </c>
      <c r="D55" s="26">
        <v>0.58333333333333337</v>
      </c>
      <c r="E55" s="15">
        <v>2</v>
      </c>
      <c r="G55" s="15" t="s">
        <v>107</v>
      </c>
      <c r="H55" s="22"/>
      <c r="I55" s="57"/>
      <c r="J55" s="57"/>
      <c r="K55" s="57"/>
      <c r="L55" s="57"/>
      <c r="O55" s="14" t="s">
        <v>8</v>
      </c>
      <c r="P55" s="33">
        <v>0.5</v>
      </c>
      <c r="Q55" s="26">
        <v>0.58333333333333337</v>
      </c>
      <c r="R55" s="15">
        <v>2</v>
      </c>
      <c r="T55" s="15" t="s">
        <v>107</v>
      </c>
      <c r="U55" s="57"/>
    </row>
    <row r="56" spans="1:21" x14ac:dyDescent="0.25">
      <c r="A56" s="53"/>
      <c r="B56" s="13" t="s">
        <v>26</v>
      </c>
      <c r="E56" s="32">
        <f>SUM(E49:E55)</f>
        <v>5</v>
      </c>
      <c r="G56" s="53"/>
      <c r="I56" s="57"/>
      <c r="J56" s="57"/>
      <c r="K56" s="57"/>
      <c r="L56" s="57"/>
      <c r="O56" s="13" t="s">
        <v>26</v>
      </c>
      <c r="R56" s="32">
        <f>SUM(R49:R55)</f>
        <v>5</v>
      </c>
      <c r="T56" s="15" t="s">
        <v>108</v>
      </c>
      <c r="U56" s="57"/>
    </row>
    <row r="57" spans="1:21" x14ac:dyDescent="0.25">
      <c r="A57" s="22"/>
      <c r="B57" s="14"/>
      <c r="C57" s="25"/>
      <c r="D57" s="25"/>
      <c r="E57" s="14"/>
      <c r="F57" s="24"/>
      <c r="G57" s="14"/>
      <c r="H57" s="22"/>
      <c r="I57" s="57"/>
      <c r="J57" s="57"/>
      <c r="K57" s="57"/>
      <c r="L57" s="57"/>
      <c r="P57" s="32"/>
      <c r="Q57" s="32"/>
      <c r="U57" s="57"/>
    </row>
    <row r="58" spans="1:21" x14ac:dyDescent="0.25">
      <c r="A58" s="22"/>
      <c r="B58" s="13"/>
      <c r="C58" s="32"/>
      <c r="D58" s="32"/>
      <c r="E58" s="32"/>
      <c r="H58" s="22"/>
      <c r="I58" s="57"/>
      <c r="J58" s="57"/>
      <c r="K58" s="57"/>
      <c r="L58" s="57"/>
      <c r="U58" s="57"/>
    </row>
    <row r="59" spans="1:21" x14ac:dyDescent="0.25">
      <c r="H59" s="22"/>
      <c r="I59" s="57"/>
      <c r="J59" s="57"/>
      <c r="K59" s="57"/>
      <c r="L59" s="57"/>
      <c r="O59" s="13" t="s">
        <v>36</v>
      </c>
      <c r="P59" s="13" t="s">
        <v>11</v>
      </c>
      <c r="Q59" s="13" t="s">
        <v>12</v>
      </c>
      <c r="R59" s="13" t="s">
        <v>13</v>
      </c>
      <c r="S59" s="13" t="s">
        <v>14</v>
      </c>
      <c r="T59" s="13" t="s">
        <v>0</v>
      </c>
      <c r="U59" s="57"/>
    </row>
    <row r="60" spans="1:21" x14ac:dyDescent="0.25">
      <c r="H60" s="22"/>
      <c r="I60" s="57"/>
      <c r="J60" s="57"/>
      <c r="K60" s="57"/>
      <c r="L60" s="57"/>
      <c r="O60" s="14" t="s">
        <v>2</v>
      </c>
      <c r="P60" s="33"/>
      <c r="Q60" s="25"/>
      <c r="R60" s="14"/>
      <c r="S60" s="24"/>
      <c r="T60" s="14"/>
      <c r="U60" s="57"/>
    </row>
    <row r="61" spans="1:21" ht="30" x14ac:dyDescent="0.25">
      <c r="B61" s="13" t="s">
        <v>36</v>
      </c>
      <c r="C61" s="13" t="s">
        <v>11</v>
      </c>
      <c r="D61" s="13" t="s">
        <v>12</v>
      </c>
      <c r="E61" s="13" t="s">
        <v>13</v>
      </c>
      <c r="F61" s="13" t="s">
        <v>14</v>
      </c>
      <c r="G61" s="13" t="s">
        <v>0</v>
      </c>
      <c r="H61" s="22"/>
      <c r="I61" s="57"/>
      <c r="J61" s="57"/>
      <c r="K61" s="57"/>
      <c r="L61" s="57"/>
      <c r="O61" s="14" t="s">
        <v>3</v>
      </c>
      <c r="P61" s="26">
        <v>0.60416666666666663</v>
      </c>
      <c r="Q61" s="26">
        <v>0.625</v>
      </c>
      <c r="R61" s="15">
        <v>0.5</v>
      </c>
      <c r="S61" s="15" t="s">
        <v>109</v>
      </c>
      <c r="U61" s="57"/>
    </row>
    <row r="62" spans="1:21" ht="30" x14ac:dyDescent="0.25">
      <c r="A62" s="32">
        <v>9</v>
      </c>
      <c r="B62" s="14" t="s">
        <v>2</v>
      </c>
      <c r="C62" s="33"/>
      <c r="D62" s="25"/>
      <c r="E62" s="14"/>
      <c r="F62" s="24"/>
      <c r="G62" s="14"/>
      <c r="H62" s="22"/>
      <c r="I62" s="57"/>
      <c r="J62" s="57"/>
      <c r="K62" s="57"/>
      <c r="L62" s="57"/>
      <c r="O62" s="14"/>
      <c r="P62" s="26">
        <v>0.625</v>
      </c>
      <c r="Q62" s="26">
        <v>0.64583333333333337</v>
      </c>
      <c r="R62" s="15">
        <v>0.5</v>
      </c>
      <c r="S62" s="15" t="s">
        <v>110</v>
      </c>
      <c r="U62" s="57"/>
    </row>
    <row r="63" spans="1:21" x14ac:dyDescent="0.25">
      <c r="A63" s="32">
        <v>10</v>
      </c>
      <c r="B63" s="14" t="s">
        <v>257</v>
      </c>
      <c r="C63" s="26">
        <v>0.60416666666666663</v>
      </c>
      <c r="D63" s="26">
        <v>0.625</v>
      </c>
      <c r="E63" s="15">
        <v>0.5</v>
      </c>
      <c r="G63" s="15" t="s">
        <v>109</v>
      </c>
      <c r="H63" s="22"/>
      <c r="I63" s="57"/>
      <c r="J63" s="57"/>
      <c r="K63" s="57"/>
      <c r="L63" s="57"/>
      <c r="O63" s="14" t="s">
        <v>4</v>
      </c>
      <c r="P63" s="26"/>
      <c r="Q63" s="26"/>
      <c r="R63" s="14"/>
      <c r="S63" s="24"/>
      <c r="T63" s="14"/>
      <c r="U63" s="57"/>
    </row>
    <row r="64" spans="1:21" x14ac:dyDescent="0.25">
      <c r="A64" s="32"/>
      <c r="B64" s="21"/>
      <c r="C64" s="26">
        <v>0.625</v>
      </c>
      <c r="D64" s="26">
        <v>0.64583333333333337</v>
      </c>
      <c r="E64" s="15">
        <v>0.5</v>
      </c>
      <c r="G64" s="15" t="s">
        <v>110</v>
      </c>
      <c r="H64" s="22"/>
      <c r="I64" s="57"/>
      <c r="J64" s="57"/>
      <c r="K64" s="57"/>
      <c r="L64" s="57"/>
      <c r="O64" s="14" t="s">
        <v>5</v>
      </c>
      <c r="P64" s="26">
        <v>0.41666666666666669</v>
      </c>
      <c r="Q64" s="26">
        <v>0.4375</v>
      </c>
      <c r="R64" s="14">
        <v>0.5</v>
      </c>
      <c r="S64" s="24" t="s">
        <v>111</v>
      </c>
      <c r="T64" s="14"/>
      <c r="U64" s="57"/>
    </row>
    <row r="65" spans="1:47" x14ac:dyDescent="0.25">
      <c r="A65" s="32">
        <v>11</v>
      </c>
      <c r="B65" s="14" t="s">
        <v>4</v>
      </c>
      <c r="C65" s="26"/>
      <c r="D65" s="26"/>
      <c r="E65" s="14"/>
      <c r="G65" s="24"/>
      <c r="H65" s="22"/>
      <c r="I65" s="57"/>
      <c r="J65" s="57"/>
      <c r="K65" s="57"/>
      <c r="L65" s="57"/>
      <c r="P65" s="25">
        <v>0.58333333333333337</v>
      </c>
      <c r="Q65" s="25">
        <v>0.64583333333333337</v>
      </c>
      <c r="R65" s="14">
        <v>1.5</v>
      </c>
      <c r="S65" s="24" t="s">
        <v>112</v>
      </c>
      <c r="T65" s="14"/>
      <c r="U65" s="160"/>
    </row>
    <row r="66" spans="1:47" s="43" customFormat="1" x14ac:dyDescent="0.25">
      <c r="A66" s="32">
        <v>12</v>
      </c>
      <c r="B66" s="14" t="s">
        <v>5</v>
      </c>
      <c r="C66" s="26">
        <v>0.41666666666666669</v>
      </c>
      <c r="D66" s="26">
        <v>0.4375</v>
      </c>
      <c r="E66" s="14">
        <v>0.5</v>
      </c>
      <c r="F66" s="15"/>
      <c r="G66" s="24" t="s">
        <v>111</v>
      </c>
      <c r="H66" s="22"/>
      <c r="I66" s="57"/>
      <c r="J66" s="57"/>
      <c r="K66" s="57"/>
      <c r="L66" s="57"/>
      <c r="M66" s="22"/>
      <c r="N66" s="22"/>
      <c r="O66" s="14" t="s">
        <v>6</v>
      </c>
      <c r="P66" s="14"/>
      <c r="Q66" s="14"/>
      <c r="R66" s="14"/>
      <c r="S66" s="24"/>
      <c r="T66" s="14"/>
      <c r="U66" s="160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</row>
    <row r="67" spans="1:47" ht="30" x14ac:dyDescent="0.25">
      <c r="A67" s="32">
        <v>13</v>
      </c>
      <c r="B67" s="14" t="s">
        <v>6</v>
      </c>
      <c r="C67" s="25">
        <v>0.58333333333333337</v>
      </c>
      <c r="D67" s="25">
        <v>0.64583333333333337</v>
      </c>
      <c r="E67" s="14">
        <v>1.5</v>
      </c>
      <c r="G67" s="24" t="s">
        <v>112</v>
      </c>
      <c r="H67" s="22"/>
      <c r="I67" s="57"/>
      <c r="J67" s="57"/>
      <c r="K67" s="57"/>
      <c r="L67" s="57"/>
      <c r="O67" s="14" t="s">
        <v>26</v>
      </c>
      <c r="P67" s="14"/>
      <c r="Q67" s="14"/>
      <c r="R67" s="14">
        <f>SUM(R60:R66)</f>
        <v>3</v>
      </c>
      <c r="S67" s="47" t="s">
        <v>113</v>
      </c>
      <c r="T67" s="14"/>
      <c r="U67" s="57"/>
    </row>
    <row r="68" spans="1:47" x14ac:dyDescent="0.25">
      <c r="A68" s="32">
        <v>14</v>
      </c>
      <c r="B68" s="14" t="s">
        <v>7</v>
      </c>
      <c r="C68" s="14"/>
      <c r="D68" s="14"/>
      <c r="E68" s="14"/>
      <c r="F68" s="24"/>
      <c r="G68" s="14"/>
      <c r="H68" s="22"/>
      <c r="I68" s="57"/>
      <c r="J68" s="57"/>
      <c r="K68" s="57"/>
      <c r="L68" s="57"/>
      <c r="O68" s="19" t="s">
        <v>27</v>
      </c>
      <c r="P68" s="19"/>
      <c r="Q68" s="19"/>
      <c r="R68" s="43">
        <f>SUM(R67+R56+R45)</f>
        <v>12</v>
      </c>
      <c r="S68" s="19" t="s">
        <v>114</v>
      </c>
      <c r="T68" s="19" t="s">
        <v>115</v>
      </c>
      <c r="U68" s="57"/>
    </row>
    <row r="69" spans="1:47" x14ac:dyDescent="0.25">
      <c r="A69" s="32">
        <v>15</v>
      </c>
      <c r="B69" s="14" t="s">
        <v>8</v>
      </c>
      <c r="C69" s="14"/>
      <c r="D69" s="14"/>
      <c r="E69" s="14"/>
      <c r="F69" s="24"/>
      <c r="G69" s="14"/>
      <c r="H69" s="22"/>
      <c r="I69" s="57"/>
      <c r="J69" s="57"/>
      <c r="K69" s="57"/>
      <c r="L69" s="57"/>
      <c r="O69" s="14"/>
      <c r="P69" s="14"/>
      <c r="Q69" s="14"/>
      <c r="R69" s="148" t="s">
        <v>116</v>
      </c>
      <c r="S69" s="14"/>
      <c r="T69" s="14"/>
      <c r="U69" s="57"/>
    </row>
    <row r="70" spans="1:47" x14ac:dyDescent="0.25">
      <c r="A70" s="35" t="s">
        <v>396</v>
      </c>
      <c r="B70" s="13" t="s">
        <v>26</v>
      </c>
      <c r="C70" s="25"/>
      <c r="D70" s="25"/>
      <c r="E70" s="32">
        <f>SUM(E62:E69)</f>
        <v>3</v>
      </c>
      <c r="F70" s="115" t="s">
        <v>393</v>
      </c>
      <c r="G70" s="145" t="s">
        <v>397</v>
      </c>
      <c r="H70" s="22"/>
      <c r="I70" s="57"/>
      <c r="J70" s="57"/>
      <c r="K70" s="57"/>
      <c r="L70" s="57"/>
      <c r="O70" s="14" t="s">
        <v>7</v>
      </c>
      <c r="P70" s="42"/>
      <c r="Q70" s="42"/>
      <c r="R70" s="14"/>
      <c r="S70" s="24"/>
      <c r="T70" s="14"/>
      <c r="U70" s="57"/>
    </row>
    <row r="71" spans="1:47" x14ac:dyDescent="0.25">
      <c r="A71" s="144"/>
      <c r="B71" s="35" t="s">
        <v>227</v>
      </c>
      <c r="C71" s="60"/>
      <c r="D71" s="35" t="s">
        <v>396</v>
      </c>
      <c r="E71" s="35">
        <f>SUM(E56,E70)</f>
        <v>8</v>
      </c>
      <c r="F71" s="331" t="s">
        <v>398</v>
      </c>
      <c r="G71" s="309">
        <f>SUM(E70+G46+E56)</f>
        <v>4</v>
      </c>
      <c r="H71" s="221" t="s">
        <v>413</v>
      </c>
      <c r="I71" s="57"/>
      <c r="J71" s="57"/>
      <c r="K71" s="57"/>
      <c r="L71" s="57"/>
      <c r="O71" s="14" t="s">
        <v>8</v>
      </c>
      <c r="P71" s="25"/>
      <c r="Q71" s="25"/>
      <c r="R71" s="14"/>
      <c r="S71" s="24"/>
      <c r="T71" s="14"/>
      <c r="U71" s="57"/>
    </row>
    <row r="72" spans="1:47" x14ac:dyDescent="0.25">
      <c r="I72" s="57"/>
      <c r="J72" s="57"/>
      <c r="K72" s="57"/>
      <c r="L72" s="57"/>
      <c r="O72" s="13" t="s">
        <v>26</v>
      </c>
      <c r="P72" s="32"/>
      <c r="Q72" s="32"/>
      <c r="R72" s="32"/>
      <c r="U72" s="57"/>
    </row>
    <row r="73" spans="1:47" x14ac:dyDescent="0.25">
      <c r="B73" s="20"/>
      <c r="C73" s="146"/>
      <c r="D73" s="147"/>
      <c r="E73" s="20"/>
      <c r="F73" s="20"/>
      <c r="G73" s="53"/>
      <c r="H73" s="22"/>
      <c r="I73" s="57"/>
      <c r="J73" s="57"/>
      <c r="K73" s="57"/>
      <c r="L73" s="57"/>
      <c r="N73" s="15"/>
      <c r="U73" s="57"/>
    </row>
    <row r="74" spans="1:47" x14ac:dyDescent="0.25">
      <c r="B74" s="13" t="s">
        <v>54</v>
      </c>
      <c r="C74" s="13" t="s">
        <v>11</v>
      </c>
      <c r="D74" s="13" t="s">
        <v>12</v>
      </c>
      <c r="E74" s="13" t="s">
        <v>13</v>
      </c>
      <c r="F74" s="13" t="s">
        <v>14</v>
      </c>
      <c r="G74" s="20" t="s">
        <v>0</v>
      </c>
      <c r="H74" s="22"/>
      <c r="I74" s="57"/>
      <c r="J74" s="57"/>
      <c r="K74" s="57"/>
      <c r="L74" s="57"/>
      <c r="O74" s="13" t="s">
        <v>54</v>
      </c>
      <c r="P74" s="13" t="s">
        <v>11</v>
      </c>
      <c r="Q74" s="13" t="s">
        <v>12</v>
      </c>
      <c r="R74" s="13" t="s">
        <v>13</v>
      </c>
      <c r="S74" s="13" t="s">
        <v>14</v>
      </c>
      <c r="T74" s="13" t="s">
        <v>0</v>
      </c>
      <c r="U74" s="57"/>
    </row>
    <row r="75" spans="1:47" x14ac:dyDescent="0.25">
      <c r="A75" s="32">
        <v>16</v>
      </c>
      <c r="B75" s="14" t="s">
        <v>2</v>
      </c>
      <c r="C75" s="33">
        <v>0.29166666666666669</v>
      </c>
      <c r="D75" s="25" t="s">
        <v>117</v>
      </c>
      <c r="E75" s="14">
        <v>2</v>
      </c>
      <c r="G75" s="24" t="s">
        <v>118</v>
      </c>
      <c r="H75" s="22"/>
      <c r="I75" s="57"/>
      <c r="J75" s="57"/>
      <c r="K75" s="57"/>
      <c r="L75" s="57"/>
      <c r="O75" s="14" t="s">
        <v>2</v>
      </c>
      <c r="P75" s="33">
        <v>0.29166666666666669</v>
      </c>
      <c r="Q75" s="25" t="s">
        <v>117</v>
      </c>
      <c r="R75" s="14">
        <v>2</v>
      </c>
      <c r="S75" s="24" t="s">
        <v>118</v>
      </c>
      <c r="T75" s="14"/>
      <c r="U75" s="57"/>
    </row>
    <row r="76" spans="1:47" x14ac:dyDescent="0.25">
      <c r="A76" s="32">
        <v>17</v>
      </c>
      <c r="B76" s="14" t="s">
        <v>3</v>
      </c>
      <c r="H76" s="22"/>
      <c r="I76" s="57"/>
      <c r="J76" s="57"/>
      <c r="K76" s="57"/>
      <c r="L76" s="57"/>
      <c r="O76" s="14" t="s">
        <v>3</v>
      </c>
      <c r="U76" s="57"/>
    </row>
    <row r="77" spans="1:47" x14ac:dyDescent="0.25">
      <c r="A77" s="32">
        <v>18</v>
      </c>
      <c r="B77" s="14" t="s">
        <v>4</v>
      </c>
      <c r="C77" s="26"/>
      <c r="D77" s="26"/>
      <c r="E77" s="14"/>
      <c r="G77" s="24"/>
      <c r="H77" s="22"/>
      <c r="I77" s="57"/>
      <c r="J77" s="57"/>
      <c r="K77" s="57"/>
      <c r="L77" s="57"/>
      <c r="O77" s="14" t="s">
        <v>4</v>
      </c>
      <c r="P77" s="26"/>
      <c r="Q77" s="26"/>
      <c r="R77" s="14"/>
      <c r="S77" s="24"/>
      <c r="T77" s="14"/>
      <c r="U77" s="57"/>
    </row>
    <row r="78" spans="1:47" ht="30" x14ac:dyDescent="0.25">
      <c r="A78" s="32">
        <v>19</v>
      </c>
      <c r="B78" s="14" t="s">
        <v>5</v>
      </c>
      <c r="C78" s="25">
        <v>0.40277777777777773</v>
      </c>
      <c r="D78" s="25">
        <v>0.4861111111111111</v>
      </c>
      <c r="E78" s="14">
        <v>2</v>
      </c>
      <c r="G78" s="24" t="s">
        <v>119</v>
      </c>
      <c r="H78" s="22"/>
      <c r="I78" s="57"/>
      <c r="J78" s="57"/>
      <c r="K78" s="57"/>
      <c r="L78" s="57"/>
      <c r="O78" s="14" t="s">
        <v>5</v>
      </c>
      <c r="P78" s="25">
        <v>0.40277777777777773</v>
      </c>
      <c r="Q78" s="25">
        <v>0.4861111111111111</v>
      </c>
      <c r="R78" s="14">
        <v>2</v>
      </c>
      <c r="S78" s="24" t="s">
        <v>119</v>
      </c>
      <c r="T78" s="14"/>
      <c r="U78" s="57"/>
    </row>
    <row r="79" spans="1:47" x14ac:dyDescent="0.25">
      <c r="A79" s="32">
        <v>20</v>
      </c>
      <c r="B79" s="14" t="s">
        <v>6</v>
      </c>
      <c r="C79" s="14"/>
      <c r="D79" s="14"/>
      <c r="E79" s="14"/>
      <c r="G79" s="24"/>
      <c r="H79" s="22"/>
      <c r="I79" s="57"/>
      <c r="J79" s="57"/>
      <c r="K79" s="57"/>
      <c r="L79" s="57"/>
      <c r="O79" s="14" t="s">
        <v>6</v>
      </c>
      <c r="P79" s="14"/>
      <c r="Q79" s="14"/>
      <c r="R79" s="14"/>
      <c r="S79" s="24"/>
      <c r="T79" s="14"/>
      <c r="U79" s="57"/>
    </row>
    <row r="80" spans="1:47" x14ac:dyDescent="0.25">
      <c r="A80" s="32">
        <v>21</v>
      </c>
      <c r="B80" s="14" t="s">
        <v>7</v>
      </c>
      <c r="C80" s="42">
        <v>0.41666666666666669</v>
      </c>
      <c r="D80" s="42">
        <v>0.45833333333333331</v>
      </c>
      <c r="E80" s="14">
        <v>1</v>
      </c>
      <c r="G80" s="24" t="s">
        <v>120</v>
      </c>
      <c r="H80" s="22"/>
      <c r="I80" s="57"/>
      <c r="J80" s="57"/>
      <c r="K80" s="57"/>
      <c r="L80" s="57"/>
      <c r="O80" s="14" t="s">
        <v>7</v>
      </c>
      <c r="P80" s="42">
        <v>0.41666666666666669</v>
      </c>
      <c r="Q80" s="42">
        <v>0.45833333333333331</v>
      </c>
      <c r="R80" s="14">
        <v>1</v>
      </c>
      <c r="S80" s="24" t="s">
        <v>120</v>
      </c>
      <c r="T80" s="14"/>
      <c r="U80" s="57"/>
    </row>
    <row r="81" spans="1:21" x14ac:dyDescent="0.25">
      <c r="A81" s="32">
        <v>22</v>
      </c>
      <c r="B81" s="14" t="s">
        <v>8</v>
      </c>
      <c r="C81" s="25"/>
      <c r="D81" s="25"/>
      <c r="E81" s="14"/>
      <c r="F81" s="24"/>
      <c r="G81" s="14"/>
      <c r="H81" s="22"/>
      <c r="I81" s="57"/>
      <c r="J81" s="57"/>
      <c r="K81" s="57"/>
      <c r="L81" s="57"/>
      <c r="O81" s="14" t="s">
        <v>8</v>
      </c>
      <c r="P81" s="25"/>
      <c r="Q81" s="25"/>
      <c r="R81" s="14"/>
      <c r="S81" s="24"/>
      <c r="T81" s="14"/>
      <c r="U81" s="57"/>
    </row>
    <row r="82" spans="1:21" x14ac:dyDescent="0.25">
      <c r="B82" s="13" t="s">
        <v>26</v>
      </c>
      <c r="C82" s="32"/>
      <c r="D82" s="32"/>
      <c r="E82" s="32">
        <f>SUM(E75:E81)</f>
        <v>5</v>
      </c>
      <c r="G82" s="53"/>
      <c r="H82" s="22"/>
      <c r="I82" s="57"/>
      <c r="J82" s="57"/>
      <c r="K82" s="57"/>
      <c r="L82" s="57"/>
      <c r="O82" s="13" t="s">
        <v>26</v>
      </c>
      <c r="P82" s="32"/>
      <c r="Q82" s="32"/>
      <c r="R82" s="32">
        <v>5</v>
      </c>
      <c r="U82" s="57"/>
    </row>
    <row r="83" spans="1:21" x14ac:dyDescent="0.25">
      <c r="B83" s="13"/>
      <c r="C83" s="32"/>
      <c r="D83" s="32"/>
      <c r="E83" s="32"/>
      <c r="H83" s="22"/>
      <c r="I83" s="57"/>
      <c r="J83" s="57"/>
      <c r="K83" s="57"/>
      <c r="L83" s="57"/>
      <c r="U83" s="57"/>
    </row>
    <row r="84" spans="1:21" x14ac:dyDescent="0.25">
      <c r="H84" s="22"/>
      <c r="I84" s="57"/>
      <c r="J84" s="57"/>
      <c r="K84" s="57"/>
      <c r="L84" s="57"/>
      <c r="M84" s="53"/>
      <c r="U84" s="57"/>
    </row>
    <row r="85" spans="1:21" x14ac:dyDescent="0.25">
      <c r="B85" s="13" t="s">
        <v>60</v>
      </c>
      <c r="C85" s="13" t="s">
        <v>11</v>
      </c>
      <c r="D85" s="13" t="s">
        <v>12</v>
      </c>
      <c r="E85" s="13" t="s">
        <v>13</v>
      </c>
      <c r="F85" s="13" t="s">
        <v>14</v>
      </c>
      <c r="G85" s="20" t="s">
        <v>0</v>
      </c>
      <c r="H85" s="22"/>
      <c r="I85" s="57"/>
      <c r="J85" s="57"/>
      <c r="K85" s="57"/>
      <c r="L85" s="57"/>
      <c r="O85" s="13" t="s">
        <v>60</v>
      </c>
      <c r="P85" s="13" t="s">
        <v>11</v>
      </c>
      <c r="Q85" s="13" t="s">
        <v>12</v>
      </c>
      <c r="R85" s="13" t="s">
        <v>13</v>
      </c>
      <c r="S85" s="13" t="s">
        <v>14</v>
      </c>
      <c r="T85" s="13" t="s">
        <v>0</v>
      </c>
      <c r="U85" s="57"/>
    </row>
    <row r="86" spans="1:21" x14ac:dyDescent="0.25">
      <c r="A86" s="32">
        <v>23</v>
      </c>
      <c r="B86" s="14" t="s">
        <v>2</v>
      </c>
      <c r="C86" s="33">
        <v>0.375</v>
      </c>
      <c r="D86" s="25">
        <v>0.45833333333333331</v>
      </c>
      <c r="E86" s="14">
        <v>2</v>
      </c>
      <c r="G86" s="24" t="s">
        <v>121</v>
      </c>
      <c r="H86" s="22"/>
      <c r="I86" s="57"/>
      <c r="J86" s="57"/>
      <c r="K86" s="57"/>
      <c r="L86" s="57"/>
      <c r="M86" s="20"/>
      <c r="O86" s="14" t="s">
        <v>2</v>
      </c>
      <c r="P86" s="33">
        <v>0.375</v>
      </c>
      <c r="Q86" s="25">
        <v>0.45833333333333331</v>
      </c>
      <c r="R86" s="14">
        <v>2</v>
      </c>
      <c r="S86" s="24" t="s">
        <v>121</v>
      </c>
      <c r="T86" s="14"/>
      <c r="U86" s="57"/>
    </row>
    <row r="87" spans="1:21" x14ac:dyDescent="0.25">
      <c r="A87" s="32">
        <v>24</v>
      </c>
      <c r="B87" s="14" t="s">
        <v>3</v>
      </c>
      <c r="H87" s="22"/>
      <c r="I87" s="57"/>
      <c r="J87" s="57"/>
      <c r="K87" s="57"/>
      <c r="L87" s="57"/>
      <c r="M87" s="20"/>
      <c r="O87" s="14" t="s">
        <v>3</v>
      </c>
      <c r="U87" s="57"/>
    </row>
    <row r="88" spans="1:21" x14ac:dyDescent="0.25">
      <c r="A88" s="32">
        <v>25</v>
      </c>
      <c r="B88" s="14" t="s">
        <v>4</v>
      </c>
      <c r="C88" s="26"/>
      <c r="D88" s="26"/>
      <c r="E88" s="14"/>
      <c r="G88" s="24"/>
      <c r="H88" s="22"/>
      <c r="I88" s="57"/>
      <c r="J88" s="57"/>
      <c r="K88" s="57"/>
      <c r="L88" s="57"/>
      <c r="M88" s="20"/>
      <c r="O88" s="14" t="s">
        <v>4</v>
      </c>
      <c r="P88" s="26"/>
      <c r="Q88" s="26"/>
      <c r="R88" s="14"/>
      <c r="S88" s="24"/>
      <c r="T88" s="14"/>
      <c r="U88" s="57"/>
    </row>
    <row r="89" spans="1:21" x14ac:dyDescent="0.25">
      <c r="A89" s="32">
        <v>26</v>
      </c>
      <c r="B89" s="14" t="s">
        <v>5</v>
      </c>
      <c r="C89" s="25">
        <v>0.375</v>
      </c>
      <c r="D89" s="25">
        <v>0.41666666666666669</v>
      </c>
      <c r="E89" s="14">
        <v>1</v>
      </c>
      <c r="G89" s="24" t="s">
        <v>122</v>
      </c>
      <c r="H89" s="22"/>
      <c r="I89" s="57"/>
      <c r="J89" s="57"/>
      <c r="K89" s="57"/>
      <c r="L89" s="57"/>
      <c r="O89" s="14" t="s">
        <v>5</v>
      </c>
      <c r="P89" s="25">
        <v>0.375</v>
      </c>
      <c r="Q89" s="25">
        <v>0.41666666666666669</v>
      </c>
      <c r="R89" s="14">
        <v>1</v>
      </c>
      <c r="S89" s="24" t="s">
        <v>122</v>
      </c>
      <c r="T89" s="14"/>
      <c r="U89" s="57"/>
    </row>
    <row r="90" spans="1:21" x14ac:dyDescent="0.25">
      <c r="A90" s="32">
        <v>27</v>
      </c>
      <c r="B90" s="14" t="s">
        <v>6</v>
      </c>
      <c r="C90" s="14"/>
      <c r="D90" s="14"/>
      <c r="E90" s="14"/>
      <c r="G90" s="24"/>
      <c r="H90" s="22"/>
      <c r="I90" s="57"/>
      <c r="J90" s="57"/>
      <c r="K90" s="57"/>
      <c r="L90" s="57"/>
      <c r="O90" s="14" t="s">
        <v>6</v>
      </c>
      <c r="P90" s="14"/>
      <c r="Q90" s="14"/>
      <c r="R90" s="14"/>
      <c r="S90" s="24"/>
      <c r="T90" s="14"/>
      <c r="U90" s="57"/>
    </row>
    <row r="91" spans="1:21" x14ac:dyDescent="0.25">
      <c r="A91" s="32">
        <v>28</v>
      </c>
      <c r="B91" s="14" t="s">
        <v>7</v>
      </c>
      <c r="C91" s="42">
        <v>0.41666666666666669</v>
      </c>
      <c r="D91" s="42">
        <v>0.45833333333333331</v>
      </c>
      <c r="E91" s="14">
        <v>1</v>
      </c>
      <c r="G91" s="24" t="s">
        <v>112</v>
      </c>
      <c r="H91" s="22"/>
      <c r="I91" s="57"/>
      <c r="J91" s="57"/>
      <c r="K91" s="57"/>
      <c r="L91" s="57"/>
      <c r="O91" s="14" t="s">
        <v>7</v>
      </c>
      <c r="P91" s="42">
        <v>0.41666666666666669</v>
      </c>
      <c r="Q91" s="42">
        <v>0.45833333333333331</v>
      </c>
      <c r="R91" s="14">
        <v>1</v>
      </c>
      <c r="S91" s="24" t="s">
        <v>112</v>
      </c>
      <c r="T91" s="14"/>
      <c r="U91" s="57"/>
    </row>
    <row r="92" spans="1:21" x14ac:dyDescent="0.25">
      <c r="A92" s="32">
        <v>29</v>
      </c>
      <c r="B92" s="14" t="s">
        <v>8</v>
      </c>
      <c r="C92" s="25"/>
      <c r="D92" s="25"/>
      <c r="E92" s="14"/>
      <c r="F92" s="24"/>
      <c r="G92" s="14"/>
      <c r="H92" s="22"/>
      <c r="I92" s="57"/>
      <c r="J92" s="57"/>
      <c r="K92" s="57"/>
      <c r="L92" s="57"/>
      <c r="O92" s="14" t="s">
        <v>8</v>
      </c>
      <c r="P92" s="25"/>
      <c r="Q92" s="25"/>
      <c r="R92" s="14"/>
      <c r="S92" s="24"/>
      <c r="T92" s="14"/>
      <c r="U92" s="57"/>
    </row>
    <row r="93" spans="1:21" x14ac:dyDescent="0.25">
      <c r="B93" s="13" t="s">
        <v>26</v>
      </c>
      <c r="C93" s="32"/>
      <c r="D93" s="32"/>
      <c r="E93" s="32">
        <f>SUM(E84:E92)</f>
        <v>4</v>
      </c>
      <c r="F93" s="115" t="s">
        <v>393</v>
      </c>
      <c r="G93" s="145" t="s">
        <v>397</v>
      </c>
      <c r="H93" s="221" t="s">
        <v>414</v>
      </c>
      <c r="I93" s="57"/>
      <c r="J93" s="57"/>
      <c r="K93" s="57"/>
      <c r="L93" s="57"/>
      <c r="O93" s="13" t="s">
        <v>26</v>
      </c>
      <c r="P93" s="32"/>
      <c r="Q93" s="32"/>
      <c r="R93" s="32">
        <v>4</v>
      </c>
      <c r="T93" s="43" t="s">
        <v>123</v>
      </c>
      <c r="U93" s="57"/>
    </row>
    <row r="94" spans="1:21" ht="30" x14ac:dyDescent="0.25">
      <c r="A94" s="144" t="s">
        <v>401</v>
      </c>
      <c r="B94" s="35" t="s">
        <v>227</v>
      </c>
      <c r="C94" s="60"/>
      <c r="D94" s="61"/>
      <c r="E94" s="304">
        <f>SUM(E82,E93)</f>
        <v>9</v>
      </c>
      <c r="F94" s="115">
        <f>SUM(1*Marg_hist!G15)</f>
        <v>18</v>
      </c>
      <c r="G94" s="330">
        <f>SUM(E94 + G71)-F94</f>
        <v>-5</v>
      </c>
      <c r="H94" s="221" t="s">
        <v>400</v>
      </c>
      <c r="I94" s="57"/>
      <c r="J94" s="57"/>
      <c r="K94" s="57"/>
      <c r="L94" s="57"/>
      <c r="U94" s="57"/>
    </row>
    <row r="95" spans="1:21" x14ac:dyDescent="0.25">
      <c r="B95" s="20"/>
      <c r="C95" s="146"/>
      <c r="D95" s="147"/>
      <c r="E95" s="20"/>
      <c r="F95" s="20"/>
      <c r="G95" s="53"/>
      <c r="H95" s="22"/>
      <c r="I95" s="57"/>
      <c r="J95" s="57"/>
      <c r="K95" s="57"/>
      <c r="L95" s="57"/>
      <c r="U95" s="57"/>
    </row>
    <row r="96" spans="1:21" ht="30" x14ac:dyDescent="0.25">
      <c r="A96" s="63"/>
      <c r="B96" s="13" t="s">
        <v>70</v>
      </c>
      <c r="C96" s="13" t="s">
        <v>11</v>
      </c>
      <c r="D96" s="13" t="s">
        <v>12</v>
      </c>
      <c r="E96" s="13" t="s">
        <v>13</v>
      </c>
      <c r="F96" s="13" t="s">
        <v>14</v>
      </c>
      <c r="G96" s="20" t="s">
        <v>0</v>
      </c>
      <c r="H96" s="22"/>
      <c r="I96" s="57" t="s">
        <v>187</v>
      </c>
      <c r="J96" s="57" t="s">
        <v>186</v>
      </c>
      <c r="K96" s="57"/>
      <c r="L96" s="57"/>
      <c r="O96" s="13" t="s">
        <v>70</v>
      </c>
      <c r="P96" s="13" t="s">
        <v>11</v>
      </c>
      <c r="Q96" s="13" t="s">
        <v>12</v>
      </c>
      <c r="R96" s="13" t="s">
        <v>13</v>
      </c>
      <c r="S96" s="13" t="s">
        <v>14</v>
      </c>
      <c r="T96" s="13" t="s">
        <v>0</v>
      </c>
      <c r="U96" s="57"/>
    </row>
    <row r="97" spans="1:21" x14ac:dyDescent="0.25">
      <c r="A97" s="32">
        <v>30</v>
      </c>
      <c r="B97" s="14" t="s">
        <v>2</v>
      </c>
      <c r="C97" s="33"/>
      <c r="D97" s="25"/>
      <c r="E97" s="14"/>
      <c r="F97" s="24"/>
      <c r="G97" s="14"/>
      <c r="H97" s="22"/>
      <c r="I97" s="57" t="s">
        <v>182</v>
      </c>
      <c r="J97" s="57" t="s">
        <v>181</v>
      </c>
      <c r="K97" s="57"/>
      <c r="L97" s="57"/>
      <c r="O97" s="14" t="s">
        <v>2</v>
      </c>
      <c r="P97" s="33"/>
      <c r="Q97" s="25"/>
      <c r="R97" s="14"/>
      <c r="S97" s="24"/>
      <c r="T97" s="14"/>
      <c r="U97" s="57"/>
    </row>
    <row r="98" spans="1:21" ht="30" x14ac:dyDescent="0.25">
      <c r="A98" s="32">
        <v>1</v>
      </c>
      <c r="B98" s="14" t="s">
        <v>3</v>
      </c>
      <c r="C98" s="26">
        <v>0.58333333333333337</v>
      </c>
      <c r="D98" s="26">
        <v>0.625</v>
      </c>
      <c r="E98" s="15">
        <v>1</v>
      </c>
      <c r="G98" s="15" t="s">
        <v>124</v>
      </c>
      <c r="H98" s="63"/>
      <c r="I98" s="57" t="s">
        <v>180</v>
      </c>
      <c r="J98" s="57" t="s">
        <v>179</v>
      </c>
      <c r="K98" s="57"/>
      <c r="L98" s="57"/>
      <c r="O98" s="14" t="s">
        <v>3</v>
      </c>
      <c r="P98" s="26">
        <v>0.58333333333333337</v>
      </c>
      <c r="Q98" s="26">
        <v>0.625</v>
      </c>
      <c r="R98" s="15">
        <v>1</v>
      </c>
      <c r="S98" s="15" t="s">
        <v>124</v>
      </c>
      <c r="U98" s="57"/>
    </row>
    <row r="99" spans="1:21" x14ac:dyDescent="0.25">
      <c r="A99" s="32">
        <v>2</v>
      </c>
      <c r="B99" s="14" t="s">
        <v>4</v>
      </c>
      <c r="C99" s="26"/>
      <c r="D99" s="26"/>
      <c r="E99" s="14"/>
      <c r="G99" s="24"/>
      <c r="H99" s="22"/>
      <c r="I99" s="57"/>
      <c r="J99" s="57"/>
      <c r="K99" s="57"/>
      <c r="L99" s="57"/>
      <c r="O99" s="14" t="s">
        <v>4</v>
      </c>
      <c r="P99" s="26"/>
      <c r="Q99" s="26"/>
      <c r="R99" s="14"/>
      <c r="S99" s="24"/>
      <c r="T99" s="14"/>
      <c r="U99" s="57"/>
    </row>
    <row r="100" spans="1:21" x14ac:dyDescent="0.25">
      <c r="A100" s="32">
        <v>3</v>
      </c>
      <c r="B100" s="14" t="s">
        <v>5</v>
      </c>
      <c r="C100" s="25"/>
      <c r="D100" s="25"/>
      <c r="E100" s="14"/>
      <c r="G100" s="24"/>
      <c r="H100" s="22"/>
      <c r="I100" s="57"/>
      <c r="J100" s="57"/>
      <c r="K100" s="57"/>
      <c r="L100" s="57"/>
      <c r="O100" s="14" t="s">
        <v>5</v>
      </c>
      <c r="P100" s="25"/>
      <c r="Q100" s="25"/>
      <c r="R100" s="14"/>
      <c r="S100" s="24"/>
      <c r="T100" s="14"/>
      <c r="U100" s="57"/>
    </row>
    <row r="101" spans="1:21" x14ac:dyDescent="0.25">
      <c r="A101" s="32">
        <v>4</v>
      </c>
      <c r="B101" s="14" t="s">
        <v>6</v>
      </c>
      <c r="C101" s="42">
        <v>0.41666666666666669</v>
      </c>
      <c r="D101" s="42">
        <v>0.45833333333333331</v>
      </c>
      <c r="E101" s="14">
        <v>1</v>
      </c>
      <c r="G101" s="24" t="s">
        <v>125</v>
      </c>
      <c r="H101" s="22"/>
      <c r="I101" s="57"/>
      <c r="J101" s="57"/>
      <c r="K101" s="57"/>
      <c r="L101" s="57"/>
      <c r="O101" s="14" t="s">
        <v>6</v>
      </c>
      <c r="P101" s="42">
        <v>0.41666666666666669</v>
      </c>
      <c r="Q101" s="42">
        <v>0.45833333333333331</v>
      </c>
      <c r="R101" s="14">
        <v>1</v>
      </c>
      <c r="S101" s="24" t="s">
        <v>125</v>
      </c>
      <c r="T101" s="14"/>
      <c r="U101" s="57"/>
    </row>
    <row r="102" spans="1:21" x14ac:dyDescent="0.25">
      <c r="A102" s="32">
        <v>5</v>
      </c>
      <c r="B102" s="14" t="s">
        <v>7</v>
      </c>
      <c r="C102" s="42"/>
      <c r="D102" s="42"/>
      <c r="E102" s="14"/>
      <c r="F102" s="24"/>
      <c r="G102" s="14"/>
      <c r="H102" s="22"/>
      <c r="I102" s="57"/>
      <c r="J102" s="57"/>
      <c r="K102" s="57"/>
      <c r="L102" s="57"/>
      <c r="O102" s="14" t="s">
        <v>7</v>
      </c>
      <c r="P102" s="42"/>
      <c r="Q102" s="42"/>
      <c r="R102" s="14"/>
      <c r="S102" s="24"/>
      <c r="T102" s="14"/>
      <c r="U102" s="57"/>
    </row>
    <row r="103" spans="1:21" x14ac:dyDescent="0.25">
      <c r="A103" s="32">
        <v>6</v>
      </c>
      <c r="B103" s="14" t="s">
        <v>8</v>
      </c>
      <c r="C103" s="25"/>
      <c r="D103" s="25"/>
      <c r="E103" s="14"/>
      <c r="F103" s="23"/>
      <c r="G103" s="21"/>
      <c r="H103" s="22"/>
      <c r="I103" s="57"/>
      <c r="J103" s="57"/>
      <c r="K103" s="57"/>
      <c r="L103" s="57"/>
      <c r="O103" s="14" t="s">
        <v>8</v>
      </c>
      <c r="P103" s="25"/>
      <c r="Q103" s="25"/>
      <c r="R103" s="14"/>
      <c r="S103" s="24"/>
      <c r="T103" s="14"/>
      <c r="U103" s="57"/>
    </row>
    <row r="104" spans="1:21" x14ac:dyDescent="0.25">
      <c r="B104" s="13" t="s">
        <v>26</v>
      </c>
      <c r="C104" s="32"/>
      <c r="D104" s="32"/>
      <c r="E104" s="32">
        <v>2</v>
      </c>
      <c r="F104" s="22"/>
      <c r="G104" s="53"/>
      <c r="H104" s="22"/>
      <c r="I104" s="57"/>
      <c r="J104" s="57"/>
      <c r="K104" s="57"/>
      <c r="L104" s="57"/>
      <c r="O104" s="13" t="s">
        <v>26</v>
      </c>
      <c r="P104" s="32"/>
      <c r="Q104" s="32"/>
      <c r="R104" s="32">
        <v>2</v>
      </c>
      <c r="T104" s="43" t="s">
        <v>126</v>
      </c>
      <c r="U104" s="57"/>
    </row>
    <row r="105" spans="1:21" x14ac:dyDescent="0.25">
      <c r="B105" s="13"/>
      <c r="C105" s="32"/>
      <c r="D105" s="32"/>
      <c r="E105" s="32"/>
      <c r="F105" s="22"/>
      <c r="G105" s="22"/>
      <c r="H105" s="22"/>
      <c r="I105" s="57"/>
      <c r="J105" s="57"/>
      <c r="K105" s="57"/>
      <c r="L105" s="57"/>
      <c r="U105" s="57"/>
    </row>
    <row r="106" spans="1:21" x14ac:dyDescent="0.25">
      <c r="G106" s="22"/>
      <c r="H106" s="22"/>
      <c r="I106" s="57"/>
      <c r="J106" s="57"/>
      <c r="K106" s="57"/>
      <c r="L106" s="57"/>
      <c r="U106" s="57"/>
    </row>
    <row r="107" spans="1:21" x14ac:dyDescent="0.25">
      <c r="B107" s="13" t="s">
        <v>74</v>
      </c>
      <c r="C107" s="13" t="s">
        <v>11</v>
      </c>
      <c r="D107" s="13" t="s">
        <v>12</v>
      </c>
      <c r="E107" s="13" t="s">
        <v>13</v>
      </c>
      <c r="F107" s="13" t="s">
        <v>14</v>
      </c>
      <c r="G107" s="20" t="s">
        <v>0</v>
      </c>
      <c r="I107" s="57"/>
      <c r="J107" s="57"/>
      <c r="K107" s="57"/>
      <c r="L107" s="57"/>
      <c r="O107" s="13" t="s">
        <v>74</v>
      </c>
      <c r="P107" s="13" t="s">
        <v>11</v>
      </c>
      <c r="Q107" s="13" t="s">
        <v>12</v>
      </c>
      <c r="R107" s="13" t="s">
        <v>13</v>
      </c>
      <c r="S107" s="13" t="s">
        <v>14</v>
      </c>
      <c r="T107" s="13" t="s">
        <v>0</v>
      </c>
      <c r="U107" s="57"/>
    </row>
    <row r="108" spans="1:21" x14ac:dyDescent="0.25">
      <c r="A108" s="53">
        <v>7</v>
      </c>
      <c r="B108" s="14" t="s">
        <v>2</v>
      </c>
      <c r="C108" s="25"/>
      <c r="D108" s="25"/>
      <c r="E108" s="14"/>
      <c r="F108" s="24"/>
      <c r="G108" s="14"/>
      <c r="I108" s="57"/>
      <c r="J108" s="57"/>
      <c r="K108" s="57"/>
      <c r="L108" s="57"/>
      <c r="O108" s="14" t="s">
        <v>2</v>
      </c>
      <c r="P108" s="33"/>
      <c r="Q108" s="25"/>
      <c r="R108" s="14"/>
      <c r="S108" s="24"/>
      <c r="T108" s="14"/>
      <c r="U108" s="57"/>
    </row>
    <row r="109" spans="1:21" x14ac:dyDescent="0.25">
      <c r="A109" s="32">
        <v>8</v>
      </c>
      <c r="B109" s="14" t="s">
        <v>3</v>
      </c>
      <c r="C109" s="33"/>
      <c r="D109" s="25"/>
      <c r="E109" s="14"/>
      <c r="F109" s="24"/>
      <c r="G109" s="14"/>
      <c r="H109" s="22"/>
      <c r="I109" s="57"/>
      <c r="J109" s="57"/>
      <c r="K109" s="57"/>
      <c r="L109" s="57"/>
      <c r="O109" s="14" t="s">
        <v>3</v>
      </c>
      <c r="U109" s="57"/>
    </row>
    <row r="110" spans="1:21" x14ac:dyDescent="0.25">
      <c r="A110" s="32">
        <v>9</v>
      </c>
      <c r="B110" s="14" t="s">
        <v>4</v>
      </c>
      <c r="C110" s="26">
        <v>0.5625</v>
      </c>
      <c r="D110" s="26">
        <v>0.60416666666666663</v>
      </c>
      <c r="E110" s="15">
        <v>1</v>
      </c>
      <c r="G110" s="15" t="s">
        <v>127</v>
      </c>
      <c r="H110" s="22"/>
      <c r="I110" s="57"/>
      <c r="J110" s="57"/>
      <c r="K110" s="57"/>
      <c r="L110" s="57"/>
      <c r="O110" s="14" t="s">
        <v>4</v>
      </c>
      <c r="P110" s="26">
        <v>0.5625</v>
      </c>
      <c r="Q110" s="26">
        <v>0.60416666666666663</v>
      </c>
      <c r="R110" s="15">
        <v>1</v>
      </c>
      <c r="S110" s="15" t="s">
        <v>127</v>
      </c>
      <c r="T110" s="14"/>
      <c r="U110" s="57"/>
    </row>
    <row r="111" spans="1:21" x14ac:dyDescent="0.25">
      <c r="A111" s="32">
        <v>10</v>
      </c>
      <c r="B111" s="14" t="s">
        <v>5</v>
      </c>
      <c r="C111" s="25"/>
      <c r="D111" s="25"/>
      <c r="E111" s="14"/>
      <c r="G111" s="24"/>
      <c r="H111" s="22"/>
      <c r="I111" s="57"/>
      <c r="J111" s="57"/>
      <c r="K111" s="57"/>
      <c r="L111" s="57"/>
      <c r="O111" s="14" t="s">
        <v>5</v>
      </c>
      <c r="P111" s="25"/>
      <c r="Q111" s="25"/>
      <c r="R111" s="14"/>
      <c r="S111" s="24"/>
      <c r="T111" s="14"/>
      <c r="U111" s="57"/>
    </row>
    <row r="112" spans="1:21" x14ac:dyDescent="0.25">
      <c r="A112" s="32">
        <v>11</v>
      </c>
      <c r="B112" s="14" t="s">
        <v>6</v>
      </c>
      <c r="C112" s="42">
        <v>0.41666666666666669</v>
      </c>
      <c r="D112" s="42">
        <v>0.45833333333333331</v>
      </c>
      <c r="E112" s="14">
        <v>1</v>
      </c>
      <c r="G112" s="24" t="s">
        <v>125</v>
      </c>
      <c r="I112" s="57"/>
      <c r="J112" s="57"/>
      <c r="K112" s="57"/>
      <c r="L112" s="57"/>
      <c r="O112" s="14" t="s">
        <v>6</v>
      </c>
      <c r="P112" s="42">
        <v>0.41666666666666669</v>
      </c>
      <c r="Q112" s="42">
        <v>0.45833333333333331</v>
      </c>
      <c r="R112" s="14">
        <v>1</v>
      </c>
      <c r="S112" s="24" t="s">
        <v>125</v>
      </c>
      <c r="T112" s="14"/>
      <c r="U112" s="57"/>
    </row>
    <row r="113" spans="1:21" x14ac:dyDescent="0.25">
      <c r="A113" s="32">
        <v>12</v>
      </c>
      <c r="B113" s="14" t="s">
        <v>7</v>
      </c>
      <c r="C113" s="42"/>
      <c r="D113" s="42"/>
      <c r="E113" s="14"/>
      <c r="F113" s="24"/>
      <c r="G113" s="14"/>
      <c r="I113" s="57"/>
      <c r="J113" s="57"/>
      <c r="K113" s="57"/>
      <c r="L113" s="57"/>
      <c r="O113" s="14" t="s">
        <v>7</v>
      </c>
      <c r="P113" s="42"/>
      <c r="Q113" s="42"/>
      <c r="R113" s="14"/>
      <c r="S113" s="24"/>
      <c r="T113" s="14"/>
      <c r="U113" s="57"/>
    </row>
    <row r="114" spans="1:21" x14ac:dyDescent="0.25">
      <c r="A114" s="32">
        <v>13</v>
      </c>
      <c r="B114" s="14" t="s">
        <v>8</v>
      </c>
      <c r="C114" s="14"/>
      <c r="D114" s="14"/>
      <c r="E114" s="14"/>
      <c r="F114" s="24"/>
      <c r="G114" s="14"/>
      <c r="I114" s="57"/>
      <c r="J114" s="57"/>
      <c r="K114" s="57"/>
      <c r="L114" s="57"/>
      <c r="O114" s="14" t="s">
        <v>8</v>
      </c>
      <c r="P114" s="25"/>
      <c r="Q114" s="25"/>
      <c r="R114" s="14"/>
      <c r="S114" s="24"/>
      <c r="T114" s="14"/>
      <c r="U114" s="57"/>
    </row>
    <row r="115" spans="1:21" x14ac:dyDescent="0.25">
      <c r="B115" s="13" t="s">
        <v>26</v>
      </c>
      <c r="C115" s="32"/>
      <c r="D115" s="32"/>
      <c r="E115" s="32">
        <f>SUM(E108:E114)</f>
        <v>2</v>
      </c>
      <c r="F115" s="115" t="s">
        <v>393</v>
      </c>
      <c r="G115" s="145" t="s">
        <v>397</v>
      </c>
      <c r="I115" s="57"/>
      <c r="J115" s="57"/>
      <c r="K115" s="57"/>
      <c r="L115" s="57"/>
      <c r="O115" s="13" t="s">
        <v>26</v>
      </c>
      <c r="P115" s="32"/>
      <c r="Q115" s="32"/>
      <c r="R115" s="32">
        <v>2</v>
      </c>
      <c r="T115" s="43" t="s">
        <v>126</v>
      </c>
      <c r="U115" s="57"/>
    </row>
    <row r="116" spans="1:21" ht="30" x14ac:dyDescent="0.25">
      <c r="A116" s="144" t="s">
        <v>415</v>
      </c>
      <c r="B116" s="35" t="s">
        <v>227</v>
      </c>
      <c r="C116" s="60"/>
      <c r="D116" s="61"/>
      <c r="E116" s="35">
        <f>SUM(E97:E103,E108:E114)</f>
        <v>4</v>
      </c>
      <c r="F116" s="115">
        <f>SUM(1*Marg_hist!G21)</f>
        <v>10</v>
      </c>
      <c r="G116" s="330">
        <f>SUM(E116 + G94)-F116</f>
        <v>-11</v>
      </c>
      <c r="H116" s="221" t="s">
        <v>416</v>
      </c>
      <c r="I116" s="57"/>
      <c r="J116" s="57"/>
      <c r="K116" s="57"/>
      <c r="L116" s="57"/>
      <c r="U116" s="57"/>
    </row>
    <row r="117" spans="1:21" x14ac:dyDescent="0.25">
      <c r="A117" s="53"/>
      <c r="B117" s="20"/>
      <c r="C117" s="146"/>
      <c r="D117" s="147"/>
      <c r="E117" s="20"/>
      <c r="F117" s="20"/>
      <c r="G117" s="53"/>
      <c r="H117" s="158"/>
      <c r="I117" s="57"/>
      <c r="J117" s="57"/>
      <c r="K117" s="57"/>
      <c r="L117" s="57"/>
      <c r="U117" s="57"/>
    </row>
    <row r="118" spans="1:21" x14ac:dyDescent="0.25">
      <c r="A118" s="530" t="s">
        <v>311</v>
      </c>
      <c r="B118" s="530"/>
      <c r="C118" s="530"/>
      <c r="D118" s="530"/>
      <c r="E118" s="530"/>
      <c r="F118" s="530"/>
      <c r="G118" s="530"/>
      <c r="H118" s="530"/>
      <c r="I118" s="530"/>
      <c r="J118" s="530"/>
      <c r="K118" s="530"/>
      <c r="L118" s="530"/>
      <c r="M118" s="530"/>
      <c r="N118" s="530"/>
      <c r="O118" s="530"/>
      <c r="P118" s="530"/>
      <c r="Q118" s="530"/>
      <c r="R118" s="530"/>
      <c r="S118" s="530"/>
      <c r="T118" s="530"/>
      <c r="U118" s="57"/>
    </row>
    <row r="119" spans="1:21" x14ac:dyDescent="0.25">
      <c r="A119" s="530"/>
      <c r="B119" s="530"/>
      <c r="C119" s="530"/>
      <c r="D119" s="530"/>
      <c r="E119" s="530"/>
      <c r="F119" s="530"/>
      <c r="G119" s="530"/>
      <c r="H119" s="530"/>
      <c r="I119" s="530"/>
      <c r="J119" s="530"/>
      <c r="K119" s="530"/>
      <c r="L119" s="530"/>
      <c r="M119" s="530"/>
      <c r="N119" s="530"/>
      <c r="O119" s="530"/>
      <c r="P119" s="530"/>
      <c r="Q119" s="530"/>
      <c r="R119" s="530"/>
      <c r="S119" s="530"/>
      <c r="T119" s="530"/>
      <c r="U119" s="57"/>
    </row>
    <row r="120" spans="1:21" ht="63.75" x14ac:dyDescent="0.5">
      <c r="A120" s="137" t="s">
        <v>252</v>
      </c>
      <c r="B120" s="13" t="s">
        <v>128</v>
      </c>
      <c r="C120" s="13" t="s">
        <v>11</v>
      </c>
      <c r="D120" s="13" t="s">
        <v>12</v>
      </c>
      <c r="E120" s="13" t="s">
        <v>13</v>
      </c>
      <c r="F120" s="13" t="s">
        <v>14</v>
      </c>
      <c r="G120" s="20" t="s">
        <v>0</v>
      </c>
      <c r="H120" s="22"/>
      <c r="I120" s="187"/>
      <c r="J120" s="187"/>
      <c r="K120" s="57"/>
      <c r="L120" s="57"/>
      <c r="O120" s="13" t="s">
        <v>128</v>
      </c>
      <c r="P120" s="13" t="s">
        <v>11</v>
      </c>
      <c r="Q120" s="13" t="s">
        <v>12</v>
      </c>
      <c r="R120" s="13" t="s">
        <v>13</v>
      </c>
      <c r="S120" s="13" t="s">
        <v>14</v>
      </c>
      <c r="T120" s="13" t="s">
        <v>0</v>
      </c>
      <c r="U120" s="57"/>
    </row>
    <row r="121" spans="1:21" ht="30" x14ac:dyDescent="0.25">
      <c r="A121" s="32">
        <v>14</v>
      </c>
      <c r="B121" s="21" t="s">
        <v>2</v>
      </c>
      <c r="C121" s="49"/>
      <c r="D121" s="49"/>
      <c r="E121" s="138"/>
      <c r="F121" s="23"/>
      <c r="G121" s="21"/>
      <c r="I121" s="57" t="s">
        <v>187</v>
      </c>
      <c r="J121" s="57" t="s">
        <v>186</v>
      </c>
      <c r="K121" s="57"/>
      <c r="L121" s="57"/>
      <c r="O121" s="14" t="s">
        <v>2</v>
      </c>
      <c r="P121" s="33"/>
      <c r="Q121" s="25"/>
      <c r="R121" s="14"/>
      <c r="S121" s="24"/>
      <c r="T121" s="14"/>
      <c r="U121" s="57"/>
    </row>
    <row r="122" spans="1:21" x14ac:dyDescent="0.25">
      <c r="A122" s="32">
        <v>15</v>
      </c>
      <c r="B122" s="21" t="s">
        <v>3</v>
      </c>
      <c r="C122" s="48"/>
      <c r="D122" s="49"/>
      <c r="E122" s="138"/>
      <c r="F122" s="23"/>
      <c r="G122" s="21"/>
      <c r="H122" s="22"/>
      <c r="I122" s="57" t="s">
        <v>182</v>
      </c>
      <c r="J122" s="57" t="s">
        <v>181</v>
      </c>
      <c r="K122" s="57"/>
      <c r="L122" s="57"/>
      <c r="O122" s="14" t="s">
        <v>3</v>
      </c>
      <c r="U122" s="57"/>
    </row>
    <row r="123" spans="1:21" ht="30" x14ac:dyDescent="0.25">
      <c r="A123" s="32">
        <v>16</v>
      </c>
      <c r="B123" s="21" t="s">
        <v>4</v>
      </c>
      <c r="C123" s="51"/>
      <c r="D123" s="51"/>
      <c r="E123" s="138"/>
      <c r="F123" s="23"/>
      <c r="G123" s="22"/>
      <c r="H123" s="22"/>
      <c r="I123" s="186" t="s">
        <v>180</v>
      </c>
      <c r="J123" s="186" t="s">
        <v>179</v>
      </c>
      <c r="K123" s="57"/>
      <c r="L123" s="57"/>
      <c r="O123" s="14" t="s">
        <v>4</v>
      </c>
      <c r="P123" s="26"/>
      <c r="Q123" s="26"/>
      <c r="T123" s="14"/>
      <c r="U123" s="57"/>
    </row>
    <row r="124" spans="1:21" x14ac:dyDescent="0.25">
      <c r="A124" s="32">
        <v>17</v>
      </c>
      <c r="B124" s="14" t="s">
        <v>5</v>
      </c>
      <c r="C124" s="25">
        <v>0.4375</v>
      </c>
      <c r="D124" s="25">
        <v>0.52083333333333337</v>
      </c>
      <c r="E124" s="14">
        <v>2</v>
      </c>
      <c r="G124" s="24" t="s">
        <v>129</v>
      </c>
      <c r="H124" s="22"/>
      <c r="I124" s="57"/>
      <c r="J124" s="57"/>
      <c r="K124" s="57"/>
      <c r="L124" s="57"/>
      <c r="O124" s="14" t="s">
        <v>5</v>
      </c>
      <c r="P124" s="25">
        <v>0.4375</v>
      </c>
      <c r="Q124" s="25">
        <v>0.52083333333333337</v>
      </c>
      <c r="R124" s="14">
        <v>2</v>
      </c>
      <c r="S124" s="24" t="s">
        <v>129</v>
      </c>
      <c r="T124" s="14"/>
      <c r="U124" s="57"/>
    </row>
    <row r="125" spans="1:21" x14ac:dyDescent="0.25">
      <c r="A125" s="32"/>
      <c r="C125" s="26">
        <v>0.52083333333333337</v>
      </c>
      <c r="D125" s="26">
        <v>6.25E-2</v>
      </c>
      <c r="E125" s="15">
        <v>1</v>
      </c>
      <c r="G125" s="15" t="s">
        <v>127</v>
      </c>
      <c r="H125" s="22"/>
      <c r="I125" s="57"/>
      <c r="J125" s="57"/>
      <c r="K125" s="57"/>
      <c r="L125" s="57"/>
      <c r="P125" s="26">
        <v>0.52083333333333337</v>
      </c>
      <c r="Q125" s="26">
        <v>6.25E-2</v>
      </c>
      <c r="R125" s="15">
        <v>1</v>
      </c>
      <c r="S125" s="15" t="s">
        <v>127</v>
      </c>
      <c r="T125" s="14"/>
      <c r="U125" s="57"/>
    </row>
    <row r="126" spans="1:21" x14ac:dyDescent="0.25">
      <c r="A126" s="32">
        <v>18</v>
      </c>
      <c r="B126" s="14" t="s">
        <v>6</v>
      </c>
      <c r="C126" s="42">
        <v>0.41666666666666669</v>
      </c>
      <c r="D126" s="42">
        <v>0.45833333333333331</v>
      </c>
      <c r="E126" s="14">
        <v>1</v>
      </c>
      <c r="G126" s="24" t="s">
        <v>125</v>
      </c>
      <c r="H126" s="22"/>
      <c r="I126" s="57"/>
      <c r="J126" s="57"/>
      <c r="K126" s="57"/>
      <c r="L126" s="57"/>
      <c r="O126" s="14" t="s">
        <v>6</v>
      </c>
      <c r="P126" s="42">
        <v>0.41666666666666669</v>
      </c>
      <c r="Q126" s="42">
        <v>0.45833333333333331</v>
      </c>
      <c r="R126" s="14">
        <v>1</v>
      </c>
      <c r="S126" s="24" t="s">
        <v>125</v>
      </c>
      <c r="T126" s="14"/>
      <c r="U126" s="57"/>
    </row>
    <row r="127" spans="1:21" x14ac:dyDescent="0.25">
      <c r="A127" s="32">
        <v>19</v>
      </c>
      <c r="B127" s="21" t="s">
        <v>7</v>
      </c>
      <c r="C127" s="51"/>
      <c r="D127" s="51"/>
      <c r="E127" s="138"/>
      <c r="F127" s="23"/>
      <c r="G127" s="21"/>
      <c r="H127" s="22"/>
      <c r="I127" s="57"/>
      <c r="J127" s="57"/>
      <c r="K127" s="57"/>
      <c r="L127" s="57"/>
      <c r="O127" s="14" t="s">
        <v>7</v>
      </c>
      <c r="P127" s="42"/>
      <c r="Q127" s="42"/>
      <c r="R127" s="14"/>
      <c r="S127" s="24"/>
      <c r="T127" s="14"/>
      <c r="U127" s="57"/>
    </row>
    <row r="128" spans="1:21" x14ac:dyDescent="0.25">
      <c r="A128" s="32">
        <v>20</v>
      </c>
      <c r="B128" s="21" t="s">
        <v>8</v>
      </c>
      <c r="C128" s="49"/>
      <c r="D128" s="49"/>
      <c r="E128" s="138"/>
      <c r="F128" s="23"/>
      <c r="G128" s="21"/>
      <c r="H128" s="22"/>
      <c r="I128" s="57"/>
      <c r="J128" s="57"/>
      <c r="K128" s="57"/>
      <c r="L128" s="57"/>
      <c r="O128" s="14" t="s">
        <v>8</v>
      </c>
      <c r="P128" s="25"/>
      <c r="Q128" s="25"/>
      <c r="R128" s="14"/>
      <c r="S128" s="24"/>
      <c r="T128" s="14"/>
      <c r="U128" s="57"/>
    </row>
    <row r="129" spans="1:21" x14ac:dyDescent="0.25">
      <c r="B129" s="13" t="s">
        <v>26</v>
      </c>
      <c r="C129" s="32"/>
      <c r="D129" s="32"/>
      <c r="E129" s="32">
        <f>SUM(E121:E128)</f>
        <v>4</v>
      </c>
      <c r="G129" s="53"/>
      <c r="H129" s="22"/>
      <c r="I129" s="57"/>
      <c r="J129" s="57"/>
      <c r="K129" s="57"/>
      <c r="L129" s="57"/>
      <c r="O129" s="13" t="s">
        <v>26</v>
      </c>
      <c r="P129" s="32"/>
      <c r="Q129" s="32"/>
      <c r="R129" s="32">
        <v>4</v>
      </c>
      <c r="T129" s="43" t="s">
        <v>123</v>
      </c>
      <c r="U129" s="57"/>
    </row>
    <row r="130" spans="1:21" x14ac:dyDescent="0.25">
      <c r="G130" s="22"/>
      <c r="H130" s="22"/>
      <c r="I130" s="57"/>
      <c r="J130" s="57"/>
      <c r="K130" s="57"/>
      <c r="L130" s="57"/>
      <c r="U130" s="57"/>
    </row>
    <row r="131" spans="1:21" x14ac:dyDescent="0.25">
      <c r="B131" s="13" t="s">
        <v>130</v>
      </c>
      <c r="C131" s="13" t="s">
        <v>11</v>
      </c>
      <c r="D131" s="13" t="s">
        <v>12</v>
      </c>
      <c r="E131" s="13" t="s">
        <v>13</v>
      </c>
      <c r="F131" s="13" t="s">
        <v>14</v>
      </c>
      <c r="G131" s="20" t="s">
        <v>0</v>
      </c>
      <c r="H131" s="22"/>
      <c r="I131" s="57"/>
      <c r="J131" s="57"/>
      <c r="K131" s="57"/>
      <c r="L131" s="57"/>
      <c r="U131" s="57"/>
    </row>
    <row r="132" spans="1:21" x14ac:dyDescent="0.25">
      <c r="A132" s="32">
        <v>21</v>
      </c>
      <c r="B132" s="21" t="s">
        <v>2</v>
      </c>
      <c r="C132" s="49"/>
      <c r="D132" s="49"/>
      <c r="E132" s="138"/>
      <c r="F132" s="23"/>
      <c r="G132" s="21"/>
      <c r="H132" s="22"/>
      <c r="I132" s="57"/>
      <c r="J132" s="57"/>
      <c r="K132" s="57"/>
      <c r="L132" s="57"/>
      <c r="U132" s="57"/>
    </row>
    <row r="133" spans="1:21" x14ac:dyDescent="0.25">
      <c r="A133" s="32">
        <v>22</v>
      </c>
      <c r="B133" s="14" t="s">
        <v>3</v>
      </c>
      <c r="C133" s="26">
        <v>0.47916666666666669</v>
      </c>
      <c r="D133" s="26">
        <v>0.52083333333333337</v>
      </c>
      <c r="E133" s="15">
        <v>1</v>
      </c>
      <c r="G133" s="15" t="s">
        <v>131</v>
      </c>
      <c r="H133" s="22"/>
      <c r="I133" s="57"/>
      <c r="J133" s="57"/>
      <c r="K133" s="57"/>
      <c r="L133" s="57"/>
      <c r="O133" s="13" t="s">
        <v>130</v>
      </c>
      <c r="P133" s="13" t="s">
        <v>11</v>
      </c>
      <c r="Q133" s="13" t="s">
        <v>12</v>
      </c>
      <c r="R133" s="13" t="s">
        <v>13</v>
      </c>
      <c r="S133" s="13" t="s">
        <v>14</v>
      </c>
      <c r="T133" s="13" t="s">
        <v>0</v>
      </c>
      <c r="U133" s="57"/>
    </row>
    <row r="134" spans="1:21" x14ac:dyDescent="0.25">
      <c r="A134" s="32">
        <v>23</v>
      </c>
      <c r="B134" s="14" t="s">
        <v>4</v>
      </c>
      <c r="C134" s="26"/>
      <c r="D134" s="26"/>
      <c r="H134" s="22"/>
      <c r="I134" s="57"/>
      <c r="J134" s="57"/>
      <c r="K134" s="57"/>
      <c r="L134" s="57"/>
      <c r="O134" s="14" t="s">
        <v>2</v>
      </c>
      <c r="P134" s="33"/>
      <c r="Q134" s="25"/>
      <c r="R134" s="14"/>
      <c r="S134" s="24"/>
      <c r="T134" s="14"/>
      <c r="U134" s="57"/>
    </row>
    <row r="135" spans="1:21" x14ac:dyDescent="0.25">
      <c r="A135" s="32">
        <v>24</v>
      </c>
      <c r="B135" s="14" t="s">
        <v>5</v>
      </c>
      <c r="C135" s="25">
        <v>0.4375</v>
      </c>
      <c r="D135" s="25">
        <v>0.97916666666666663</v>
      </c>
      <c r="E135" s="14">
        <v>1</v>
      </c>
      <c r="G135" s="24" t="s">
        <v>129</v>
      </c>
      <c r="H135" s="22"/>
      <c r="I135" s="57"/>
      <c r="J135" s="57"/>
      <c r="K135" s="57"/>
      <c r="L135" s="57"/>
      <c r="O135" s="14" t="s">
        <v>3</v>
      </c>
      <c r="P135" s="26">
        <v>0.47916666666666669</v>
      </c>
      <c r="Q135" s="26">
        <v>0.52083333333333337</v>
      </c>
      <c r="R135" s="15">
        <v>1</v>
      </c>
      <c r="S135" s="15" t="s">
        <v>131</v>
      </c>
      <c r="U135" s="57"/>
    </row>
    <row r="136" spans="1:21" x14ac:dyDescent="0.25">
      <c r="A136" s="32">
        <v>25</v>
      </c>
      <c r="B136" s="14" t="s">
        <v>6</v>
      </c>
      <c r="C136" s="42">
        <v>0.41666666666666669</v>
      </c>
      <c r="D136" s="42">
        <v>0.45833333333333331</v>
      </c>
      <c r="E136" s="14">
        <v>1</v>
      </c>
      <c r="G136" s="24" t="s">
        <v>125</v>
      </c>
      <c r="H136" s="22"/>
      <c r="I136" s="57"/>
      <c r="J136" s="57"/>
      <c r="K136" s="57"/>
      <c r="L136" s="57"/>
      <c r="O136" s="14" t="s">
        <v>4</v>
      </c>
      <c r="P136" s="26"/>
      <c r="Q136" s="26"/>
      <c r="T136" s="14"/>
      <c r="U136" s="57"/>
    </row>
    <row r="137" spans="1:21" x14ac:dyDescent="0.25">
      <c r="A137" s="32">
        <v>26</v>
      </c>
      <c r="B137" s="14" t="s">
        <v>7</v>
      </c>
      <c r="C137" s="42">
        <v>0.79166666666666663</v>
      </c>
      <c r="D137" s="42">
        <v>0.875</v>
      </c>
      <c r="E137" s="14">
        <v>2</v>
      </c>
      <c r="G137" s="24" t="s">
        <v>129</v>
      </c>
      <c r="H137" s="22"/>
      <c r="I137" s="57"/>
      <c r="J137" s="57"/>
      <c r="K137" s="57"/>
      <c r="L137" s="57"/>
      <c r="O137" s="14" t="s">
        <v>5</v>
      </c>
      <c r="P137" s="25">
        <v>0.4375</v>
      </c>
      <c r="Q137" s="25">
        <v>0.97916666666666663</v>
      </c>
      <c r="R137" s="14">
        <v>1</v>
      </c>
      <c r="S137" s="24" t="s">
        <v>129</v>
      </c>
      <c r="T137" s="14"/>
      <c r="U137" s="57"/>
    </row>
    <row r="138" spans="1:21" x14ac:dyDescent="0.25">
      <c r="A138" s="32">
        <v>27</v>
      </c>
      <c r="B138" s="21" t="s">
        <v>8</v>
      </c>
      <c r="C138" s="49"/>
      <c r="D138" s="49"/>
      <c r="E138" s="138"/>
      <c r="F138" s="23"/>
      <c r="G138" s="21"/>
      <c r="H138" s="22"/>
      <c r="I138" s="57"/>
      <c r="J138" s="57"/>
      <c r="K138" s="57"/>
      <c r="L138" s="57"/>
      <c r="O138" s="14" t="s">
        <v>6</v>
      </c>
      <c r="P138" s="42">
        <v>0.41666666666666669</v>
      </c>
      <c r="Q138" s="42">
        <v>0.45833333333333331</v>
      </c>
      <c r="R138" s="14">
        <v>1</v>
      </c>
      <c r="S138" s="24" t="s">
        <v>125</v>
      </c>
      <c r="T138" s="14"/>
      <c r="U138" s="57"/>
    </row>
    <row r="139" spans="1:21" x14ac:dyDescent="0.25">
      <c r="A139" s="32"/>
      <c r="H139" s="22"/>
      <c r="I139" s="57"/>
      <c r="J139" s="57"/>
      <c r="K139" s="57"/>
      <c r="L139" s="57"/>
      <c r="O139" s="14" t="s">
        <v>7</v>
      </c>
      <c r="P139" s="42">
        <v>0.79166666666666663</v>
      </c>
      <c r="Q139" s="42">
        <v>0.875</v>
      </c>
      <c r="R139" s="14">
        <v>2</v>
      </c>
      <c r="S139" s="24" t="s">
        <v>129</v>
      </c>
      <c r="T139" s="14"/>
      <c r="U139" s="57"/>
    </row>
    <row r="140" spans="1:21" x14ac:dyDescent="0.25">
      <c r="B140" s="13" t="s">
        <v>26</v>
      </c>
      <c r="C140" s="32"/>
      <c r="D140" s="32"/>
      <c r="E140" s="32">
        <f>SUM(E133:E139)</f>
        <v>5</v>
      </c>
      <c r="F140" s="115" t="s">
        <v>393</v>
      </c>
      <c r="G140" s="145" t="s">
        <v>397</v>
      </c>
      <c r="I140" s="57"/>
      <c r="J140" s="57"/>
      <c r="K140" s="57"/>
      <c r="L140" s="57"/>
      <c r="O140" s="14" t="s">
        <v>8</v>
      </c>
      <c r="P140" s="25"/>
      <c r="Q140" s="25"/>
      <c r="R140" s="14"/>
      <c r="S140" s="24"/>
      <c r="T140" s="14"/>
      <c r="U140" s="57"/>
    </row>
    <row r="141" spans="1:21" ht="30" x14ac:dyDescent="0.25">
      <c r="A141" s="144" t="s">
        <v>417</v>
      </c>
      <c r="B141" s="35" t="s">
        <v>227</v>
      </c>
      <c r="C141" s="60"/>
      <c r="D141" s="61"/>
      <c r="E141" s="35">
        <f>SUM(E121:E128,E132:E139)</f>
        <v>9</v>
      </c>
      <c r="F141" s="115">
        <f>SUM(1*Marg_hist!G27)</f>
        <v>14</v>
      </c>
      <c r="G141" s="330">
        <f>SUM(E141 + G116)-F141</f>
        <v>-16</v>
      </c>
      <c r="H141" s="221"/>
      <c r="I141" s="57"/>
      <c r="J141" s="57"/>
      <c r="K141" s="57"/>
      <c r="L141" s="57"/>
      <c r="O141" s="13" t="s">
        <v>26</v>
      </c>
      <c r="P141" s="32"/>
      <c r="Q141" s="32"/>
      <c r="R141" s="32">
        <v>5</v>
      </c>
      <c r="U141" s="57"/>
    </row>
    <row r="142" spans="1:21" x14ac:dyDescent="0.25">
      <c r="I142" s="57"/>
      <c r="J142" s="57"/>
      <c r="K142" s="57"/>
      <c r="L142" s="57"/>
      <c r="U142" s="57"/>
    </row>
    <row r="143" spans="1:21" x14ac:dyDescent="0.25">
      <c r="A143" s="63"/>
      <c r="B143" s="13" t="s">
        <v>132</v>
      </c>
      <c r="C143" s="13" t="s">
        <v>11</v>
      </c>
      <c r="D143" s="13" t="s">
        <v>12</v>
      </c>
      <c r="E143" s="13" t="s">
        <v>13</v>
      </c>
      <c r="F143" s="13" t="s">
        <v>14</v>
      </c>
      <c r="G143" s="20" t="s">
        <v>0</v>
      </c>
      <c r="H143" s="22"/>
      <c r="I143" s="57"/>
      <c r="J143" s="57"/>
      <c r="K143" s="57"/>
      <c r="L143" s="57"/>
      <c r="O143" s="13" t="s">
        <v>132</v>
      </c>
      <c r="P143" s="13" t="s">
        <v>11</v>
      </c>
      <c r="Q143" s="13" t="s">
        <v>12</v>
      </c>
      <c r="R143" s="13" t="s">
        <v>13</v>
      </c>
      <c r="S143" s="13" t="s">
        <v>14</v>
      </c>
      <c r="T143" s="13" t="s">
        <v>0</v>
      </c>
      <c r="U143" s="57"/>
    </row>
    <row r="144" spans="1:21" x14ac:dyDescent="0.25">
      <c r="A144" s="32">
        <v>28</v>
      </c>
      <c r="B144" s="21" t="s">
        <v>2</v>
      </c>
      <c r="C144" s="49"/>
      <c r="D144" s="49"/>
      <c r="E144" s="138"/>
      <c r="F144" s="23"/>
      <c r="G144" s="21"/>
      <c r="H144" s="22"/>
      <c r="I144" s="57"/>
      <c r="J144" s="57"/>
      <c r="K144" s="57"/>
      <c r="L144" s="57"/>
      <c r="O144" s="14" t="s">
        <v>2</v>
      </c>
      <c r="P144" s="33"/>
      <c r="Q144" s="25"/>
      <c r="R144" s="14"/>
      <c r="S144" s="24"/>
      <c r="T144" s="14"/>
      <c r="U144" s="57"/>
    </row>
    <row r="145" spans="1:21" x14ac:dyDescent="0.25">
      <c r="A145" s="32">
        <v>29</v>
      </c>
      <c r="B145" s="21" t="s">
        <v>3</v>
      </c>
      <c r="C145" s="26">
        <v>0.47916666666666669</v>
      </c>
      <c r="D145" s="26">
        <v>0.52083333333333337</v>
      </c>
      <c r="E145" s="15">
        <v>1</v>
      </c>
      <c r="G145" s="15" t="s">
        <v>131</v>
      </c>
      <c r="I145" s="57"/>
      <c r="J145" s="57"/>
      <c r="K145" s="57"/>
      <c r="L145" s="57"/>
      <c r="O145" s="14" t="s">
        <v>3</v>
      </c>
      <c r="P145" s="26">
        <v>0.47916666666666669</v>
      </c>
      <c r="Q145" s="26">
        <v>0.52083333333333337</v>
      </c>
      <c r="R145" s="15">
        <v>1</v>
      </c>
      <c r="S145" s="15" t="s">
        <v>131</v>
      </c>
      <c r="U145" s="57"/>
    </row>
    <row r="146" spans="1:21" x14ac:dyDescent="0.25">
      <c r="A146" s="32">
        <v>30</v>
      </c>
      <c r="B146" s="21" t="s">
        <v>4</v>
      </c>
      <c r="C146" s="26"/>
      <c r="D146" s="26"/>
      <c r="H146" s="22"/>
      <c r="I146" s="57"/>
      <c r="J146" s="57"/>
      <c r="K146" s="57"/>
      <c r="L146" s="57"/>
      <c r="O146" s="14" t="s">
        <v>4</v>
      </c>
      <c r="P146" s="26"/>
      <c r="Q146" s="26"/>
      <c r="T146" s="14"/>
      <c r="U146" s="57"/>
    </row>
    <row r="147" spans="1:21" x14ac:dyDescent="0.25">
      <c r="A147" s="32">
        <v>31</v>
      </c>
      <c r="B147" s="21" t="s">
        <v>5</v>
      </c>
      <c r="C147" s="25"/>
      <c r="D147" s="25"/>
      <c r="E147" s="14"/>
      <c r="G147" s="24"/>
      <c r="H147" s="22"/>
      <c r="I147" s="57"/>
      <c r="J147" s="57"/>
      <c r="K147" s="57"/>
      <c r="L147" s="57"/>
      <c r="O147" s="14" t="s">
        <v>5</v>
      </c>
      <c r="P147" s="25"/>
      <c r="Q147" s="25"/>
      <c r="R147" s="14"/>
      <c r="S147" s="24"/>
      <c r="T147" s="14"/>
      <c r="U147" s="57"/>
    </row>
    <row r="148" spans="1:21" x14ac:dyDescent="0.25">
      <c r="A148" s="32">
        <v>1</v>
      </c>
      <c r="B148" s="21" t="s">
        <v>6</v>
      </c>
      <c r="C148" s="42">
        <v>0.41666666666666669</v>
      </c>
      <c r="D148" s="42">
        <v>0.45833333333333331</v>
      </c>
      <c r="E148" s="14">
        <v>1</v>
      </c>
      <c r="G148" s="24" t="s">
        <v>125</v>
      </c>
      <c r="H148" s="22"/>
      <c r="I148" s="57"/>
      <c r="J148" s="57"/>
      <c r="K148" s="57"/>
      <c r="L148" s="57"/>
      <c r="O148" s="14" t="s">
        <v>6</v>
      </c>
      <c r="P148" s="42">
        <v>0.41666666666666669</v>
      </c>
      <c r="Q148" s="42">
        <v>0.45833333333333331</v>
      </c>
      <c r="R148" s="14">
        <v>1</v>
      </c>
      <c r="S148" s="24" t="s">
        <v>125</v>
      </c>
      <c r="T148" s="14"/>
      <c r="U148" s="57"/>
    </row>
    <row r="149" spans="1:21" x14ac:dyDescent="0.25">
      <c r="A149" s="32">
        <v>2</v>
      </c>
      <c r="B149" s="21" t="s">
        <v>7</v>
      </c>
      <c r="C149" s="42">
        <v>0.79166666666666663</v>
      </c>
      <c r="D149" s="42">
        <v>0.875</v>
      </c>
      <c r="E149" s="14">
        <v>2</v>
      </c>
      <c r="G149" s="24" t="s">
        <v>129</v>
      </c>
      <c r="H149" s="22"/>
      <c r="I149" s="57"/>
      <c r="J149" s="57"/>
      <c r="K149" s="57"/>
      <c r="L149" s="57"/>
      <c r="O149" s="14" t="s">
        <v>7</v>
      </c>
      <c r="P149" s="42">
        <v>0.79166666666666663</v>
      </c>
      <c r="Q149" s="42">
        <v>0.875</v>
      </c>
      <c r="R149" s="14">
        <v>2</v>
      </c>
      <c r="S149" s="24" t="s">
        <v>129</v>
      </c>
      <c r="T149" s="14"/>
      <c r="U149" s="57"/>
    </row>
    <row r="150" spans="1:21" x14ac:dyDescent="0.25">
      <c r="A150" s="32">
        <v>3</v>
      </c>
      <c r="B150" s="21" t="s">
        <v>8</v>
      </c>
      <c r="C150" s="25"/>
      <c r="D150" s="25"/>
      <c r="E150" s="14"/>
      <c r="F150" s="22"/>
      <c r="G150" s="23"/>
      <c r="H150" s="22"/>
      <c r="I150" s="57"/>
      <c r="J150" s="57"/>
      <c r="K150" s="57"/>
      <c r="L150" s="57"/>
      <c r="O150" s="14" t="s">
        <v>8</v>
      </c>
      <c r="P150" s="25"/>
      <c r="Q150" s="25"/>
      <c r="R150" s="14"/>
      <c r="S150" s="24"/>
      <c r="T150" s="14"/>
      <c r="U150" s="57"/>
    </row>
    <row r="151" spans="1:21" x14ac:dyDescent="0.25">
      <c r="B151" s="13" t="s">
        <v>26</v>
      </c>
      <c r="C151" s="32"/>
      <c r="D151" s="32"/>
      <c r="E151" s="32">
        <f>SUM(E144:E150)</f>
        <v>4</v>
      </c>
      <c r="F151" s="22"/>
      <c r="G151" s="53"/>
      <c r="H151" s="22"/>
      <c r="I151" s="57"/>
      <c r="J151" s="57"/>
      <c r="K151" s="57"/>
      <c r="L151" s="57"/>
      <c r="O151" s="13" t="s">
        <v>26</v>
      </c>
      <c r="P151" s="32"/>
      <c r="Q151" s="32"/>
      <c r="R151" s="32">
        <v>4</v>
      </c>
      <c r="T151" s="43" t="s">
        <v>123</v>
      </c>
      <c r="U151" s="57"/>
    </row>
    <row r="152" spans="1:21" x14ac:dyDescent="0.25">
      <c r="F152" s="22"/>
      <c r="G152" s="22"/>
      <c r="H152" s="22"/>
      <c r="I152" s="57"/>
      <c r="J152" s="57"/>
      <c r="K152" s="57"/>
      <c r="L152" s="57"/>
      <c r="U152" s="57"/>
    </row>
    <row r="153" spans="1:21" x14ac:dyDescent="0.25">
      <c r="B153" s="13" t="s">
        <v>133</v>
      </c>
      <c r="C153" s="13" t="s">
        <v>11</v>
      </c>
      <c r="D153" s="13" t="s">
        <v>12</v>
      </c>
      <c r="E153" s="13" t="s">
        <v>13</v>
      </c>
      <c r="F153" s="13" t="s">
        <v>14</v>
      </c>
      <c r="G153" s="20" t="s">
        <v>0</v>
      </c>
      <c r="H153" s="22"/>
      <c r="I153" s="57"/>
      <c r="J153" s="57"/>
      <c r="K153" s="57"/>
      <c r="L153" s="57"/>
      <c r="O153" s="13" t="s">
        <v>133</v>
      </c>
      <c r="P153" s="13" t="s">
        <v>11</v>
      </c>
      <c r="Q153" s="13" t="s">
        <v>12</v>
      </c>
      <c r="R153" s="13" t="s">
        <v>13</v>
      </c>
      <c r="S153" s="13" t="s">
        <v>14</v>
      </c>
      <c r="T153" s="13" t="s">
        <v>0</v>
      </c>
      <c r="U153" s="57"/>
    </row>
    <row r="154" spans="1:21" x14ac:dyDescent="0.25">
      <c r="A154" s="32">
        <v>4</v>
      </c>
      <c r="B154" s="21" t="s">
        <v>2</v>
      </c>
      <c r="C154" s="33"/>
      <c r="D154" s="25"/>
      <c r="E154" s="14"/>
      <c r="F154" s="24"/>
      <c r="G154" s="14"/>
      <c r="H154" s="22"/>
      <c r="I154" s="57"/>
      <c r="J154" s="57"/>
      <c r="K154" s="57"/>
      <c r="L154" s="57"/>
      <c r="O154" s="14" t="s">
        <v>2</v>
      </c>
      <c r="P154" s="33"/>
      <c r="Q154" s="25"/>
      <c r="R154" s="14"/>
      <c r="S154" s="24"/>
      <c r="T154" s="14"/>
      <c r="U154" s="57"/>
    </row>
    <row r="155" spans="1:21" x14ac:dyDescent="0.25">
      <c r="A155" s="32">
        <v>5</v>
      </c>
      <c r="B155" s="21" t="s">
        <v>3</v>
      </c>
      <c r="C155" s="26">
        <v>0.45833333333333331</v>
      </c>
      <c r="D155" s="26">
        <v>0.5</v>
      </c>
      <c r="E155" s="15">
        <v>1</v>
      </c>
      <c r="G155" s="15" t="s">
        <v>134</v>
      </c>
      <c r="H155" s="22"/>
      <c r="I155" s="57"/>
      <c r="J155" s="57"/>
      <c r="K155" s="57"/>
      <c r="L155" s="57"/>
      <c r="O155" s="14" t="s">
        <v>3</v>
      </c>
      <c r="P155" s="26">
        <v>0.45833333333333331</v>
      </c>
      <c r="Q155" s="26">
        <v>0.5</v>
      </c>
      <c r="R155" s="15">
        <v>1</v>
      </c>
      <c r="T155" s="15" t="s">
        <v>134</v>
      </c>
      <c r="U155" s="57"/>
    </row>
    <row r="156" spans="1:21" x14ac:dyDescent="0.25">
      <c r="A156" s="32">
        <v>6</v>
      </c>
      <c r="B156" s="21" t="s">
        <v>4</v>
      </c>
      <c r="C156" s="26"/>
      <c r="D156" s="26"/>
      <c r="G156" s="14"/>
      <c r="H156" s="22"/>
      <c r="I156" s="57"/>
      <c r="J156" s="57"/>
      <c r="K156" s="57"/>
      <c r="L156" s="57"/>
      <c r="O156" s="14" t="s">
        <v>4</v>
      </c>
      <c r="P156" s="26"/>
      <c r="Q156" s="26"/>
      <c r="T156" s="14"/>
      <c r="U156" s="57"/>
    </row>
    <row r="157" spans="1:21" x14ac:dyDescent="0.25">
      <c r="A157" s="32">
        <v>7</v>
      </c>
      <c r="B157" s="21" t="s">
        <v>5</v>
      </c>
      <c r="C157" s="25">
        <v>0.54166666666666663</v>
      </c>
      <c r="D157" s="25">
        <v>0.625</v>
      </c>
      <c r="E157" s="14">
        <v>2</v>
      </c>
      <c r="F157" s="24"/>
      <c r="G157" s="14" t="s">
        <v>135</v>
      </c>
      <c r="H157" s="22"/>
      <c r="I157" s="57"/>
      <c r="J157" s="57"/>
      <c r="K157" s="57"/>
      <c r="L157" s="57"/>
      <c r="O157" s="14" t="s">
        <v>5</v>
      </c>
      <c r="P157" s="25">
        <v>0.54166666666666663</v>
      </c>
      <c r="Q157" s="25">
        <v>0.625</v>
      </c>
      <c r="R157" s="14">
        <v>2</v>
      </c>
      <c r="S157" s="24"/>
      <c r="T157" s="14" t="s">
        <v>135</v>
      </c>
      <c r="U157" s="57"/>
    </row>
    <row r="158" spans="1:21" x14ac:dyDescent="0.25">
      <c r="A158" s="32">
        <v>8</v>
      </c>
      <c r="B158" s="21" t="s">
        <v>6</v>
      </c>
      <c r="C158" s="42">
        <v>0.41666666666666669</v>
      </c>
      <c r="D158" s="42">
        <v>0.45833333333333331</v>
      </c>
      <c r="E158" s="14">
        <v>1</v>
      </c>
      <c r="G158" s="24" t="s">
        <v>125</v>
      </c>
      <c r="H158" s="22"/>
      <c r="I158" s="57"/>
      <c r="J158" s="57"/>
      <c r="K158" s="57"/>
      <c r="L158" s="57"/>
      <c r="O158" s="14" t="s">
        <v>6</v>
      </c>
      <c r="P158" s="42">
        <v>0.41666666666666669</v>
      </c>
      <c r="Q158" s="42">
        <v>0.45833333333333331</v>
      </c>
      <c r="R158" s="14">
        <v>1</v>
      </c>
      <c r="T158" s="24" t="s">
        <v>125</v>
      </c>
      <c r="U158" s="57"/>
    </row>
    <row r="159" spans="1:21" x14ac:dyDescent="0.25">
      <c r="A159" s="32">
        <v>9</v>
      </c>
      <c r="B159" s="21" t="s">
        <v>7</v>
      </c>
      <c r="C159" s="42">
        <v>0.79166666666666663</v>
      </c>
      <c r="D159" s="42">
        <v>0.83333333333333337</v>
      </c>
      <c r="E159" s="14">
        <v>1</v>
      </c>
      <c r="F159" s="24"/>
      <c r="G159" s="14" t="s">
        <v>136</v>
      </c>
      <c r="H159" s="22"/>
      <c r="I159" s="57"/>
      <c r="J159" s="57"/>
      <c r="K159" s="57"/>
      <c r="L159" s="57"/>
      <c r="O159" s="14" t="s">
        <v>7</v>
      </c>
      <c r="P159" s="42">
        <v>0.79166666666666663</v>
      </c>
      <c r="Q159" s="42">
        <v>0.83333333333333337</v>
      </c>
      <c r="R159" s="14">
        <v>1</v>
      </c>
      <c r="S159" s="24"/>
      <c r="T159" s="14" t="s">
        <v>136</v>
      </c>
      <c r="U159" s="57"/>
    </row>
    <row r="160" spans="1:21" x14ac:dyDescent="0.25">
      <c r="A160" s="32">
        <v>10</v>
      </c>
      <c r="B160" s="21" t="s">
        <v>8</v>
      </c>
      <c r="C160" s="25"/>
      <c r="D160" s="25"/>
      <c r="E160" s="14"/>
      <c r="F160" s="24"/>
      <c r="G160" s="14"/>
      <c r="H160" s="22"/>
      <c r="I160" s="57"/>
      <c r="J160" s="57"/>
      <c r="K160" s="57"/>
      <c r="L160" s="57"/>
      <c r="O160" s="14" t="s">
        <v>8</v>
      </c>
      <c r="P160" s="25"/>
      <c r="Q160" s="25"/>
      <c r="R160" s="14"/>
      <c r="S160" s="24"/>
      <c r="T160" s="14"/>
      <c r="U160" s="57"/>
    </row>
    <row r="161" spans="1:22" x14ac:dyDescent="0.25">
      <c r="B161" s="13" t="s">
        <v>26</v>
      </c>
      <c r="C161" s="32"/>
      <c r="D161" s="32"/>
      <c r="E161" s="32">
        <f>SUM(E154:E160)</f>
        <v>5</v>
      </c>
      <c r="F161" s="115" t="s">
        <v>393</v>
      </c>
      <c r="G161" s="145" t="s">
        <v>397</v>
      </c>
      <c r="I161" s="57"/>
      <c r="J161" s="57"/>
      <c r="K161" s="57"/>
      <c r="L161" s="57"/>
      <c r="O161" s="13" t="s">
        <v>26</v>
      </c>
      <c r="P161" s="32"/>
      <c r="Q161" s="32"/>
      <c r="R161" s="32">
        <v>5</v>
      </c>
      <c r="T161" s="43" t="s">
        <v>137</v>
      </c>
      <c r="U161" s="57"/>
    </row>
    <row r="162" spans="1:22" ht="30" x14ac:dyDescent="0.25">
      <c r="A162" s="144" t="s">
        <v>404</v>
      </c>
      <c r="B162" s="35" t="s">
        <v>227</v>
      </c>
      <c r="C162" s="60"/>
      <c r="D162" s="61"/>
      <c r="E162" s="35">
        <f>SUM(E144:E150,E153:E160)</f>
        <v>9</v>
      </c>
      <c r="F162" s="115">
        <f>SUM(1*Marg_hist!G33)</f>
        <v>14</v>
      </c>
      <c r="G162" s="330">
        <f>SUM(E162 + G141)-F162</f>
        <v>-21</v>
      </c>
      <c r="H162" s="221"/>
      <c r="I162" s="57"/>
      <c r="J162" s="57"/>
      <c r="K162" s="57"/>
      <c r="L162" s="57"/>
      <c r="U162" s="57"/>
    </row>
    <row r="163" spans="1:22" x14ac:dyDescent="0.25">
      <c r="H163" s="22"/>
      <c r="I163" s="57"/>
      <c r="J163" s="57"/>
      <c r="K163" s="57"/>
      <c r="L163" s="57"/>
      <c r="O163" s="13" t="s">
        <v>138</v>
      </c>
      <c r="P163" s="13" t="s">
        <v>11</v>
      </c>
      <c r="Q163" s="13" t="s">
        <v>12</v>
      </c>
      <c r="R163" s="13" t="s">
        <v>13</v>
      </c>
      <c r="S163" s="13" t="s">
        <v>14</v>
      </c>
      <c r="T163" s="13" t="s">
        <v>0</v>
      </c>
      <c r="U163" s="161"/>
    </row>
    <row r="164" spans="1:22" x14ac:dyDescent="0.25">
      <c r="B164" s="13" t="s">
        <v>138</v>
      </c>
      <c r="C164" s="13" t="s">
        <v>11</v>
      </c>
      <c r="D164" s="13" t="s">
        <v>12</v>
      </c>
      <c r="E164" s="13" t="s">
        <v>13</v>
      </c>
      <c r="F164" s="13" t="s">
        <v>14</v>
      </c>
      <c r="G164" s="20" t="s">
        <v>0</v>
      </c>
      <c r="H164" s="22"/>
      <c r="I164" s="57"/>
      <c r="J164" s="57"/>
      <c r="K164" s="57"/>
      <c r="L164" s="57"/>
      <c r="O164" s="14" t="s">
        <v>2</v>
      </c>
      <c r="P164" s="33"/>
      <c r="Q164" s="25"/>
      <c r="R164" s="14"/>
      <c r="S164" s="24"/>
      <c r="T164" s="14"/>
      <c r="U164" s="161"/>
    </row>
    <row r="165" spans="1:22" x14ac:dyDescent="0.25">
      <c r="A165" s="20">
        <v>11</v>
      </c>
      <c r="B165" s="21" t="s">
        <v>2</v>
      </c>
      <c r="C165" s="49"/>
      <c r="D165" s="49"/>
      <c r="E165" s="138"/>
      <c r="F165" s="23"/>
      <c r="G165" s="21"/>
      <c r="H165" s="22"/>
      <c r="I165" s="57"/>
      <c r="J165" s="57"/>
      <c r="K165" s="57"/>
      <c r="L165" s="57"/>
      <c r="O165" s="14" t="s">
        <v>3</v>
      </c>
      <c r="U165" s="161"/>
    </row>
    <row r="166" spans="1:22" x14ac:dyDescent="0.25">
      <c r="A166" s="20">
        <v>12</v>
      </c>
      <c r="B166" s="21" t="s">
        <v>3</v>
      </c>
      <c r="C166" s="48"/>
      <c r="D166" s="49"/>
      <c r="E166" s="138"/>
      <c r="F166" s="23"/>
      <c r="G166" s="21"/>
      <c r="I166" s="57"/>
      <c r="J166" s="57"/>
      <c r="K166" s="57"/>
      <c r="L166" s="57"/>
      <c r="O166" s="14" t="s">
        <v>4</v>
      </c>
      <c r="P166" s="26"/>
      <c r="Q166" s="26"/>
      <c r="T166" s="14"/>
      <c r="U166" s="161"/>
    </row>
    <row r="167" spans="1:22" x14ac:dyDescent="0.25">
      <c r="A167" s="32">
        <v>13</v>
      </c>
      <c r="B167" s="21" t="s">
        <v>4</v>
      </c>
      <c r="C167" s="51"/>
      <c r="D167" s="51"/>
      <c r="E167" s="138"/>
      <c r="F167" s="23"/>
      <c r="G167" s="22"/>
      <c r="H167" s="22"/>
      <c r="I167" s="57"/>
      <c r="J167" s="57"/>
      <c r="K167" s="57"/>
      <c r="L167" s="57"/>
      <c r="O167" s="14" t="s">
        <v>5</v>
      </c>
      <c r="P167" s="25"/>
      <c r="Q167" s="25"/>
      <c r="R167" s="14"/>
      <c r="S167" s="24"/>
      <c r="T167" s="14"/>
      <c r="U167" s="161"/>
    </row>
    <row r="168" spans="1:22" x14ac:dyDescent="0.25">
      <c r="A168" s="32">
        <v>14</v>
      </c>
      <c r="B168" s="21" t="s">
        <v>5</v>
      </c>
      <c r="C168" s="51"/>
      <c r="D168" s="51"/>
      <c r="E168" s="22"/>
      <c r="F168" s="22"/>
      <c r="G168" s="22"/>
      <c r="H168" s="22"/>
      <c r="I168" s="57"/>
      <c r="J168" s="57"/>
      <c r="K168" s="57"/>
      <c r="L168" s="57"/>
      <c r="O168" s="14" t="s">
        <v>6</v>
      </c>
      <c r="P168" s="42">
        <v>0.41666666666666669</v>
      </c>
      <c r="Q168" s="42">
        <v>0.45833333333333331</v>
      </c>
      <c r="R168" s="14">
        <v>1</v>
      </c>
      <c r="T168" s="24" t="s">
        <v>125</v>
      </c>
      <c r="U168" s="161"/>
    </row>
    <row r="169" spans="1:22" x14ac:dyDescent="0.25">
      <c r="A169" s="32">
        <v>15</v>
      </c>
      <c r="B169" s="21" t="s">
        <v>6</v>
      </c>
      <c r="C169" s="42">
        <v>0.41666666666666669</v>
      </c>
      <c r="D169" s="42">
        <v>0.45833333333333331</v>
      </c>
      <c r="E169" s="14">
        <v>1</v>
      </c>
      <c r="G169" s="24" t="s">
        <v>125</v>
      </c>
      <c r="H169" s="22"/>
      <c r="I169" s="57"/>
      <c r="J169" s="57"/>
      <c r="K169" s="57"/>
      <c r="L169" s="57"/>
      <c r="O169" s="14" t="s">
        <v>7</v>
      </c>
      <c r="P169" s="42">
        <v>0.79166666666666663</v>
      </c>
      <c r="Q169" s="42">
        <v>0.85416666666666663</v>
      </c>
      <c r="R169" s="14">
        <v>1.5</v>
      </c>
      <c r="S169" s="24"/>
      <c r="T169" s="14" t="s">
        <v>136</v>
      </c>
      <c r="U169" s="161"/>
    </row>
    <row r="170" spans="1:22" x14ac:dyDescent="0.25">
      <c r="A170" s="32">
        <v>16</v>
      </c>
      <c r="B170" s="21" t="s">
        <v>7</v>
      </c>
      <c r="C170" s="42">
        <v>0.79166666666666663</v>
      </c>
      <c r="D170" s="42">
        <v>0.85416666666666663</v>
      </c>
      <c r="E170" s="14">
        <v>1.5</v>
      </c>
      <c r="F170" s="24"/>
      <c r="G170" s="14" t="s">
        <v>136</v>
      </c>
      <c r="H170" s="22"/>
      <c r="I170" s="57"/>
      <c r="J170" s="57"/>
      <c r="K170" s="57"/>
      <c r="L170" s="57"/>
      <c r="O170" s="14" t="s">
        <v>8</v>
      </c>
      <c r="P170" s="25">
        <v>0.875</v>
      </c>
      <c r="Q170" s="25">
        <v>0.89583333333333337</v>
      </c>
      <c r="R170" s="14">
        <v>0.5</v>
      </c>
      <c r="S170" s="24"/>
      <c r="T170" s="14" t="s">
        <v>139</v>
      </c>
      <c r="U170" s="57"/>
    </row>
    <row r="171" spans="1:22" x14ac:dyDescent="0.25">
      <c r="A171" s="32">
        <v>17</v>
      </c>
      <c r="B171" s="21" t="s">
        <v>8</v>
      </c>
      <c r="C171" s="25">
        <v>0.875</v>
      </c>
      <c r="D171" s="25">
        <v>0.89583333333333337</v>
      </c>
      <c r="E171" s="14">
        <v>0.5</v>
      </c>
      <c r="F171" s="24"/>
      <c r="G171" s="14" t="s">
        <v>139</v>
      </c>
      <c r="H171" s="22"/>
      <c r="I171" s="57"/>
      <c r="J171" s="57"/>
      <c r="K171" s="57"/>
      <c r="L171" s="57"/>
      <c r="U171" s="57"/>
    </row>
    <row r="172" spans="1:22" x14ac:dyDescent="0.25">
      <c r="B172" s="13" t="s">
        <v>26</v>
      </c>
      <c r="C172" s="32"/>
      <c r="D172" s="32"/>
      <c r="E172" s="32">
        <f>SUM(E165:E171)</f>
        <v>3</v>
      </c>
      <c r="F172" s="288"/>
      <c r="G172" s="288"/>
      <c r="H172" s="22"/>
      <c r="I172" s="57"/>
      <c r="J172" s="57"/>
      <c r="K172" s="57"/>
      <c r="L172" s="57"/>
      <c r="O172" s="13" t="s">
        <v>140</v>
      </c>
      <c r="P172" s="13" t="s">
        <v>11</v>
      </c>
      <c r="Q172" s="13" t="s">
        <v>12</v>
      </c>
      <c r="R172" s="13" t="s">
        <v>13</v>
      </c>
      <c r="S172" s="13" t="s">
        <v>14</v>
      </c>
      <c r="T172" s="13" t="s">
        <v>0</v>
      </c>
      <c r="U172" s="162"/>
    </row>
    <row r="173" spans="1:22" x14ac:dyDescent="0.25">
      <c r="G173" s="53"/>
      <c r="I173" s="57"/>
      <c r="J173" s="57"/>
      <c r="K173" s="57"/>
      <c r="L173" s="57"/>
      <c r="O173" s="14" t="s">
        <v>2</v>
      </c>
      <c r="P173" s="33"/>
      <c r="Q173" s="25"/>
      <c r="R173" s="14"/>
      <c r="S173" s="24"/>
      <c r="T173" s="14"/>
      <c r="U173" s="162"/>
      <c r="V173" s="150"/>
    </row>
    <row r="174" spans="1:22" x14ac:dyDescent="0.25">
      <c r="B174" s="13" t="s">
        <v>140</v>
      </c>
      <c r="C174" s="13" t="s">
        <v>11</v>
      </c>
      <c r="D174" s="13" t="s">
        <v>12</v>
      </c>
      <c r="E174" s="13" t="s">
        <v>13</v>
      </c>
      <c r="F174" s="13" t="s">
        <v>14</v>
      </c>
      <c r="G174" s="13" t="s">
        <v>0</v>
      </c>
      <c r="H174" s="63"/>
      <c r="I174" s="57"/>
      <c r="J174" s="57"/>
      <c r="K174" s="57"/>
      <c r="L174" s="57"/>
      <c r="O174" s="14" t="s">
        <v>3</v>
      </c>
      <c r="P174" s="26">
        <v>0.40277777777777773</v>
      </c>
      <c r="Q174" s="26">
        <v>0.4861111111111111</v>
      </c>
      <c r="R174" s="15">
        <v>2</v>
      </c>
      <c r="T174" s="15" t="s">
        <v>119</v>
      </c>
      <c r="U174" s="162"/>
    </row>
    <row r="175" spans="1:22" x14ac:dyDescent="0.25">
      <c r="A175" s="15">
        <v>18</v>
      </c>
      <c r="B175" s="14" t="s">
        <v>2</v>
      </c>
      <c r="C175" s="33"/>
      <c r="D175" s="25"/>
      <c r="E175" s="14"/>
      <c r="F175" s="24"/>
      <c r="G175" s="14"/>
      <c r="H175" s="63"/>
      <c r="I175" s="57"/>
      <c r="J175" s="57"/>
      <c r="K175" s="57"/>
      <c r="L175" s="57"/>
      <c r="O175" s="14" t="s">
        <v>4</v>
      </c>
      <c r="P175" s="26"/>
      <c r="Q175" s="26"/>
      <c r="T175" s="14"/>
      <c r="U175" s="162"/>
    </row>
    <row r="176" spans="1:22" x14ac:dyDescent="0.25">
      <c r="A176" s="15">
        <v>19</v>
      </c>
      <c r="B176" s="14" t="s">
        <v>3</v>
      </c>
      <c r="C176" s="26">
        <v>0.40277777777777773</v>
      </c>
      <c r="D176" s="26">
        <v>0.4861111111111111</v>
      </c>
      <c r="E176" s="15">
        <v>2</v>
      </c>
      <c r="G176" s="15" t="s">
        <v>119</v>
      </c>
      <c r="H176" s="63"/>
      <c r="I176" s="57"/>
      <c r="J176" s="57"/>
      <c r="K176" s="57"/>
      <c r="L176" s="57"/>
      <c r="O176" s="14" t="s">
        <v>5</v>
      </c>
      <c r="P176" s="25">
        <v>0.45833333333333331</v>
      </c>
      <c r="Q176" s="25">
        <v>2.0833333333333332E-2</v>
      </c>
      <c r="R176" s="14">
        <v>1</v>
      </c>
      <c r="S176" s="24"/>
      <c r="T176" s="14" t="s">
        <v>141</v>
      </c>
      <c r="U176" s="162"/>
    </row>
    <row r="177" spans="1:21" x14ac:dyDescent="0.25">
      <c r="A177" s="15">
        <v>20</v>
      </c>
      <c r="B177" s="14" t="s">
        <v>4</v>
      </c>
      <c r="C177" s="26"/>
      <c r="D177" s="26"/>
      <c r="G177" s="14"/>
      <c r="H177" s="63"/>
      <c r="I177" s="57"/>
      <c r="J177" s="57"/>
      <c r="K177" s="57"/>
      <c r="L177" s="57"/>
      <c r="O177" s="14" t="s">
        <v>6</v>
      </c>
      <c r="P177" s="42">
        <v>0.41666666666666669</v>
      </c>
      <c r="Q177" s="42">
        <v>0.45833333333333331</v>
      </c>
      <c r="R177" s="14">
        <v>1</v>
      </c>
      <c r="T177" s="24" t="s">
        <v>125</v>
      </c>
      <c r="U177" s="162"/>
    </row>
    <row r="178" spans="1:21" x14ac:dyDescent="0.25">
      <c r="A178" s="15">
        <v>21</v>
      </c>
      <c r="B178" s="14" t="s">
        <v>5</v>
      </c>
      <c r="C178" s="25">
        <v>0.45833333333333331</v>
      </c>
      <c r="D178" s="25">
        <v>2.0833333333333332E-2</v>
      </c>
      <c r="E178" s="14">
        <v>1</v>
      </c>
      <c r="F178" s="24"/>
      <c r="G178" s="14" t="s">
        <v>141</v>
      </c>
      <c r="H178" s="63"/>
      <c r="I178" s="57"/>
      <c r="J178" s="57"/>
      <c r="K178" s="57"/>
      <c r="L178" s="57"/>
      <c r="O178" s="14" t="s">
        <v>7</v>
      </c>
      <c r="P178" s="42">
        <v>0.29166666666666669</v>
      </c>
      <c r="Q178" s="42">
        <v>0.45833333333333331</v>
      </c>
      <c r="R178" s="14">
        <v>4</v>
      </c>
      <c r="S178" s="24"/>
      <c r="T178" s="14" t="s">
        <v>142</v>
      </c>
      <c r="U178" s="57"/>
    </row>
    <row r="179" spans="1:21" x14ac:dyDescent="0.25">
      <c r="A179" s="15">
        <v>22</v>
      </c>
      <c r="B179" s="14" t="s">
        <v>6</v>
      </c>
      <c r="C179" s="42">
        <v>0.41666666666666669</v>
      </c>
      <c r="D179" s="42">
        <v>0.45833333333333331</v>
      </c>
      <c r="E179" s="14">
        <v>1</v>
      </c>
      <c r="G179" s="24" t="s">
        <v>125</v>
      </c>
      <c r="H179" s="63"/>
      <c r="I179" s="57"/>
      <c r="J179" s="57"/>
      <c r="K179" s="57"/>
      <c r="L179" s="57"/>
      <c r="O179" s="14" t="s">
        <v>8</v>
      </c>
      <c r="P179" s="25"/>
      <c r="Q179" s="25"/>
      <c r="R179" s="14"/>
      <c r="S179" s="24"/>
      <c r="T179" s="14"/>
      <c r="U179" s="57"/>
    </row>
    <row r="180" spans="1:21" x14ac:dyDescent="0.25">
      <c r="A180" s="15">
        <v>23</v>
      </c>
      <c r="B180" s="14" t="s">
        <v>7</v>
      </c>
      <c r="C180" s="42">
        <v>0.29166666666666669</v>
      </c>
      <c r="D180" s="42">
        <v>0.45833333333333331</v>
      </c>
      <c r="E180" s="14">
        <v>4</v>
      </c>
      <c r="F180" s="24"/>
      <c r="G180" s="14" t="s">
        <v>142</v>
      </c>
      <c r="H180" s="63"/>
      <c r="I180" s="57"/>
      <c r="J180" s="57"/>
      <c r="K180" s="57"/>
      <c r="L180" s="57"/>
      <c r="O180" s="13" t="s">
        <v>26</v>
      </c>
      <c r="P180" s="32"/>
      <c r="Q180" s="32"/>
      <c r="R180" s="32">
        <v>7</v>
      </c>
      <c r="U180" s="162"/>
    </row>
    <row r="181" spans="1:21" x14ac:dyDescent="0.25">
      <c r="A181" s="15">
        <v>24</v>
      </c>
      <c r="B181" s="14" t="s">
        <v>8</v>
      </c>
      <c r="C181" s="25"/>
      <c r="D181" s="25"/>
      <c r="E181" s="14"/>
      <c r="F181" s="24"/>
      <c r="G181" s="14"/>
      <c r="H181" s="63"/>
      <c r="I181" s="57"/>
      <c r="J181" s="57"/>
      <c r="K181" s="57"/>
      <c r="L181" s="57"/>
      <c r="O181" s="14"/>
      <c r="P181" s="33"/>
      <c r="Q181" s="25"/>
      <c r="R181" s="14"/>
      <c r="S181" s="24"/>
      <c r="T181" s="14"/>
      <c r="U181" s="162"/>
    </row>
    <row r="182" spans="1:21" x14ac:dyDescent="0.25">
      <c r="B182" s="13" t="s">
        <v>26</v>
      </c>
      <c r="C182" s="32"/>
      <c r="D182" s="32"/>
      <c r="E182" s="32">
        <f>SUM(E175:E181)</f>
        <v>8</v>
      </c>
      <c r="F182" s="115" t="s">
        <v>393</v>
      </c>
      <c r="G182" s="145" t="s">
        <v>397</v>
      </c>
      <c r="I182" s="57"/>
      <c r="J182" s="57"/>
      <c r="K182" s="57"/>
      <c r="L182" s="57"/>
      <c r="O182" s="14"/>
      <c r="P182" s="26"/>
      <c r="Q182" s="26"/>
      <c r="U182" s="162"/>
    </row>
    <row r="183" spans="1:21" ht="30" x14ac:dyDescent="0.25">
      <c r="A183" s="144" t="s">
        <v>406</v>
      </c>
      <c r="B183" s="35" t="s">
        <v>227</v>
      </c>
      <c r="C183" s="60"/>
      <c r="D183" s="61"/>
      <c r="E183" s="35">
        <f>SUM(E165:E171,E175:E181)</f>
        <v>11</v>
      </c>
      <c r="F183" s="115">
        <f>SUM(1*Marg_hist!G39)</f>
        <v>14</v>
      </c>
      <c r="G183" s="330">
        <f>SUM(E183 + G162)-F183</f>
        <v>-24</v>
      </c>
      <c r="H183" s="221"/>
      <c r="I183" s="57"/>
      <c r="J183" s="57"/>
      <c r="K183" s="57"/>
      <c r="L183" s="57"/>
      <c r="O183" s="2" t="s">
        <v>143</v>
      </c>
      <c r="P183" s="2" t="s">
        <v>11</v>
      </c>
      <c r="Q183" s="2" t="s">
        <v>12</v>
      </c>
      <c r="R183" s="2" t="s">
        <v>13</v>
      </c>
      <c r="S183" s="2" t="s">
        <v>14</v>
      </c>
      <c r="T183" s="2" t="s">
        <v>0</v>
      </c>
      <c r="U183" s="119"/>
    </row>
    <row r="184" spans="1:21" x14ac:dyDescent="0.25">
      <c r="I184" s="57"/>
      <c r="J184" s="57"/>
      <c r="K184" s="57"/>
      <c r="L184" s="57"/>
      <c r="O184" s="3" t="s">
        <v>2</v>
      </c>
      <c r="P184" s="6"/>
      <c r="Q184" s="4"/>
      <c r="R184" s="3"/>
      <c r="S184" s="5"/>
      <c r="T184" s="3"/>
      <c r="U184" s="613"/>
    </row>
    <row r="185" spans="1:21" x14ac:dyDescent="0.25">
      <c r="B185" s="13" t="s">
        <v>143</v>
      </c>
      <c r="C185" s="13" t="s">
        <v>11</v>
      </c>
      <c r="D185" s="13" t="s">
        <v>12</v>
      </c>
      <c r="E185" s="13" t="s">
        <v>13</v>
      </c>
      <c r="F185" s="13" t="s">
        <v>14</v>
      </c>
      <c r="G185" s="20" t="s">
        <v>0</v>
      </c>
      <c r="I185" s="57"/>
      <c r="J185" s="57"/>
      <c r="K185" s="57"/>
      <c r="L185" s="57"/>
      <c r="O185" s="3" t="s">
        <v>3</v>
      </c>
      <c r="P185" s="7"/>
      <c r="Q185" s="7"/>
      <c r="R185"/>
      <c r="S185"/>
      <c r="T185"/>
      <c r="U185" s="613"/>
    </row>
    <row r="186" spans="1:21" x14ac:dyDescent="0.25">
      <c r="A186" s="32">
        <v>25</v>
      </c>
      <c r="B186" s="21" t="s">
        <v>2</v>
      </c>
      <c r="C186" s="49"/>
      <c r="D186" s="49"/>
      <c r="E186" s="138"/>
      <c r="F186" s="23"/>
      <c r="G186" s="21"/>
      <c r="H186" s="606" t="s">
        <v>144</v>
      </c>
      <c r="I186" s="57"/>
      <c r="J186" s="57"/>
      <c r="K186" s="57"/>
      <c r="L186" s="57"/>
      <c r="O186" s="3" t="s">
        <v>4</v>
      </c>
      <c r="P186" s="7"/>
      <c r="Q186" s="7"/>
      <c r="R186"/>
      <c r="S186"/>
      <c r="T186" s="3"/>
      <c r="U186" s="613"/>
    </row>
    <row r="187" spans="1:21" x14ac:dyDescent="0.25">
      <c r="A187" s="53">
        <v>26</v>
      </c>
      <c r="B187" s="21" t="s">
        <v>3</v>
      </c>
      <c r="C187" s="48"/>
      <c r="D187" s="49"/>
      <c r="E187" s="138"/>
      <c r="F187" s="23"/>
      <c r="G187" s="21"/>
      <c r="H187" s="606"/>
      <c r="I187" s="57"/>
      <c r="J187" s="57"/>
      <c r="K187" s="57"/>
      <c r="L187" s="57"/>
      <c r="O187" s="3" t="s">
        <v>5</v>
      </c>
      <c r="P187" s="4"/>
      <c r="Q187" s="4"/>
      <c r="R187" s="3"/>
      <c r="S187" s="5"/>
      <c r="T187" s="3"/>
      <c r="U187" s="613"/>
    </row>
    <row r="188" spans="1:21" x14ac:dyDescent="0.25">
      <c r="A188" s="32">
        <v>27</v>
      </c>
      <c r="B188" s="21" t="s">
        <v>4</v>
      </c>
      <c r="C188" s="51"/>
      <c r="D188" s="51"/>
      <c r="E188" s="138"/>
      <c r="F188" s="23"/>
      <c r="G188" s="22"/>
      <c r="H188" s="606"/>
      <c r="I188" s="57"/>
      <c r="J188" s="57"/>
      <c r="K188" s="57"/>
      <c r="L188" s="57"/>
      <c r="O188" s="3" t="s">
        <v>6</v>
      </c>
      <c r="P188" s="8"/>
      <c r="Q188" s="8"/>
      <c r="R188" s="3"/>
      <c r="S188"/>
      <c r="T188" s="5"/>
      <c r="U188" s="613"/>
    </row>
    <row r="189" spans="1:21" ht="45" x14ac:dyDescent="0.25">
      <c r="A189" s="53">
        <v>28</v>
      </c>
      <c r="B189" s="21" t="s">
        <v>5</v>
      </c>
      <c r="C189" s="332" t="s">
        <v>418</v>
      </c>
      <c r="D189" s="332" t="s">
        <v>419</v>
      </c>
      <c r="E189" s="333">
        <v>2</v>
      </c>
      <c r="F189" s="333"/>
      <c r="G189" s="333" t="s">
        <v>420</v>
      </c>
      <c r="H189" s="606"/>
      <c r="I189" s="57"/>
      <c r="J189" s="57"/>
      <c r="K189" s="57"/>
      <c r="L189" s="57"/>
      <c r="O189" s="3" t="s">
        <v>7</v>
      </c>
      <c r="P189" s="8"/>
      <c r="Q189" s="8"/>
      <c r="R189" s="3"/>
      <c r="S189" s="5"/>
      <c r="T189" s="3"/>
      <c r="U189" s="613"/>
    </row>
    <row r="190" spans="1:21" x14ac:dyDescent="0.25">
      <c r="A190" s="32">
        <v>29</v>
      </c>
      <c r="B190" s="21" t="s">
        <v>6</v>
      </c>
      <c r="C190" s="51"/>
      <c r="D190" s="51"/>
      <c r="E190" s="138"/>
      <c r="F190" s="23"/>
      <c r="G190" s="21"/>
      <c r="H190" s="606"/>
      <c r="I190" s="57"/>
      <c r="J190" s="57"/>
      <c r="K190" s="57"/>
      <c r="L190" s="57"/>
      <c r="O190" s="3" t="s">
        <v>8</v>
      </c>
      <c r="P190" s="4">
        <v>0.41666666666666669</v>
      </c>
      <c r="Q190" s="4">
        <v>0.45833333333333331</v>
      </c>
      <c r="R190" s="3">
        <v>2</v>
      </c>
      <c r="S190" s="5"/>
      <c r="T190" s="3" t="s">
        <v>125</v>
      </c>
      <c r="U190" s="613"/>
    </row>
    <row r="191" spans="1:21" x14ac:dyDescent="0.25">
      <c r="A191" s="53">
        <v>30</v>
      </c>
      <c r="B191" s="21" t="s">
        <v>7</v>
      </c>
      <c r="C191" s="51"/>
      <c r="D191" s="51"/>
      <c r="E191" s="138"/>
      <c r="F191" s="23"/>
      <c r="G191" s="21"/>
      <c r="H191" s="606"/>
      <c r="I191" s="57"/>
      <c r="J191" s="57"/>
      <c r="K191" s="57"/>
      <c r="L191" s="57"/>
      <c r="O191" s="2" t="s">
        <v>26</v>
      </c>
      <c r="P191" s="1"/>
      <c r="Q191" s="1"/>
      <c r="R191" s="1"/>
      <c r="S191"/>
      <c r="T191"/>
      <c r="U191" s="119"/>
    </row>
    <row r="192" spans="1:21" x14ac:dyDescent="0.25">
      <c r="A192" s="32">
        <v>1</v>
      </c>
      <c r="B192" s="3" t="s">
        <v>8</v>
      </c>
      <c r="C192" s="4">
        <v>0.41666666666666669</v>
      </c>
      <c r="D192" s="4">
        <v>0.45833333333333331</v>
      </c>
      <c r="E192" s="3">
        <v>2</v>
      </c>
      <c r="F192" s="5"/>
      <c r="G192" s="3" t="s">
        <v>125</v>
      </c>
      <c r="H192" s="606"/>
      <c r="I192" s="57"/>
      <c r="J192" s="57"/>
      <c r="K192" s="57"/>
      <c r="L192" s="57"/>
      <c r="O192"/>
      <c r="P192"/>
      <c r="Q192"/>
      <c r="R192"/>
      <c r="S192"/>
      <c r="T192"/>
      <c r="U192" s="119"/>
    </row>
    <row r="193" spans="1:22" x14ac:dyDescent="0.25">
      <c r="B193" s="13" t="s">
        <v>26</v>
      </c>
      <c r="C193" s="32"/>
      <c r="D193" s="32"/>
      <c r="E193" s="32">
        <f>SUM(E186:E192)</f>
        <v>4</v>
      </c>
      <c r="F193" s="22"/>
      <c r="G193" s="53"/>
      <c r="H193" s="22"/>
      <c r="I193" s="57"/>
      <c r="J193" s="57"/>
      <c r="K193" s="57"/>
      <c r="L193" s="57"/>
      <c r="U193" s="119"/>
      <c r="V193" s="117"/>
    </row>
    <row r="194" spans="1:22" x14ac:dyDescent="0.25">
      <c r="B194" s="13"/>
      <c r="C194" s="32"/>
      <c r="D194" s="32"/>
      <c r="E194" s="32"/>
      <c r="F194" s="22"/>
      <c r="G194" s="53"/>
      <c r="H194" s="22"/>
      <c r="I194" s="57"/>
      <c r="J194" s="57"/>
      <c r="K194" s="57"/>
      <c r="L194" s="57"/>
      <c r="U194" s="119"/>
      <c r="V194" s="117"/>
    </row>
    <row r="195" spans="1:22" ht="30" x14ac:dyDescent="0.25">
      <c r="A195" s="63"/>
      <c r="B195" s="20" t="s">
        <v>157</v>
      </c>
      <c r="C195" s="20" t="s">
        <v>11</v>
      </c>
      <c r="D195" s="20" t="s">
        <v>12</v>
      </c>
      <c r="E195" s="20" t="s">
        <v>13</v>
      </c>
      <c r="F195" s="20" t="s">
        <v>14</v>
      </c>
      <c r="G195" s="20" t="s">
        <v>0</v>
      </c>
      <c r="H195" s="22"/>
      <c r="I195" s="57" t="s">
        <v>187</v>
      </c>
      <c r="J195" s="57" t="s">
        <v>186</v>
      </c>
      <c r="K195" s="57"/>
      <c r="L195" s="57"/>
      <c r="O195" s="13" t="s">
        <v>132</v>
      </c>
      <c r="P195" s="13" t="s">
        <v>11</v>
      </c>
      <c r="Q195" s="13" t="s">
        <v>12</v>
      </c>
      <c r="R195" s="13" t="s">
        <v>13</v>
      </c>
      <c r="S195" s="13" t="s">
        <v>14</v>
      </c>
      <c r="T195" s="13" t="s">
        <v>0</v>
      </c>
      <c r="U195" s="57"/>
    </row>
    <row r="196" spans="1:22" x14ac:dyDescent="0.25">
      <c r="A196" s="32">
        <v>2</v>
      </c>
      <c r="B196" s="3" t="s">
        <v>2</v>
      </c>
      <c r="C196" s="6">
        <v>0.45833333333333331</v>
      </c>
      <c r="D196" s="4">
        <v>0.47916666666666669</v>
      </c>
      <c r="E196" s="3">
        <v>0.5</v>
      </c>
      <c r="F196" s="5"/>
      <c r="G196" s="3" t="s">
        <v>277</v>
      </c>
      <c r="H196" s="22"/>
      <c r="I196" s="57"/>
      <c r="J196" s="57"/>
      <c r="K196" s="57"/>
      <c r="L196" s="57"/>
      <c r="U196" s="163"/>
      <c r="V196" s="117"/>
    </row>
    <row r="197" spans="1:22" x14ac:dyDescent="0.25">
      <c r="A197" s="32">
        <v>3</v>
      </c>
      <c r="B197" s="3" t="s">
        <v>3</v>
      </c>
      <c r="C197" s="7">
        <v>0.45833333333333331</v>
      </c>
      <c r="D197" s="7">
        <v>0.52083333333333337</v>
      </c>
      <c r="E197">
        <v>1.5</v>
      </c>
      <c r="F197"/>
      <c r="G197" t="s">
        <v>278</v>
      </c>
      <c r="H197" s="22"/>
      <c r="I197" s="57"/>
      <c r="J197" s="57"/>
      <c r="K197" s="57"/>
      <c r="L197" s="57"/>
      <c r="U197" s="163"/>
      <c r="V197" s="117"/>
    </row>
    <row r="198" spans="1:22" x14ac:dyDescent="0.25">
      <c r="A198" s="32">
        <v>4</v>
      </c>
      <c r="B198" s="3" t="s">
        <v>4</v>
      </c>
      <c r="C198" s="7">
        <v>0.4375</v>
      </c>
      <c r="D198" s="7">
        <v>0.47916666666666669</v>
      </c>
      <c r="E198">
        <v>1</v>
      </c>
      <c r="F198"/>
      <c r="G198" s="3" t="s">
        <v>279</v>
      </c>
      <c r="I198" s="57"/>
      <c r="J198" s="57"/>
      <c r="K198" s="57"/>
      <c r="L198" s="57"/>
      <c r="O198" s="2" t="s">
        <v>276</v>
      </c>
      <c r="P198" s="2" t="s">
        <v>11</v>
      </c>
      <c r="Q198" s="2" t="s">
        <v>12</v>
      </c>
      <c r="R198" s="2" t="s">
        <v>13</v>
      </c>
      <c r="S198" s="2" t="s">
        <v>14</v>
      </c>
      <c r="T198" s="2" t="s">
        <v>0</v>
      </c>
      <c r="U198" s="163"/>
      <c r="V198" s="117"/>
    </row>
    <row r="199" spans="1:22" x14ac:dyDescent="0.25">
      <c r="B199" s="3"/>
      <c r="C199" s="7">
        <v>0.29166666666666669</v>
      </c>
      <c r="D199" s="7">
        <v>0.41666666666666669</v>
      </c>
      <c r="E199">
        <v>3</v>
      </c>
      <c r="F199"/>
      <c r="G199" s="3" t="s">
        <v>280</v>
      </c>
      <c r="H199" s="22"/>
      <c r="I199" s="57"/>
      <c r="J199" s="57"/>
      <c r="K199" s="57"/>
      <c r="L199" s="57"/>
      <c r="O199" s="3" t="s">
        <v>2</v>
      </c>
      <c r="P199" s="6">
        <v>0.45833333333333331</v>
      </c>
      <c r="Q199" s="4">
        <v>0.47916666666666669</v>
      </c>
      <c r="R199" s="3">
        <v>0.5</v>
      </c>
      <c r="S199" s="5"/>
      <c r="T199" s="3" t="s">
        <v>277</v>
      </c>
      <c r="U199" s="163"/>
      <c r="V199" s="117"/>
    </row>
    <row r="200" spans="1:22" x14ac:dyDescent="0.25">
      <c r="A200" s="32">
        <v>5</v>
      </c>
      <c r="B200" s="3" t="s">
        <v>5</v>
      </c>
      <c r="C200" s="4">
        <v>0.41666666666666669</v>
      </c>
      <c r="D200" s="4">
        <v>0.45833333333333331</v>
      </c>
      <c r="E200" s="3">
        <v>1</v>
      </c>
      <c r="F200" s="5"/>
      <c r="G200" s="3" t="s">
        <v>281</v>
      </c>
      <c r="I200" s="57"/>
      <c r="J200" s="57"/>
      <c r="K200" s="57"/>
      <c r="L200" s="57"/>
      <c r="O200" s="3" t="s">
        <v>3</v>
      </c>
      <c r="P200" s="7">
        <v>0.45833333333333331</v>
      </c>
      <c r="Q200" s="7">
        <v>0.52083333333333337</v>
      </c>
      <c r="R200">
        <v>1.5</v>
      </c>
      <c r="S200"/>
      <c r="T200" t="s">
        <v>278</v>
      </c>
      <c r="U200" s="163"/>
      <c r="V200" s="154"/>
    </row>
    <row r="201" spans="1:22" x14ac:dyDescent="0.25">
      <c r="A201" s="32">
        <v>6</v>
      </c>
      <c r="B201" s="3" t="s">
        <v>6</v>
      </c>
      <c r="C201" s="8">
        <v>0.45833333333333331</v>
      </c>
      <c r="D201" s="8">
        <v>0.5</v>
      </c>
      <c r="E201" s="3">
        <v>1</v>
      </c>
      <c r="F201"/>
      <c r="G201" s="5" t="s">
        <v>282</v>
      </c>
      <c r="H201" s="22"/>
      <c r="I201" s="57"/>
      <c r="J201" s="57"/>
      <c r="K201" s="57"/>
      <c r="L201" s="57"/>
      <c r="O201" s="3" t="s">
        <v>4</v>
      </c>
      <c r="P201" s="7">
        <v>0.4375</v>
      </c>
      <c r="Q201" s="7">
        <v>0.47916666666666669</v>
      </c>
      <c r="R201">
        <v>1</v>
      </c>
      <c r="S201"/>
      <c r="T201" s="3" t="s">
        <v>279</v>
      </c>
      <c r="U201" s="163"/>
      <c r="V201" s="117"/>
    </row>
    <row r="202" spans="1:22" x14ac:dyDescent="0.25">
      <c r="A202" s="32">
        <v>7</v>
      </c>
      <c r="B202" s="3" t="s">
        <v>7</v>
      </c>
      <c r="C202" s="8">
        <v>0.41666666666666669</v>
      </c>
      <c r="D202" s="8">
        <v>0.54166666666666663</v>
      </c>
      <c r="E202" s="3">
        <v>3</v>
      </c>
      <c r="F202" s="5"/>
      <c r="G202" s="3" t="s">
        <v>283</v>
      </c>
      <c r="H202" s="22"/>
      <c r="I202" s="57"/>
      <c r="J202" s="57"/>
      <c r="K202" s="57"/>
      <c r="L202" s="57"/>
      <c r="O202" s="3"/>
      <c r="P202" s="7">
        <v>0.29166666666666669</v>
      </c>
      <c r="Q202" s="7">
        <v>0.41666666666666669</v>
      </c>
      <c r="R202">
        <v>3</v>
      </c>
      <c r="S202"/>
      <c r="T202" s="3" t="s">
        <v>280</v>
      </c>
      <c r="U202" s="163"/>
      <c r="V202" s="117"/>
    </row>
    <row r="203" spans="1:22" x14ac:dyDescent="0.25">
      <c r="A203" s="32">
        <v>8</v>
      </c>
      <c r="B203" s="3" t="s">
        <v>8</v>
      </c>
      <c r="C203" s="4"/>
      <c r="D203" s="4"/>
      <c r="E203" s="3"/>
      <c r="F203" s="5"/>
      <c r="G203" s="3"/>
      <c r="H203" s="22"/>
      <c r="I203" s="57"/>
      <c r="J203" s="57"/>
      <c r="K203" s="57"/>
      <c r="L203" s="57"/>
      <c r="O203" s="3" t="s">
        <v>5</v>
      </c>
      <c r="P203" s="4">
        <v>0.41666666666666669</v>
      </c>
      <c r="Q203" s="4">
        <v>0.45833333333333331</v>
      </c>
      <c r="R203" s="3">
        <v>1</v>
      </c>
      <c r="S203" s="5"/>
      <c r="T203" s="3" t="s">
        <v>281</v>
      </c>
      <c r="U203" s="119"/>
      <c r="V203" s="117"/>
    </row>
    <row r="204" spans="1:22" x14ac:dyDescent="0.25">
      <c r="B204" s="13" t="s">
        <v>26</v>
      </c>
      <c r="C204" s="32"/>
      <c r="D204" s="32"/>
      <c r="E204" s="32">
        <f>SUM(E196:E203)</f>
        <v>11</v>
      </c>
      <c r="F204" s="115" t="s">
        <v>393</v>
      </c>
      <c r="G204" s="145" t="s">
        <v>397</v>
      </c>
      <c r="I204" s="57"/>
      <c r="J204" s="57"/>
      <c r="K204" s="57"/>
      <c r="L204" s="57"/>
      <c r="O204" s="3" t="s">
        <v>6</v>
      </c>
      <c r="P204" s="8">
        <v>0.45833333333333331</v>
      </c>
      <c r="Q204" s="8">
        <v>0.5</v>
      </c>
      <c r="R204" s="3">
        <v>1</v>
      </c>
      <c r="S204"/>
      <c r="T204" s="5" t="s">
        <v>282</v>
      </c>
      <c r="U204" s="119"/>
      <c r="V204" s="117"/>
    </row>
    <row r="205" spans="1:22" x14ac:dyDescent="0.25">
      <c r="A205" s="144" t="s">
        <v>407</v>
      </c>
      <c r="B205" s="35" t="s">
        <v>227</v>
      </c>
      <c r="C205" s="60"/>
      <c r="D205" s="61"/>
      <c r="E205" s="35">
        <f>SUM(E186:E192,E196:E203)</f>
        <v>15</v>
      </c>
      <c r="F205" s="115">
        <f>SUM(1*Marg_hist!G45)</f>
        <v>7</v>
      </c>
      <c r="G205" s="330">
        <f>SUM(E205 + G183)-F205</f>
        <v>-16</v>
      </c>
      <c r="H205" s="221"/>
      <c r="I205" s="57"/>
      <c r="J205" s="57"/>
      <c r="K205" s="57"/>
      <c r="L205" s="57"/>
      <c r="O205" s="3" t="s">
        <v>7</v>
      </c>
      <c r="P205" s="8">
        <v>0.41666666666666669</v>
      </c>
      <c r="Q205" s="8">
        <v>0.54166666666666663</v>
      </c>
      <c r="R205" s="3">
        <v>3</v>
      </c>
      <c r="S205" s="5"/>
      <c r="T205" s="3" t="s">
        <v>283</v>
      </c>
      <c r="U205" s="119"/>
      <c r="V205" s="117"/>
    </row>
    <row r="206" spans="1:22" x14ac:dyDescent="0.25">
      <c r="A206" s="2"/>
      <c r="B206" s="20"/>
      <c r="C206" s="146"/>
      <c r="D206" s="147"/>
      <c r="E206" s="20"/>
      <c r="F206" s="20"/>
      <c r="G206" s="53"/>
      <c r="H206" s="158"/>
      <c r="I206" s="57"/>
      <c r="J206" s="57"/>
      <c r="K206" s="57"/>
      <c r="L206" s="57"/>
      <c r="O206" s="3" t="s">
        <v>8</v>
      </c>
      <c r="P206" s="4"/>
      <c r="Q206" s="4"/>
      <c r="R206" s="3"/>
      <c r="S206" s="5"/>
      <c r="T206" s="3"/>
      <c r="U206" s="163"/>
      <c r="V206" s="117"/>
    </row>
    <row r="207" spans="1:22" ht="18" customHeight="1" x14ac:dyDescent="0.25">
      <c r="I207" s="57"/>
      <c r="J207" s="57"/>
      <c r="K207" s="57"/>
      <c r="L207" s="57"/>
      <c r="O207" s="2" t="s">
        <v>26</v>
      </c>
      <c r="P207" s="1"/>
      <c r="Q207" s="1"/>
      <c r="R207" s="1">
        <f>SUM(R199:R206)</f>
        <v>11</v>
      </c>
      <c r="S207"/>
      <c r="T207" t="s">
        <v>284</v>
      </c>
      <c r="U207" s="163"/>
      <c r="V207" s="117"/>
    </row>
    <row r="208" spans="1:22" ht="71.25" customHeight="1" x14ac:dyDescent="0.5">
      <c r="A208" s="587" t="s">
        <v>433</v>
      </c>
      <c r="B208" s="587"/>
      <c r="C208" s="587"/>
      <c r="D208" s="587"/>
      <c r="E208" s="587"/>
      <c r="F208" s="587"/>
      <c r="G208" s="587"/>
      <c r="H208" s="587"/>
      <c r="I208" s="57"/>
      <c r="J208" s="57"/>
      <c r="K208" s="57"/>
      <c r="L208" s="57"/>
      <c r="O208" s="2"/>
      <c r="P208" s="1"/>
      <c r="Q208" s="1"/>
      <c r="R208" s="1"/>
      <c r="S208"/>
      <c r="T208"/>
      <c r="U208" s="163"/>
      <c r="V208" s="117"/>
    </row>
    <row r="209" spans="1:22" ht="33.75" x14ac:dyDescent="0.5">
      <c r="A209" s="341" t="s">
        <v>425</v>
      </c>
      <c r="B209" s="341" t="s">
        <v>426</v>
      </c>
      <c r="C209" s="343" t="s">
        <v>430</v>
      </c>
      <c r="D209" s="612" t="s">
        <v>428</v>
      </c>
      <c r="E209" s="612"/>
      <c r="F209" s="612"/>
      <c r="G209" s="188"/>
      <c r="H209" s="344"/>
      <c r="I209" s="57"/>
      <c r="J209" s="57"/>
      <c r="K209" s="57"/>
      <c r="L209" s="57"/>
      <c r="O209" s="2"/>
      <c r="P209" s="1"/>
      <c r="Q209" s="1"/>
      <c r="R209" s="1"/>
      <c r="S209"/>
      <c r="T209"/>
      <c r="U209" s="163"/>
      <c r="V209" s="117"/>
    </row>
    <row r="210" spans="1:22" ht="30" x14ac:dyDescent="0.25">
      <c r="A210" s="338" t="s">
        <v>434</v>
      </c>
      <c r="B210" s="310">
        <f>SUM(Marg_hist!G48)</f>
        <v>87</v>
      </c>
      <c r="C210" s="338" t="s">
        <v>431</v>
      </c>
      <c r="D210" s="612"/>
      <c r="E210" s="612"/>
      <c r="F210" s="612"/>
      <c r="G210" s="188"/>
      <c r="H210" s="188"/>
      <c r="I210" s="57"/>
      <c r="J210" s="57"/>
      <c r="K210" s="57"/>
      <c r="L210" s="57"/>
      <c r="O210" s="2"/>
      <c r="P210" s="1"/>
      <c r="Q210" s="1"/>
      <c r="R210" s="1"/>
      <c r="S210"/>
      <c r="T210"/>
      <c r="U210" s="163"/>
      <c r="V210" s="117"/>
    </row>
    <row r="211" spans="1:22" ht="90" x14ac:dyDescent="0.25">
      <c r="A211" s="44" t="s">
        <v>429</v>
      </c>
      <c r="B211" s="44">
        <f>SUM(E204,E193,E182,E161,E151,E140,E129,E115,E93,E82,E56,E35,E45,E23,E104,E13,E172,E70)</f>
        <v>71</v>
      </c>
      <c r="C211" s="44" t="s">
        <v>432</v>
      </c>
      <c r="D211" s="612"/>
      <c r="E211" s="612"/>
      <c r="F211" s="612"/>
      <c r="G211" s="188"/>
      <c r="H211" s="188"/>
      <c r="I211" s="57"/>
      <c r="J211" s="57"/>
      <c r="K211" s="57"/>
      <c r="L211" s="57"/>
      <c r="O211" s="2"/>
      <c r="P211" s="1"/>
      <c r="Q211" s="1"/>
      <c r="R211" s="1"/>
      <c r="S211"/>
      <c r="T211"/>
      <c r="U211" s="163"/>
      <c r="V211" s="117"/>
    </row>
    <row r="212" spans="1:22" ht="36" x14ac:dyDescent="0.55000000000000004">
      <c r="A212" s="339" t="s">
        <v>427</v>
      </c>
      <c r="B212" s="342">
        <f>SUM(B210-B211)</f>
        <v>16</v>
      </c>
      <c r="D212" s="612"/>
      <c r="E212" s="612"/>
      <c r="F212" s="612"/>
      <c r="G212" s="188"/>
      <c r="H212" s="345"/>
      <c r="I212" s="57"/>
      <c r="J212" s="57"/>
      <c r="K212" s="57"/>
      <c r="L212" s="57"/>
      <c r="O212" s="2"/>
      <c r="P212" s="1"/>
      <c r="Q212" s="1"/>
      <c r="R212" s="1"/>
      <c r="S212"/>
      <c r="T212"/>
      <c r="U212" s="163"/>
      <c r="V212" s="117"/>
    </row>
    <row r="213" spans="1:22" ht="18" customHeight="1" x14ac:dyDescent="0.25">
      <c r="I213" s="57"/>
      <c r="J213" s="57"/>
      <c r="K213" s="57"/>
      <c r="L213" s="57"/>
      <c r="O213" s="2"/>
      <c r="P213" s="1"/>
      <c r="Q213" s="1"/>
      <c r="R213" s="1"/>
      <c r="S213"/>
      <c r="T213"/>
      <c r="U213" s="163"/>
      <c r="V213" s="117"/>
    </row>
    <row r="214" spans="1:22" ht="18" customHeight="1" x14ac:dyDescent="0.25">
      <c r="I214" s="57"/>
      <c r="J214" s="57"/>
      <c r="K214" s="57"/>
      <c r="L214" s="57"/>
      <c r="O214" s="2"/>
      <c r="P214" s="1"/>
      <c r="Q214" s="1"/>
      <c r="R214" s="1"/>
      <c r="S214"/>
      <c r="T214"/>
      <c r="U214" s="163"/>
      <c r="V214" s="117"/>
    </row>
    <row r="215" spans="1:22" ht="18" customHeight="1" x14ac:dyDescent="0.25">
      <c r="I215" s="57"/>
      <c r="J215" s="57"/>
      <c r="K215" s="57"/>
      <c r="L215" s="57"/>
      <c r="O215" s="2"/>
      <c r="P215" s="1"/>
      <c r="Q215" s="1"/>
      <c r="R215" s="1"/>
      <c r="S215"/>
      <c r="T215"/>
      <c r="U215" s="163"/>
      <c r="V215" s="117"/>
    </row>
    <row r="216" spans="1:22" x14ac:dyDescent="0.25">
      <c r="I216" s="57"/>
      <c r="J216" s="57"/>
      <c r="K216" s="57"/>
      <c r="L216" s="57"/>
      <c r="O216" s="2"/>
      <c r="P216" s="1"/>
      <c r="Q216" s="1"/>
      <c r="R216" s="1"/>
      <c r="S216"/>
      <c r="T216"/>
      <c r="U216" s="163"/>
      <c r="V216" s="117"/>
    </row>
    <row r="217" spans="1:22" ht="36" customHeight="1" x14ac:dyDescent="0.25">
      <c r="I217" s="57"/>
      <c r="J217" s="57"/>
      <c r="K217" s="57"/>
      <c r="L217" s="57"/>
      <c r="O217" s="2"/>
      <c r="P217" s="1"/>
      <c r="Q217" s="1"/>
      <c r="R217" s="1"/>
      <c r="S217"/>
      <c r="T217"/>
      <c r="U217" s="163"/>
      <c r="V217" s="117"/>
    </row>
    <row r="218" spans="1:22" x14ac:dyDescent="0.25">
      <c r="I218" s="57"/>
      <c r="J218" s="57"/>
      <c r="K218" s="57"/>
      <c r="L218" s="57"/>
      <c r="O218" s="2"/>
      <c r="P218" s="1"/>
      <c r="Q218" s="1"/>
      <c r="R218" s="1"/>
      <c r="S218"/>
      <c r="T218"/>
      <c r="U218" s="163"/>
      <c r="V218" s="117"/>
    </row>
    <row r="219" spans="1:22" x14ac:dyDescent="0.25">
      <c r="I219" s="57"/>
      <c r="J219" s="57"/>
      <c r="K219" s="57"/>
      <c r="L219" s="57"/>
      <c r="O219" s="2"/>
      <c r="P219" s="1"/>
      <c r="Q219" s="1"/>
      <c r="R219" s="1"/>
      <c r="S219"/>
      <c r="T219"/>
      <c r="U219" s="163"/>
      <c r="V219" s="117"/>
    </row>
    <row r="220" spans="1:22" x14ac:dyDescent="0.25">
      <c r="I220" s="57"/>
      <c r="J220" s="57"/>
      <c r="K220" s="57"/>
      <c r="L220" s="57"/>
      <c r="O220" s="2"/>
      <c r="P220" s="1"/>
      <c r="Q220" s="1"/>
      <c r="R220" s="1"/>
      <c r="S220"/>
      <c r="T220"/>
      <c r="U220" s="163"/>
      <c r="V220" s="117"/>
    </row>
    <row r="221" spans="1:22" x14ac:dyDescent="0.25">
      <c r="I221" s="57"/>
      <c r="J221" s="57"/>
      <c r="K221" s="57"/>
      <c r="L221" s="57"/>
      <c r="O221" s="2"/>
      <c r="P221" s="1"/>
      <c r="Q221" s="1"/>
      <c r="R221" s="1"/>
      <c r="S221"/>
      <c r="T221"/>
      <c r="U221" s="163"/>
      <c r="V221" s="117"/>
    </row>
    <row r="222" spans="1:22" x14ac:dyDescent="0.25">
      <c r="A222" s="22"/>
      <c r="I222" s="57"/>
      <c r="J222" s="57"/>
      <c r="K222" s="57"/>
      <c r="L222" s="57"/>
      <c r="O222"/>
      <c r="P222"/>
      <c r="Q222"/>
      <c r="R222"/>
      <c r="S222"/>
      <c r="T222"/>
      <c r="U222" s="163"/>
      <c r="V222" s="117"/>
    </row>
    <row r="223" spans="1:22" x14ac:dyDescent="0.25">
      <c r="A223" s="22"/>
      <c r="B223" s="20"/>
      <c r="C223" s="146"/>
      <c r="D223" s="147"/>
      <c r="E223" s="20"/>
      <c r="F223" s="20"/>
      <c r="G223" s="53"/>
      <c r="H223" s="158"/>
      <c r="I223" s="57"/>
      <c r="J223" s="57"/>
      <c r="K223" s="57"/>
      <c r="L223" s="57"/>
      <c r="U223" s="163"/>
      <c r="V223" s="117"/>
    </row>
    <row r="224" spans="1:22" x14ac:dyDescent="0.25">
      <c r="A224" s="530" t="s">
        <v>301</v>
      </c>
      <c r="B224" s="530"/>
      <c r="C224" s="530"/>
      <c r="D224" s="530"/>
      <c r="E224" s="530"/>
      <c r="F224" s="530"/>
      <c r="G224" s="530"/>
      <c r="H224" s="530"/>
      <c r="I224" s="530"/>
      <c r="J224" s="530"/>
      <c r="K224" s="530"/>
      <c r="L224" s="530"/>
      <c r="M224" s="530"/>
      <c r="N224" s="530"/>
      <c r="O224" s="530"/>
      <c r="P224" s="530"/>
      <c r="Q224" s="530"/>
      <c r="R224" s="530"/>
      <c r="S224" s="530"/>
      <c r="T224" s="530"/>
      <c r="U224" s="163"/>
      <c r="V224" s="117"/>
    </row>
    <row r="225" spans="1:22" x14ac:dyDescent="0.25">
      <c r="A225" s="530"/>
      <c r="B225" s="530"/>
      <c r="C225" s="530"/>
      <c r="D225" s="530"/>
      <c r="E225" s="530"/>
      <c r="F225" s="530"/>
      <c r="G225" s="530"/>
      <c r="H225" s="530"/>
      <c r="I225" s="530"/>
      <c r="J225" s="530"/>
      <c r="K225" s="530"/>
      <c r="L225" s="530"/>
      <c r="M225" s="530"/>
      <c r="N225" s="530"/>
      <c r="O225" s="530"/>
      <c r="P225" s="530"/>
      <c r="Q225" s="530"/>
      <c r="R225" s="530"/>
      <c r="S225" s="530"/>
      <c r="T225" s="530"/>
      <c r="U225" s="163"/>
      <c r="V225" s="117"/>
    </row>
    <row r="226" spans="1:22" ht="30" x14ac:dyDescent="0.25">
      <c r="A226" s="137" t="s">
        <v>252</v>
      </c>
      <c r="B226" s="13" t="s">
        <v>158</v>
      </c>
      <c r="C226" s="13" t="s">
        <v>11</v>
      </c>
      <c r="D226" s="13" t="s">
        <v>12</v>
      </c>
      <c r="E226" s="13" t="s">
        <v>13</v>
      </c>
      <c r="F226" s="13" t="s">
        <v>14</v>
      </c>
      <c r="G226" s="20" t="s">
        <v>0</v>
      </c>
      <c r="I226" s="57" t="s">
        <v>187</v>
      </c>
      <c r="J226" s="57" t="s">
        <v>186</v>
      </c>
      <c r="K226" s="57"/>
      <c r="L226" s="57"/>
      <c r="M226" s="57"/>
      <c r="O226" s="2" t="s">
        <v>285</v>
      </c>
      <c r="P226" s="2" t="s">
        <v>11</v>
      </c>
      <c r="Q226" s="2" t="s">
        <v>12</v>
      </c>
      <c r="R226" s="2" t="s">
        <v>13</v>
      </c>
      <c r="S226" s="2" t="s">
        <v>14</v>
      </c>
      <c r="T226" s="2" t="s">
        <v>0</v>
      </c>
      <c r="U226" s="163"/>
      <c r="V226" s="117"/>
    </row>
    <row r="227" spans="1:22" x14ac:dyDescent="0.25">
      <c r="A227" s="32">
        <v>9</v>
      </c>
      <c r="B227" s="21" t="s">
        <v>2</v>
      </c>
      <c r="C227" s="6">
        <v>0.4375</v>
      </c>
      <c r="D227" s="4">
        <v>0.52083333333333337</v>
      </c>
      <c r="E227" s="3">
        <v>2</v>
      </c>
      <c r="F227" s="5"/>
      <c r="G227" s="3" t="s">
        <v>286</v>
      </c>
      <c r="I227" s="57" t="s">
        <v>182</v>
      </c>
      <c r="J227" s="57" t="s">
        <v>181</v>
      </c>
      <c r="K227" s="57"/>
      <c r="L227" s="57"/>
      <c r="M227" s="57"/>
      <c r="O227" s="3" t="s">
        <v>2</v>
      </c>
      <c r="P227" s="6">
        <v>0.4375</v>
      </c>
      <c r="Q227" s="4">
        <v>0.52083333333333337</v>
      </c>
      <c r="R227" s="3">
        <v>2</v>
      </c>
      <c r="S227" s="5"/>
      <c r="T227" s="3" t="s">
        <v>286</v>
      </c>
      <c r="U227" s="163"/>
      <c r="V227" s="117"/>
    </row>
    <row r="228" spans="1:22" ht="30" x14ac:dyDescent="0.25">
      <c r="A228" s="32">
        <v>10</v>
      </c>
      <c r="B228" s="21" t="s">
        <v>3</v>
      </c>
      <c r="C228" s="7">
        <v>0.20833333333333334</v>
      </c>
      <c r="D228" s="7">
        <v>0.25</v>
      </c>
      <c r="E228">
        <v>1</v>
      </c>
      <c r="F228"/>
      <c r="G228" t="s">
        <v>120</v>
      </c>
      <c r="I228" s="22" t="s">
        <v>180</v>
      </c>
      <c r="J228" s="22" t="s">
        <v>179</v>
      </c>
      <c r="K228" s="57"/>
      <c r="L228" s="57"/>
      <c r="M228" s="57"/>
      <c r="O228" s="3" t="s">
        <v>3</v>
      </c>
      <c r="P228" s="7">
        <v>0.20833333333333334</v>
      </c>
      <c r="Q228" s="7">
        <v>0.25</v>
      </c>
      <c r="R228">
        <v>1</v>
      </c>
      <c r="S228"/>
      <c r="T228" t="s">
        <v>120</v>
      </c>
      <c r="U228" s="163"/>
      <c r="V228" s="154"/>
    </row>
    <row r="229" spans="1:22" ht="30" x14ac:dyDescent="0.25">
      <c r="A229" s="53">
        <v>11</v>
      </c>
      <c r="B229" s="21" t="s">
        <v>4</v>
      </c>
      <c r="C229" s="7">
        <v>0.41666666666666669</v>
      </c>
      <c r="D229" s="7">
        <v>0.45833333333333331</v>
      </c>
      <c r="E229">
        <v>1</v>
      </c>
      <c r="F229"/>
      <c r="G229" s="3" t="s">
        <v>287</v>
      </c>
      <c r="I229" s="57" t="s">
        <v>309</v>
      </c>
      <c r="J229" s="57" t="s">
        <v>310</v>
      </c>
      <c r="K229" s="57"/>
      <c r="L229" s="57"/>
      <c r="M229" s="57"/>
      <c r="O229" s="3" t="s">
        <v>4</v>
      </c>
      <c r="P229" s="7">
        <v>0.41666666666666669</v>
      </c>
      <c r="Q229" s="7">
        <v>0.45833333333333331</v>
      </c>
      <c r="R229">
        <v>1</v>
      </c>
      <c r="S229"/>
      <c r="T229" s="3" t="s">
        <v>287</v>
      </c>
      <c r="U229" s="163"/>
      <c r="V229" s="117"/>
    </row>
    <row r="230" spans="1:22" x14ac:dyDescent="0.25">
      <c r="A230" s="53">
        <v>12</v>
      </c>
      <c r="B230" s="21" t="s">
        <v>5</v>
      </c>
      <c r="C230" s="7">
        <v>0.47916666666666669</v>
      </c>
      <c r="D230" s="7">
        <v>0.54166666666666663</v>
      </c>
      <c r="E230">
        <v>1.5</v>
      </c>
      <c r="F230"/>
      <c r="G230" s="3" t="s">
        <v>288</v>
      </c>
      <c r="I230" s="57"/>
      <c r="J230" s="57"/>
      <c r="K230" s="57"/>
      <c r="L230" s="57"/>
      <c r="M230" s="57"/>
      <c r="O230" s="3" t="s">
        <v>5</v>
      </c>
      <c r="P230" s="7">
        <v>0.47916666666666669</v>
      </c>
      <c r="Q230" s="7">
        <v>0.54166666666666663</v>
      </c>
      <c r="R230">
        <v>1.5</v>
      </c>
      <c r="S230"/>
      <c r="T230" s="3" t="s">
        <v>288</v>
      </c>
      <c r="U230" s="163"/>
      <c r="V230" s="117"/>
    </row>
    <row r="231" spans="1:22" x14ac:dyDescent="0.25">
      <c r="A231" s="53"/>
      <c r="B231" s="21"/>
      <c r="C231" s="4">
        <v>0.54166666666666663</v>
      </c>
      <c r="D231" s="4">
        <v>0.625</v>
      </c>
      <c r="E231" s="3">
        <v>2</v>
      </c>
      <c r="F231" s="5"/>
      <c r="G231" s="3" t="s">
        <v>289</v>
      </c>
      <c r="I231" s="57"/>
      <c r="J231" s="57"/>
      <c r="K231" s="57"/>
      <c r="L231" s="57"/>
      <c r="M231" s="57"/>
      <c r="O231"/>
      <c r="P231" s="4">
        <v>0.54166666666666663</v>
      </c>
      <c r="Q231" s="4">
        <v>0.625</v>
      </c>
      <c r="R231" s="3">
        <v>2</v>
      </c>
      <c r="S231" s="5"/>
      <c r="T231" s="3" t="s">
        <v>289</v>
      </c>
      <c r="U231" s="163"/>
      <c r="V231" s="154"/>
    </row>
    <row r="232" spans="1:22" x14ac:dyDescent="0.25">
      <c r="A232" s="53">
        <v>13</v>
      </c>
      <c r="B232" s="21" t="s">
        <v>6</v>
      </c>
      <c r="C232" s="8">
        <v>0.41666666666666669</v>
      </c>
      <c r="D232" s="8">
        <v>0.5</v>
      </c>
      <c r="E232" s="3">
        <v>2.5</v>
      </c>
      <c r="F232"/>
      <c r="G232" s="5" t="s">
        <v>290</v>
      </c>
      <c r="I232" s="57"/>
      <c r="J232" s="57"/>
      <c r="K232" s="57"/>
      <c r="L232" s="57"/>
      <c r="M232" s="57"/>
      <c r="O232" s="3" t="s">
        <v>6</v>
      </c>
      <c r="P232" s="8">
        <v>0.41666666666666669</v>
      </c>
      <c r="Q232" s="8">
        <v>0.5</v>
      </c>
      <c r="R232" s="3">
        <v>2.5</v>
      </c>
      <c r="S232"/>
      <c r="T232" s="5" t="s">
        <v>290</v>
      </c>
      <c r="U232" s="119"/>
      <c r="V232" s="117"/>
    </row>
    <row r="233" spans="1:22" x14ac:dyDescent="0.25">
      <c r="A233" s="53">
        <v>14</v>
      </c>
      <c r="B233" s="21" t="s">
        <v>7</v>
      </c>
      <c r="C233" s="8"/>
      <c r="D233" s="8"/>
      <c r="E233" s="3"/>
      <c r="F233" s="5"/>
      <c r="G233" s="3"/>
      <c r="I233" s="57"/>
      <c r="J233" s="57"/>
      <c r="K233" s="57"/>
      <c r="L233" s="57"/>
      <c r="M233" s="57"/>
      <c r="O233" s="3" t="s">
        <v>7</v>
      </c>
      <c r="P233" s="8"/>
      <c r="Q233" s="8"/>
      <c r="R233" s="3"/>
      <c r="S233" s="5"/>
      <c r="T233" s="3"/>
      <c r="U233" s="119"/>
      <c r="V233" s="117"/>
    </row>
    <row r="234" spans="1:22" x14ac:dyDescent="0.25">
      <c r="A234" s="53">
        <v>15</v>
      </c>
      <c r="B234" s="21" t="s">
        <v>8</v>
      </c>
      <c r="C234" s="4">
        <v>0.41666666666666669</v>
      </c>
      <c r="D234" s="4">
        <v>0.45833333333333331</v>
      </c>
      <c r="E234" s="3">
        <v>1</v>
      </c>
      <c r="F234" s="5"/>
      <c r="G234" s="3" t="s">
        <v>125</v>
      </c>
      <c r="I234" s="57"/>
      <c r="J234" s="57"/>
      <c r="K234" s="57"/>
      <c r="L234" s="57"/>
      <c r="M234" s="57"/>
      <c r="O234" s="3" t="s">
        <v>8</v>
      </c>
      <c r="P234" s="4">
        <v>0.41666666666666669</v>
      </c>
      <c r="Q234" s="4">
        <v>0.45833333333333331</v>
      </c>
      <c r="R234" s="3">
        <v>1</v>
      </c>
      <c r="S234" s="5"/>
      <c r="T234" s="3" t="s">
        <v>125</v>
      </c>
      <c r="U234" s="119"/>
      <c r="V234" s="117"/>
    </row>
    <row r="235" spans="1:22" x14ac:dyDescent="0.25">
      <c r="B235" s="13" t="s">
        <v>26</v>
      </c>
      <c r="C235" s="32"/>
      <c r="D235" s="32"/>
      <c r="E235" s="32">
        <f>SUM(E226:E234)</f>
        <v>11</v>
      </c>
      <c r="G235" s="53"/>
      <c r="I235" s="57"/>
      <c r="J235" s="57"/>
      <c r="K235" s="57"/>
      <c r="L235" s="57"/>
      <c r="M235" s="57"/>
      <c r="O235" s="2" t="s">
        <v>26</v>
      </c>
      <c r="P235" s="1"/>
      <c r="Q235" s="1"/>
      <c r="R235" s="1">
        <f>SUM(R227:R234)</f>
        <v>11</v>
      </c>
      <c r="S235"/>
      <c r="T235" t="s">
        <v>284</v>
      </c>
      <c r="U235" s="119"/>
      <c r="V235" s="117"/>
    </row>
    <row r="236" spans="1:22" x14ac:dyDescent="0.25">
      <c r="I236" s="57"/>
      <c r="J236" s="57"/>
      <c r="K236" s="57"/>
      <c r="L236" s="57"/>
      <c r="M236" s="57"/>
      <c r="O236" s="2"/>
      <c r="P236" s="1"/>
      <c r="Q236" s="1"/>
      <c r="R236" s="1"/>
      <c r="S236"/>
      <c r="T236"/>
      <c r="U236" s="163"/>
      <c r="V236" s="117"/>
    </row>
    <row r="237" spans="1:22" x14ac:dyDescent="0.25">
      <c r="I237" s="57"/>
      <c r="J237" s="57"/>
      <c r="K237" s="57"/>
      <c r="L237" s="57"/>
      <c r="M237" s="57"/>
      <c r="O237" s="117"/>
      <c r="P237" s="117"/>
      <c r="Q237" s="117"/>
      <c r="R237" s="117"/>
      <c r="S237" s="117"/>
      <c r="T237" s="117"/>
      <c r="U237" s="163"/>
      <c r="V237" s="117"/>
    </row>
    <row r="238" spans="1:22" x14ac:dyDescent="0.25">
      <c r="B238" s="13" t="s">
        <v>159</v>
      </c>
      <c r="C238" s="13" t="s">
        <v>11</v>
      </c>
      <c r="D238" s="13" t="s">
        <v>12</v>
      </c>
      <c r="E238" s="13" t="s">
        <v>13</v>
      </c>
      <c r="F238" s="13" t="s">
        <v>14</v>
      </c>
      <c r="G238" s="20" t="s">
        <v>0</v>
      </c>
      <c r="H238" s="22"/>
      <c r="I238" s="57"/>
      <c r="J238" s="57"/>
      <c r="K238" s="57"/>
      <c r="L238" s="57"/>
      <c r="M238" s="57"/>
      <c r="N238" s="15"/>
      <c r="O238" s="13" t="s">
        <v>159</v>
      </c>
      <c r="P238" s="13" t="s">
        <v>11</v>
      </c>
      <c r="Q238" s="13" t="s">
        <v>12</v>
      </c>
      <c r="R238" s="13" t="s">
        <v>13</v>
      </c>
      <c r="S238" s="13" t="s">
        <v>14</v>
      </c>
      <c r="T238" s="20" t="s">
        <v>0</v>
      </c>
      <c r="U238" s="57"/>
      <c r="V238" s="117"/>
    </row>
    <row r="239" spans="1:22" x14ac:dyDescent="0.25">
      <c r="A239" s="53">
        <v>16</v>
      </c>
      <c r="B239" s="14" t="s">
        <v>2</v>
      </c>
      <c r="C239" s="33"/>
      <c r="D239" s="25"/>
      <c r="E239" s="14"/>
      <c r="F239" s="24"/>
      <c r="G239" s="21"/>
      <c r="H239" s="22"/>
      <c r="I239" s="57"/>
      <c r="J239" s="57"/>
      <c r="K239" s="57"/>
      <c r="L239" s="57"/>
      <c r="M239" s="57"/>
      <c r="N239" s="53">
        <v>16</v>
      </c>
      <c r="O239" s="14" t="s">
        <v>2</v>
      </c>
      <c r="P239" s="33"/>
      <c r="Q239" s="25"/>
      <c r="R239" s="14"/>
      <c r="S239" s="24"/>
      <c r="T239" s="21"/>
      <c r="U239" s="57"/>
      <c r="V239" s="117"/>
    </row>
    <row r="240" spans="1:22" x14ac:dyDescent="0.25">
      <c r="A240" s="53">
        <v>17</v>
      </c>
      <c r="B240" s="14" t="s">
        <v>3</v>
      </c>
      <c r="C240" s="26"/>
      <c r="D240" s="26"/>
      <c r="G240" s="22"/>
      <c r="H240" s="22"/>
      <c r="I240" s="57"/>
      <c r="J240" s="57"/>
      <c r="K240" s="57"/>
      <c r="L240" s="57"/>
      <c r="M240" s="57"/>
      <c r="N240" s="53">
        <v>17</v>
      </c>
      <c r="O240" s="14" t="s">
        <v>3</v>
      </c>
      <c r="P240" s="26"/>
      <c r="Q240" s="26"/>
      <c r="T240" s="22"/>
      <c r="U240" s="57"/>
      <c r="V240" s="154"/>
    </row>
    <row r="241" spans="1:22" x14ac:dyDescent="0.25">
      <c r="A241" s="53">
        <v>18</v>
      </c>
      <c r="B241" s="14" t="s">
        <v>4</v>
      </c>
      <c r="C241" s="26"/>
      <c r="D241" s="26"/>
      <c r="G241" s="21"/>
      <c r="H241" s="22"/>
      <c r="I241" s="57"/>
      <c r="J241" s="57"/>
      <c r="K241" s="57"/>
      <c r="L241" s="57"/>
      <c r="M241" s="57"/>
      <c r="N241" s="53">
        <v>18</v>
      </c>
      <c r="O241" s="14" t="s">
        <v>4</v>
      </c>
      <c r="P241" s="26"/>
      <c r="Q241" s="26"/>
      <c r="T241" s="21"/>
      <c r="U241" s="57"/>
      <c r="V241" s="117"/>
    </row>
    <row r="242" spans="1:22" x14ac:dyDescent="0.25">
      <c r="A242" s="32">
        <v>19</v>
      </c>
      <c r="B242" s="14" t="s">
        <v>5</v>
      </c>
      <c r="C242" s="15" t="s">
        <v>297</v>
      </c>
      <c r="D242" s="15" t="s">
        <v>295</v>
      </c>
      <c r="E242" s="15">
        <v>0.5</v>
      </c>
      <c r="F242" s="24"/>
      <c r="G242" s="21" t="s">
        <v>298</v>
      </c>
      <c r="H242" s="22"/>
      <c r="I242" s="57"/>
      <c r="J242" s="57"/>
      <c r="K242" s="57"/>
      <c r="L242" s="57"/>
      <c r="M242" s="57"/>
      <c r="N242" s="32">
        <v>19</v>
      </c>
      <c r="O242" s="14" t="s">
        <v>5</v>
      </c>
      <c r="P242" s="15" t="s">
        <v>297</v>
      </c>
      <c r="Q242" s="15" t="s">
        <v>295</v>
      </c>
      <c r="R242" s="15">
        <v>0.5</v>
      </c>
      <c r="S242" s="24"/>
      <c r="T242" s="21" t="s">
        <v>298</v>
      </c>
      <c r="U242" s="57"/>
      <c r="V242" s="117"/>
    </row>
    <row r="243" spans="1:22" x14ac:dyDescent="0.25">
      <c r="A243" s="32"/>
      <c r="B243" s="14"/>
      <c r="C243" s="25" t="s">
        <v>295</v>
      </c>
      <c r="D243" s="25" t="s">
        <v>296</v>
      </c>
      <c r="E243" s="14">
        <v>2</v>
      </c>
      <c r="F243" s="24"/>
      <c r="G243" s="21" t="s">
        <v>146</v>
      </c>
      <c r="H243" s="22"/>
      <c r="I243" s="57"/>
      <c r="J243" s="57"/>
      <c r="K243" s="57"/>
      <c r="L243" s="57"/>
      <c r="M243" s="57"/>
      <c r="N243" s="32"/>
      <c r="O243" s="14"/>
      <c r="P243" s="25" t="s">
        <v>295</v>
      </c>
      <c r="Q243" s="25" t="s">
        <v>296</v>
      </c>
      <c r="R243" s="14">
        <v>2</v>
      </c>
      <c r="S243" s="24"/>
      <c r="T243" s="21" t="s">
        <v>146</v>
      </c>
      <c r="U243" s="57"/>
      <c r="V243" s="154"/>
    </row>
    <row r="244" spans="1:22" x14ac:dyDescent="0.25">
      <c r="A244" s="32">
        <v>20</v>
      </c>
      <c r="B244" s="14" t="s">
        <v>6</v>
      </c>
      <c r="C244" s="42"/>
      <c r="D244" s="42"/>
      <c r="E244" s="14"/>
      <c r="G244" s="23"/>
      <c r="H244" s="22"/>
      <c r="I244" s="57"/>
      <c r="J244" s="57"/>
      <c r="K244" s="57"/>
      <c r="L244" s="57"/>
      <c r="M244" s="57"/>
      <c r="N244" s="32">
        <v>20</v>
      </c>
      <c r="O244" s="14" t="s">
        <v>6</v>
      </c>
      <c r="P244" s="42"/>
      <c r="Q244" s="42"/>
      <c r="R244" s="14"/>
      <c r="T244" s="23"/>
      <c r="U244" s="57"/>
      <c r="V244" s="154"/>
    </row>
    <row r="245" spans="1:22" x14ac:dyDescent="0.25">
      <c r="A245" s="32">
        <v>21</v>
      </c>
      <c r="B245" s="14" t="s">
        <v>7</v>
      </c>
      <c r="C245" s="42"/>
      <c r="D245" s="42"/>
      <c r="E245" s="14"/>
      <c r="F245" s="24"/>
      <c r="G245" s="21"/>
      <c r="H245" s="22"/>
      <c r="I245" s="57"/>
      <c r="J245" s="57"/>
      <c r="K245" s="57"/>
      <c r="L245" s="57"/>
      <c r="M245" s="57"/>
      <c r="N245" s="32">
        <v>21</v>
      </c>
      <c r="O245" s="14" t="s">
        <v>7</v>
      </c>
      <c r="P245" s="42"/>
      <c r="Q245" s="42"/>
      <c r="R245" s="14"/>
      <c r="S245" s="24"/>
      <c r="T245" s="21"/>
      <c r="U245" s="57"/>
      <c r="V245" s="117"/>
    </row>
    <row r="246" spans="1:22" x14ac:dyDescent="0.25">
      <c r="A246" s="32">
        <v>22</v>
      </c>
      <c r="B246" s="14" t="s">
        <v>8</v>
      </c>
      <c r="C246" s="25"/>
      <c r="D246" s="25"/>
      <c r="E246" s="14"/>
      <c r="F246" s="24"/>
      <c r="G246" s="21"/>
      <c r="H246" s="22"/>
      <c r="I246" s="57"/>
      <c r="J246" s="57"/>
      <c r="K246" s="57"/>
      <c r="L246" s="57"/>
      <c r="M246" s="57"/>
      <c r="N246" s="32">
        <v>22</v>
      </c>
      <c r="O246" s="14" t="s">
        <v>8</v>
      </c>
      <c r="P246" s="25"/>
      <c r="Q246" s="25"/>
      <c r="R246" s="14"/>
      <c r="S246" s="24"/>
      <c r="T246" s="21"/>
      <c r="U246" s="57"/>
      <c r="V246" s="117"/>
    </row>
    <row r="247" spans="1:22" x14ac:dyDescent="0.25">
      <c r="B247" s="13" t="s">
        <v>26</v>
      </c>
      <c r="C247" s="32"/>
      <c r="D247" s="32"/>
      <c r="E247" s="32">
        <f>SUM(E238:E246)</f>
        <v>2.5</v>
      </c>
      <c r="F247" s="115" t="s">
        <v>393</v>
      </c>
      <c r="G247" s="145" t="s">
        <v>397</v>
      </c>
      <c r="H247" s="229"/>
      <c r="I247" s="57"/>
      <c r="J247" s="57"/>
      <c r="K247" s="57"/>
      <c r="L247" s="57"/>
      <c r="M247" s="57"/>
      <c r="N247" s="15"/>
      <c r="O247" s="13" t="s">
        <v>26</v>
      </c>
      <c r="P247" s="32"/>
      <c r="Q247" s="32"/>
      <c r="R247" s="32">
        <f>SUM(R238:R246)</f>
        <v>2.5</v>
      </c>
      <c r="T247" s="145" t="s">
        <v>299</v>
      </c>
      <c r="U247" s="57"/>
      <c r="V247" s="117"/>
    </row>
    <row r="248" spans="1:22" ht="30" x14ac:dyDescent="0.25">
      <c r="A248" s="61" t="s">
        <v>396</v>
      </c>
      <c r="B248" s="35" t="s">
        <v>227</v>
      </c>
      <c r="C248" s="60"/>
      <c r="D248" s="61" t="s">
        <v>396</v>
      </c>
      <c r="E248" s="35">
        <f>SUM(E227:E234,E239:E246)</f>
        <v>13.5</v>
      </c>
      <c r="F248" s="334" t="s">
        <v>398</v>
      </c>
      <c r="G248" s="330">
        <f>SUM(G205+E248)</f>
        <v>-2.5</v>
      </c>
      <c r="H248" s="221" t="s">
        <v>421</v>
      </c>
      <c r="I248" s="57"/>
      <c r="J248" s="57"/>
      <c r="K248" s="57"/>
      <c r="L248" s="57"/>
      <c r="M248" s="57"/>
      <c r="N248" s="15"/>
      <c r="O248" s="35" t="s">
        <v>227</v>
      </c>
      <c r="P248" s="60"/>
      <c r="Q248" s="61"/>
      <c r="R248" s="35"/>
      <c r="S248" s="115">
        <v>10</v>
      </c>
      <c r="T248" s="144" t="s">
        <v>300</v>
      </c>
      <c r="U248" s="164" t="s">
        <v>103</v>
      </c>
      <c r="V248" s="117"/>
    </row>
    <row r="249" spans="1:22" ht="15.75" thickBot="1" x14ac:dyDescent="0.3">
      <c r="H249" s="22"/>
      <c r="I249" s="57"/>
      <c r="J249" s="57"/>
      <c r="K249" s="57"/>
      <c r="L249" s="57"/>
      <c r="M249" s="57"/>
      <c r="O249" s="22"/>
      <c r="P249" s="22"/>
      <c r="Q249" s="22"/>
      <c r="R249" s="22"/>
      <c r="S249" s="22"/>
      <c r="T249" s="22"/>
      <c r="U249" s="57"/>
      <c r="V249" s="117"/>
    </row>
    <row r="250" spans="1:22" ht="15.75" thickBot="1" x14ac:dyDescent="0.3">
      <c r="A250" s="539" t="s">
        <v>225</v>
      </c>
      <c r="B250" s="105" t="s">
        <v>224</v>
      </c>
      <c r="C250" s="104" t="s">
        <v>2</v>
      </c>
      <c r="D250" s="104" t="s">
        <v>3</v>
      </c>
      <c r="E250" s="104" t="s">
        <v>4</v>
      </c>
      <c r="F250" s="104" t="s">
        <v>5</v>
      </c>
      <c r="G250" s="104" t="s">
        <v>6</v>
      </c>
      <c r="H250" s="104" t="s">
        <v>7</v>
      </c>
      <c r="I250" s="104" t="s">
        <v>8</v>
      </c>
      <c r="J250" s="103" t="s">
        <v>197</v>
      </c>
      <c r="L250" s="57"/>
      <c r="M250" s="57"/>
      <c r="N250" s="15"/>
      <c r="U250" s="57"/>
      <c r="V250"/>
    </row>
    <row r="251" spans="1:22" x14ac:dyDescent="0.25">
      <c r="A251" s="539"/>
      <c r="B251" s="569" t="s">
        <v>207</v>
      </c>
      <c r="C251" s="102"/>
      <c r="D251" s="15">
        <v>4</v>
      </c>
      <c r="G251" s="15">
        <v>4</v>
      </c>
      <c r="H251" s="101"/>
      <c r="I251" s="101"/>
      <c r="J251" s="89">
        <f>SUM(C251:I251)</f>
        <v>8</v>
      </c>
      <c r="K251" s="599" t="s">
        <v>223</v>
      </c>
      <c r="L251" s="57"/>
      <c r="M251" s="57"/>
      <c r="N251" s="15"/>
      <c r="O251" s="13" t="s">
        <v>160</v>
      </c>
      <c r="P251" s="13" t="s">
        <v>11</v>
      </c>
      <c r="Q251" s="13" t="s">
        <v>12</v>
      </c>
      <c r="R251" s="13" t="s">
        <v>13</v>
      </c>
      <c r="S251" s="13" t="s">
        <v>14</v>
      </c>
      <c r="T251" s="13" t="s">
        <v>0</v>
      </c>
      <c r="U251" s="57"/>
      <c r="V251"/>
    </row>
    <row r="252" spans="1:22" x14ac:dyDescent="0.25">
      <c r="A252" s="539"/>
      <c r="B252" s="541"/>
      <c r="C252" s="545" t="s">
        <v>205</v>
      </c>
      <c r="D252" s="546"/>
      <c r="E252" s="546"/>
      <c r="F252" s="546"/>
      <c r="G252" s="546"/>
      <c r="H252" s="100"/>
      <c r="I252" s="100"/>
      <c r="J252" s="95"/>
      <c r="K252" s="599"/>
      <c r="L252" s="57"/>
      <c r="M252" s="57"/>
      <c r="N252" s="32">
        <v>23</v>
      </c>
      <c r="O252" s="14" t="s">
        <v>2</v>
      </c>
      <c r="P252" s="33"/>
      <c r="Q252" s="25"/>
      <c r="R252" s="14"/>
      <c r="S252" s="24"/>
      <c r="T252" s="14"/>
      <c r="U252" s="57"/>
      <c r="V252"/>
    </row>
    <row r="253" spans="1:22" x14ac:dyDescent="0.25">
      <c r="A253" s="539"/>
      <c r="B253" s="535" t="s">
        <v>9</v>
      </c>
      <c r="C253" s="99">
        <v>2</v>
      </c>
      <c r="D253" s="99">
        <v>4</v>
      </c>
      <c r="E253" s="533" t="s">
        <v>200</v>
      </c>
      <c r="F253" s="87">
        <v>7</v>
      </c>
      <c r="G253" s="99">
        <v>2</v>
      </c>
      <c r="H253" s="86"/>
      <c r="I253" s="548"/>
      <c r="J253" s="89">
        <f>SUM(C253:I253)</f>
        <v>15</v>
      </c>
      <c r="K253" s="599"/>
      <c r="L253" s="57"/>
      <c r="M253" s="57"/>
      <c r="N253" s="32">
        <v>24</v>
      </c>
      <c r="O253" s="14" t="s">
        <v>3</v>
      </c>
      <c r="P253" s="26"/>
      <c r="Q253" s="26"/>
      <c r="U253" s="57"/>
      <c r="V253"/>
    </row>
    <row r="254" spans="1:22" ht="30" x14ac:dyDescent="0.25">
      <c r="A254" s="539"/>
      <c r="B254" s="547"/>
      <c r="C254" s="550" t="s">
        <v>203</v>
      </c>
      <c r="D254" s="551"/>
      <c r="E254" s="534"/>
      <c r="F254" s="98" t="s">
        <v>204</v>
      </c>
      <c r="G254" s="97" t="s">
        <v>203</v>
      </c>
      <c r="H254" s="96"/>
      <c r="I254" s="549"/>
      <c r="J254" s="95"/>
      <c r="K254" s="599"/>
      <c r="L254" s="57"/>
      <c r="M254" s="57"/>
      <c r="N254" s="32">
        <v>25</v>
      </c>
      <c r="O254" s="14" t="s">
        <v>4</v>
      </c>
      <c r="P254" s="26"/>
      <c r="Q254" s="26"/>
      <c r="T254" s="14"/>
      <c r="U254" s="57"/>
      <c r="V254"/>
    </row>
    <row r="255" spans="1:22" x14ac:dyDescent="0.25">
      <c r="A255" s="539"/>
      <c r="B255" s="535" t="s">
        <v>202</v>
      </c>
      <c r="C255" s="533" t="s">
        <v>200</v>
      </c>
      <c r="D255" s="533" t="s">
        <v>200</v>
      </c>
      <c r="E255" s="533" t="s">
        <v>200</v>
      </c>
      <c r="F255" s="533" t="s">
        <v>200</v>
      </c>
      <c r="G255" s="533" t="s">
        <v>200</v>
      </c>
      <c r="H255" s="562" t="s">
        <v>222</v>
      </c>
      <c r="I255" s="563"/>
      <c r="J255" s="89">
        <v>5</v>
      </c>
      <c r="K255" s="599"/>
      <c r="L255" s="57"/>
      <c r="M255" s="57"/>
      <c r="N255" s="32">
        <v>26</v>
      </c>
      <c r="O255" s="14" t="s">
        <v>5</v>
      </c>
      <c r="P255" s="25"/>
      <c r="Q255" s="25"/>
      <c r="R255" s="14"/>
      <c r="S255" s="24"/>
      <c r="T255" s="14"/>
      <c r="U255" s="57"/>
    </row>
    <row r="256" spans="1:22" x14ac:dyDescent="0.25">
      <c r="A256" s="539"/>
      <c r="B256" s="547"/>
      <c r="C256" s="534"/>
      <c r="D256" s="534"/>
      <c r="E256" s="534"/>
      <c r="F256" s="534"/>
      <c r="G256" s="534"/>
      <c r="H256" s="558"/>
      <c r="I256" s="559"/>
      <c r="J256" s="95"/>
      <c r="K256" s="599"/>
      <c r="L256" s="57"/>
      <c r="M256" s="57"/>
      <c r="N256" s="32">
        <v>27</v>
      </c>
      <c r="O256" s="14" t="s">
        <v>6</v>
      </c>
      <c r="P256" s="42"/>
      <c r="Q256" s="42"/>
      <c r="R256" s="14"/>
      <c r="T256" s="24"/>
      <c r="U256" s="57"/>
    </row>
    <row r="257" spans="1:21" x14ac:dyDescent="0.25">
      <c r="A257" s="539"/>
      <c r="B257" s="535" t="s">
        <v>1</v>
      </c>
      <c r="C257" s="600" t="s">
        <v>200</v>
      </c>
      <c r="D257" s="600" t="s">
        <v>200</v>
      </c>
      <c r="E257" s="600" t="s">
        <v>200</v>
      </c>
      <c r="F257" s="109">
        <v>2</v>
      </c>
      <c r="G257" s="600" t="s">
        <v>200</v>
      </c>
      <c r="H257" s="528"/>
      <c r="I257" s="528"/>
      <c r="J257" s="89">
        <f>SUM(C257:I257)</f>
        <v>2</v>
      </c>
      <c r="K257" s="599"/>
      <c r="L257" s="57"/>
      <c r="M257" s="57"/>
      <c r="N257" s="32">
        <v>28</v>
      </c>
      <c r="O257" s="14" t="s">
        <v>7</v>
      </c>
      <c r="P257" s="42"/>
      <c r="Q257" s="42"/>
      <c r="R257" s="14"/>
      <c r="S257" s="24"/>
      <c r="T257" s="14"/>
      <c r="U257" s="57"/>
    </row>
    <row r="258" spans="1:21" ht="15.75" thickBot="1" x14ac:dyDescent="0.3">
      <c r="A258" s="539"/>
      <c r="B258" s="536"/>
      <c r="C258" s="601"/>
      <c r="D258" s="601"/>
      <c r="E258" s="601"/>
      <c r="F258" s="108" t="s">
        <v>146</v>
      </c>
      <c r="G258" s="601"/>
      <c r="H258" s="529"/>
      <c r="I258" s="529"/>
      <c r="J258" s="95"/>
      <c r="K258" s="599"/>
      <c r="L258" s="57"/>
      <c r="M258" s="57"/>
      <c r="N258" s="32">
        <v>29</v>
      </c>
      <c r="O258" s="14" t="s">
        <v>8</v>
      </c>
      <c r="P258" s="25"/>
      <c r="Q258" s="25"/>
      <c r="R258" s="14"/>
      <c r="S258" s="24"/>
      <c r="T258" s="14"/>
      <c r="U258" s="57"/>
    </row>
    <row r="259" spans="1:21" ht="15.75" thickBot="1" x14ac:dyDescent="0.3">
      <c r="A259" s="539"/>
      <c r="B259" s="91" t="s">
        <v>198</v>
      </c>
      <c r="C259" s="90"/>
      <c r="D259" s="90"/>
      <c r="E259" s="90"/>
      <c r="F259" s="90"/>
      <c r="G259" s="90"/>
      <c r="H259" s="90"/>
      <c r="I259" s="90"/>
      <c r="J259" s="89">
        <f>SUM(C259:I259)</f>
        <v>0</v>
      </c>
      <c r="K259" s="599"/>
      <c r="M259" s="57"/>
      <c r="N259" s="32"/>
      <c r="O259" s="13" t="s">
        <v>26</v>
      </c>
      <c r="P259" s="32"/>
      <c r="Q259" s="32"/>
      <c r="R259" s="32">
        <f>SUM(R251:R258)</f>
        <v>0</v>
      </c>
      <c r="U259" s="57"/>
    </row>
    <row r="260" spans="1:21" ht="15.75" thickBot="1" x14ac:dyDescent="0.3">
      <c r="A260" s="84"/>
      <c r="B260" s="88" t="s">
        <v>197</v>
      </c>
      <c r="C260" s="87">
        <v>2</v>
      </c>
      <c r="D260" s="87">
        <v>4</v>
      </c>
      <c r="E260" s="87">
        <v>2</v>
      </c>
      <c r="F260" s="87">
        <v>7</v>
      </c>
      <c r="G260" s="87">
        <v>4</v>
      </c>
      <c r="H260" s="86"/>
      <c r="I260" s="86"/>
      <c r="J260" s="85">
        <f>SUM(J251:J259)</f>
        <v>30</v>
      </c>
      <c r="K260" s="75"/>
      <c r="M260" s="57"/>
      <c r="N260" s="15"/>
      <c r="O260" s="2"/>
      <c r="P260" s="2"/>
      <c r="Q260" s="2"/>
      <c r="R260" s="2"/>
      <c r="S260" s="2"/>
      <c r="T260" s="2"/>
      <c r="U260" s="119"/>
    </row>
    <row r="261" spans="1:21" x14ac:dyDescent="0.25">
      <c r="M261" s="57"/>
      <c r="N261" s="15"/>
      <c r="U261" s="163"/>
    </row>
    <row r="262" spans="1:21" ht="15.75" thickBot="1" x14ac:dyDescent="0.3">
      <c r="M262" s="57"/>
      <c r="N262" s="15"/>
      <c r="U262" s="163"/>
    </row>
    <row r="263" spans="1:21" ht="15.75" thickBot="1" x14ac:dyDescent="0.3">
      <c r="A263" s="539" t="s">
        <v>221</v>
      </c>
      <c r="B263" s="105" t="s">
        <v>220</v>
      </c>
      <c r="C263" s="104" t="s">
        <v>2</v>
      </c>
      <c r="D263" s="104" t="s">
        <v>3</v>
      </c>
      <c r="E263" s="104" t="s">
        <v>4</v>
      </c>
      <c r="F263" s="104" t="s">
        <v>5</v>
      </c>
      <c r="G263" s="104" t="s">
        <v>6</v>
      </c>
      <c r="H263" s="104" t="s">
        <v>7</v>
      </c>
      <c r="I263" s="104" t="s">
        <v>8</v>
      </c>
      <c r="J263" s="103" t="s">
        <v>197</v>
      </c>
      <c r="M263" s="57"/>
      <c r="N263" s="15"/>
      <c r="U263" s="163"/>
    </row>
    <row r="264" spans="1:21" x14ac:dyDescent="0.25">
      <c r="A264" s="539"/>
      <c r="B264" s="540" t="s">
        <v>207</v>
      </c>
      <c r="C264" s="102"/>
      <c r="D264" s="15">
        <v>4</v>
      </c>
      <c r="G264" s="15">
        <v>4</v>
      </c>
      <c r="H264" s="101"/>
      <c r="I264" s="101"/>
      <c r="J264" s="89">
        <f>SUM(C264:I264)</f>
        <v>8</v>
      </c>
      <c r="K264" s="599" t="s">
        <v>219</v>
      </c>
      <c r="M264" s="57"/>
      <c r="N264" s="15"/>
      <c r="U264" s="163"/>
    </row>
    <row r="265" spans="1:21" x14ac:dyDescent="0.25">
      <c r="A265" s="539"/>
      <c r="B265" s="541"/>
      <c r="C265" s="545" t="s">
        <v>205</v>
      </c>
      <c r="D265" s="546"/>
      <c r="E265" s="546"/>
      <c r="F265" s="546"/>
      <c r="G265" s="546"/>
      <c r="H265" s="100"/>
      <c r="I265" s="100"/>
      <c r="J265" s="95"/>
      <c r="K265" s="599"/>
      <c r="L265" s="22"/>
      <c r="M265" s="57"/>
      <c r="N265" s="15"/>
      <c r="O265" s="2" t="s">
        <v>162</v>
      </c>
      <c r="P265" s="2" t="s">
        <v>11</v>
      </c>
      <c r="Q265" s="2" t="s">
        <v>12</v>
      </c>
      <c r="R265" s="2" t="s">
        <v>13</v>
      </c>
      <c r="S265" s="2" t="s">
        <v>14</v>
      </c>
      <c r="T265" s="2" t="s">
        <v>0</v>
      </c>
      <c r="U265" s="163"/>
    </row>
    <row r="266" spans="1:21" x14ac:dyDescent="0.25">
      <c r="A266" s="539"/>
      <c r="B266" s="535" t="s">
        <v>9</v>
      </c>
      <c r="C266" s="99">
        <v>2</v>
      </c>
      <c r="D266" s="99">
        <v>4</v>
      </c>
      <c r="E266" s="533" t="s">
        <v>200</v>
      </c>
      <c r="F266" s="87">
        <v>7</v>
      </c>
      <c r="G266" s="99">
        <v>2</v>
      </c>
      <c r="H266" s="86"/>
      <c r="I266" s="548"/>
      <c r="J266" s="89">
        <f>SUM(C266:I266)</f>
        <v>15</v>
      </c>
      <c r="K266" s="599"/>
      <c r="L266" s="22"/>
      <c r="M266" s="57"/>
      <c r="N266" s="32">
        <v>30</v>
      </c>
      <c r="O266" s="3" t="s">
        <v>2</v>
      </c>
      <c r="P266" s="6"/>
      <c r="Q266" s="4"/>
      <c r="R266" s="3"/>
      <c r="S266" s="5"/>
      <c r="T266" s="3"/>
      <c r="U266" s="163"/>
    </row>
    <row r="267" spans="1:21" ht="30" x14ac:dyDescent="0.25">
      <c r="A267" s="539"/>
      <c r="B267" s="547"/>
      <c r="C267" s="550" t="s">
        <v>203</v>
      </c>
      <c r="D267" s="551"/>
      <c r="E267" s="534"/>
      <c r="F267" s="98" t="s">
        <v>204</v>
      </c>
      <c r="G267" s="97" t="s">
        <v>203</v>
      </c>
      <c r="H267" s="96"/>
      <c r="I267" s="549"/>
      <c r="J267" s="95"/>
      <c r="K267" s="599"/>
      <c r="L267" s="22"/>
      <c r="M267" s="57"/>
      <c r="N267" s="32">
        <v>31</v>
      </c>
      <c r="O267" s="3" t="s">
        <v>3</v>
      </c>
      <c r="P267" s="7"/>
      <c r="Q267" s="7"/>
      <c r="R267"/>
      <c r="S267"/>
      <c r="T267"/>
      <c r="U267" s="163"/>
    </row>
    <row r="268" spans="1:21" x14ac:dyDescent="0.25">
      <c r="A268" s="539"/>
      <c r="B268" s="535" t="s">
        <v>202</v>
      </c>
      <c r="C268" s="533" t="s">
        <v>200</v>
      </c>
      <c r="D268" s="533" t="s">
        <v>200</v>
      </c>
      <c r="E268" s="533" t="s">
        <v>200</v>
      </c>
      <c r="F268" s="533" t="s">
        <v>200</v>
      </c>
      <c r="G268" s="533" t="s">
        <v>200</v>
      </c>
      <c r="H268" s="562" t="s">
        <v>218</v>
      </c>
      <c r="I268" s="563"/>
      <c r="J268" s="89">
        <v>2</v>
      </c>
      <c r="K268" s="599"/>
      <c r="L268" s="22"/>
      <c r="M268" s="57"/>
      <c r="N268" s="32">
        <v>1</v>
      </c>
      <c r="O268" s="3" t="s">
        <v>4</v>
      </c>
      <c r="P268" s="7"/>
      <c r="Q268" s="7"/>
      <c r="R268"/>
      <c r="S268"/>
      <c r="T268" s="3"/>
      <c r="U268" s="119"/>
    </row>
    <row r="269" spans="1:21" x14ac:dyDescent="0.25">
      <c r="A269" s="539"/>
      <c r="B269" s="547"/>
      <c r="C269" s="534"/>
      <c r="D269" s="534"/>
      <c r="E269" s="534"/>
      <c r="F269" s="534"/>
      <c r="G269" s="534"/>
      <c r="H269" s="558"/>
      <c r="I269" s="559"/>
      <c r="J269" s="95"/>
      <c r="K269" s="599"/>
      <c r="L269" s="22"/>
      <c r="M269" s="57"/>
      <c r="N269" s="32">
        <v>2</v>
      </c>
      <c r="O269" s="3" t="s">
        <v>5</v>
      </c>
      <c r="P269" s="4"/>
      <c r="Q269" s="4"/>
      <c r="R269" s="3"/>
      <c r="S269" s="5"/>
      <c r="T269" s="3"/>
      <c r="U269" s="119"/>
    </row>
    <row r="270" spans="1:21" x14ac:dyDescent="0.25">
      <c r="A270" s="539"/>
      <c r="B270" s="112" t="s">
        <v>217</v>
      </c>
      <c r="C270" s="111"/>
      <c r="D270" s="111"/>
      <c r="E270" s="111"/>
      <c r="F270" s="109">
        <v>2</v>
      </c>
      <c r="G270" s="111"/>
      <c r="H270" s="110"/>
      <c r="I270" s="110"/>
      <c r="J270" s="110">
        <v>2</v>
      </c>
      <c r="K270" s="599"/>
      <c r="L270" s="22"/>
      <c r="M270" s="57"/>
      <c r="N270" s="32">
        <v>3</v>
      </c>
      <c r="O270" s="3" t="s">
        <v>6</v>
      </c>
      <c r="P270" s="8"/>
      <c r="Q270" s="8"/>
      <c r="R270" s="3"/>
      <c r="S270"/>
      <c r="T270" s="5"/>
      <c r="U270" s="119"/>
    </row>
    <row r="271" spans="1:21" x14ac:dyDescent="0.25">
      <c r="A271" s="539"/>
      <c r="B271" s="112"/>
      <c r="C271" s="111"/>
      <c r="D271" s="111"/>
      <c r="E271" s="111"/>
      <c r="F271" s="108" t="s">
        <v>146</v>
      </c>
      <c r="G271" s="111"/>
      <c r="H271" s="110"/>
      <c r="I271" s="110"/>
      <c r="J271" s="110"/>
      <c r="K271" s="599"/>
      <c r="L271" s="22"/>
      <c r="M271" s="57"/>
      <c r="N271" s="32">
        <v>4</v>
      </c>
      <c r="O271" s="3" t="s">
        <v>7</v>
      </c>
      <c r="P271" s="8"/>
      <c r="Q271" s="8"/>
      <c r="R271" s="3"/>
      <c r="S271" s="5"/>
      <c r="T271" s="3"/>
      <c r="U271" s="119"/>
    </row>
    <row r="272" spans="1:21" x14ac:dyDescent="0.25">
      <c r="A272" s="539"/>
      <c r="B272" s="535" t="s">
        <v>1</v>
      </c>
      <c r="C272" s="604" t="s">
        <v>200</v>
      </c>
      <c r="D272" s="604" t="s">
        <v>200</v>
      </c>
      <c r="E272" s="604" t="s">
        <v>200</v>
      </c>
      <c r="F272" s="109">
        <v>2</v>
      </c>
      <c r="G272" s="604" t="s">
        <v>200</v>
      </c>
      <c r="H272" s="528"/>
      <c r="I272" s="528"/>
      <c r="J272" s="89">
        <f>SUM(C272:I272)</f>
        <v>2</v>
      </c>
      <c r="K272" s="599"/>
      <c r="L272" s="22"/>
      <c r="M272" s="57"/>
      <c r="N272" s="32">
        <v>5</v>
      </c>
      <c r="O272" s="3" t="s">
        <v>8</v>
      </c>
      <c r="P272" s="4"/>
      <c r="Q272" s="4"/>
      <c r="R272" s="3"/>
      <c r="S272" s="5"/>
      <c r="T272" s="3"/>
      <c r="U272" s="119"/>
    </row>
    <row r="273" spans="1:21" ht="15.75" thickBot="1" x14ac:dyDescent="0.3">
      <c r="A273" s="539"/>
      <c r="B273" s="536"/>
      <c r="C273" s="605"/>
      <c r="D273" s="605"/>
      <c r="E273" s="605"/>
      <c r="F273" s="108" t="s">
        <v>146</v>
      </c>
      <c r="G273" s="605"/>
      <c r="H273" s="529"/>
      <c r="I273" s="529"/>
      <c r="J273" s="95"/>
      <c r="K273" s="599"/>
      <c r="L273" s="22"/>
      <c r="M273" s="57"/>
      <c r="N273" s="15"/>
      <c r="O273" s="2" t="s">
        <v>26</v>
      </c>
      <c r="P273" s="1"/>
      <c r="Q273" s="1"/>
      <c r="R273" s="1"/>
      <c r="S273"/>
      <c r="T273"/>
      <c r="U273" s="163"/>
    </row>
    <row r="274" spans="1:21" ht="15.75" thickBot="1" x14ac:dyDescent="0.3">
      <c r="A274" s="539"/>
      <c r="B274" s="91" t="s">
        <v>198</v>
      </c>
      <c r="C274" s="90"/>
      <c r="D274" s="90"/>
      <c r="E274" s="90"/>
      <c r="F274" s="90"/>
      <c r="G274" s="90"/>
      <c r="H274" s="90"/>
      <c r="I274" s="90"/>
      <c r="J274" s="89">
        <f>SUM(C274:I274)</f>
        <v>0</v>
      </c>
      <c r="K274" s="599"/>
      <c r="L274" s="22"/>
      <c r="M274" s="57"/>
      <c r="N274" s="15"/>
      <c r="U274" s="163"/>
    </row>
    <row r="275" spans="1:21" ht="15.75" thickBot="1" x14ac:dyDescent="0.3">
      <c r="A275" s="84"/>
      <c r="B275" s="88" t="s">
        <v>197</v>
      </c>
      <c r="C275" s="87">
        <v>2</v>
      </c>
      <c r="D275" s="87">
        <v>4</v>
      </c>
      <c r="E275" s="87">
        <v>2</v>
      </c>
      <c r="F275" s="87">
        <v>7</v>
      </c>
      <c r="G275" s="87">
        <v>4</v>
      </c>
      <c r="H275" s="86"/>
      <c r="I275" s="86"/>
      <c r="J275" s="85">
        <f>SUM(J264:J274)</f>
        <v>29</v>
      </c>
      <c r="K275" s="75"/>
      <c r="L275" s="22"/>
      <c r="M275" s="57"/>
      <c r="N275" s="15"/>
      <c r="U275" s="163"/>
    </row>
    <row r="276" spans="1:21" x14ac:dyDescent="0.25">
      <c r="L276" s="22"/>
      <c r="M276" s="57"/>
      <c r="N276" s="15"/>
      <c r="U276" s="163"/>
    </row>
    <row r="277" spans="1:21" ht="15.75" thickBot="1" x14ac:dyDescent="0.3">
      <c r="L277" s="22"/>
      <c r="M277" s="57"/>
      <c r="N277" s="15"/>
      <c r="U277" s="163"/>
    </row>
    <row r="278" spans="1:21" ht="15.75" thickBot="1" x14ac:dyDescent="0.3">
      <c r="A278" s="539" t="s">
        <v>216</v>
      </c>
      <c r="B278" s="105" t="s">
        <v>215</v>
      </c>
      <c r="C278" s="104" t="s">
        <v>2</v>
      </c>
      <c r="D278" s="104" t="s">
        <v>3</v>
      </c>
      <c r="E278" s="104" t="s">
        <v>4</v>
      </c>
      <c r="F278" s="104" t="s">
        <v>5</v>
      </c>
      <c r="G278" s="104" t="s">
        <v>6</v>
      </c>
      <c r="H278" s="104" t="s">
        <v>7</v>
      </c>
      <c r="I278" s="104" t="s">
        <v>8</v>
      </c>
      <c r="J278" s="103" t="s">
        <v>197</v>
      </c>
      <c r="L278" s="22"/>
      <c r="M278" s="57"/>
      <c r="N278" s="15"/>
      <c r="U278" s="163"/>
    </row>
    <row r="279" spans="1:21" x14ac:dyDescent="0.25">
      <c r="A279" s="539"/>
      <c r="B279" s="540" t="s">
        <v>207</v>
      </c>
      <c r="C279" s="102"/>
      <c r="D279" s="15">
        <v>4</v>
      </c>
      <c r="G279" s="15">
        <v>4</v>
      </c>
      <c r="H279" s="101"/>
      <c r="I279" s="101"/>
      <c r="J279" s="89">
        <f>SUM(C279:I279)</f>
        <v>8</v>
      </c>
      <c r="K279" s="599" t="s">
        <v>214</v>
      </c>
      <c r="L279" s="22"/>
      <c r="M279" s="57"/>
      <c r="N279" s="15"/>
      <c r="O279" s="2" t="s">
        <v>161</v>
      </c>
      <c r="P279" s="2" t="s">
        <v>11</v>
      </c>
      <c r="Q279" s="2" t="s">
        <v>12</v>
      </c>
      <c r="R279" s="2" t="s">
        <v>13</v>
      </c>
      <c r="S279" s="2" t="s">
        <v>14</v>
      </c>
      <c r="T279" s="2" t="s">
        <v>0</v>
      </c>
      <c r="U279" s="163"/>
    </row>
    <row r="280" spans="1:21" s="22" customFormat="1" x14ac:dyDescent="0.25">
      <c r="A280" s="539"/>
      <c r="B280" s="541"/>
      <c r="C280" s="545" t="s">
        <v>205</v>
      </c>
      <c r="D280" s="546"/>
      <c r="E280" s="546"/>
      <c r="F280" s="546"/>
      <c r="G280" s="546"/>
      <c r="H280" s="100"/>
      <c r="I280" s="100"/>
      <c r="J280" s="95"/>
      <c r="K280" s="599"/>
      <c r="M280" s="57"/>
      <c r="N280" s="32">
        <v>6</v>
      </c>
      <c r="O280" s="3" t="s">
        <v>2</v>
      </c>
      <c r="P280" s="6"/>
      <c r="Q280" s="4"/>
      <c r="R280" s="3"/>
      <c r="S280" s="5"/>
      <c r="T280" s="3"/>
      <c r="U280" s="119"/>
    </row>
    <row r="281" spans="1:21" s="22" customFormat="1" x14ac:dyDescent="0.25">
      <c r="A281" s="539"/>
      <c r="B281" s="535" t="s">
        <v>9</v>
      </c>
      <c r="C281" s="107">
        <v>2</v>
      </c>
      <c r="D281" s="107">
        <v>4</v>
      </c>
      <c r="E281" s="533" t="s">
        <v>200</v>
      </c>
      <c r="F281" s="87">
        <v>7</v>
      </c>
      <c r="G281" s="107">
        <v>2</v>
      </c>
      <c r="H281" s="86"/>
      <c r="I281" s="548"/>
      <c r="J281" s="89">
        <f>SUM(C281:I281)</f>
        <v>15</v>
      </c>
      <c r="K281" s="599"/>
      <c r="M281" s="57"/>
      <c r="N281" s="32">
        <v>7</v>
      </c>
      <c r="O281" s="3" t="s">
        <v>3</v>
      </c>
      <c r="P281" s="7"/>
      <c r="Q281" s="7"/>
      <c r="R281"/>
      <c r="S281"/>
      <c r="T281"/>
      <c r="U281" s="119"/>
    </row>
    <row r="282" spans="1:21" s="22" customFormat="1" ht="30" x14ac:dyDescent="0.25">
      <c r="A282" s="539"/>
      <c r="B282" s="547"/>
      <c r="C282" s="602" t="s">
        <v>203</v>
      </c>
      <c r="D282" s="603"/>
      <c r="E282" s="534"/>
      <c r="F282" s="98" t="s">
        <v>204</v>
      </c>
      <c r="G282" s="106" t="s">
        <v>203</v>
      </c>
      <c r="H282" s="96"/>
      <c r="I282" s="549"/>
      <c r="J282" s="95"/>
      <c r="K282" s="599"/>
      <c r="M282" s="57"/>
      <c r="N282" s="32">
        <v>8</v>
      </c>
      <c r="O282" s="3" t="s">
        <v>4</v>
      </c>
      <c r="P282" s="7"/>
      <c r="Q282" s="7"/>
      <c r="R282"/>
      <c r="S282"/>
      <c r="T282" s="3"/>
      <c r="U282" s="119"/>
    </row>
    <row r="283" spans="1:21" s="22" customFormat="1" x14ac:dyDescent="0.25">
      <c r="A283" s="539"/>
      <c r="B283" s="535" t="s">
        <v>202</v>
      </c>
      <c r="C283" s="533" t="s">
        <v>200</v>
      </c>
      <c r="D283" s="533" t="s">
        <v>200</v>
      </c>
      <c r="E283" s="533" t="s">
        <v>200</v>
      </c>
      <c r="F283" s="533" t="s">
        <v>200</v>
      </c>
      <c r="G283" s="533" t="s">
        <v>200</v>
      </c>
      <c r="H283" s="562" t="s">
        <v>201</v>
      </c>
      <c r="I283" s="563"/>
      <c r="J283" s="89">
        <f>SUM(C283:I283)</f>
        <v>0</v>
      </c>
      <c r="K283" s="599"/>
      <c r="M283" s="57"/>
      <c r="N283" s="32">
        <v>9</v>
      </c>
      <c r="O283" s="3" t="s">
        <v>5</v>
      </c>
      <c r="P283" s="4"/>
      <c r="Q283" s="4"/>
      <c r="R283" s="3"/>
      <c r="S283" s="5"/>
      <c r="T283" s="3"/>
      <c r="U283" s="163"/>
    </row>
    <row r="284" spans="1:21" s="22" customFormat="1" x14ac:dyDescent="0.25">
      <c r="A284" s="539"/>
      <c r="B284" s="547"/>
      <c r="C284" s="534"/>
      <c r="D284" s="534"/>
      <c r="E284" s="534"/>
      <c r="F284" s="534"/>
      <c r="G284" s="534"/>
      <c r="H284" s="558"/>
      <c r="I284" s="559"/>
      <c r="J284" s="95"/>
      <c r="K284" s="599"/>
      <c r="M284" s="57"/>
      <c r="N284" s="32">
        <v>10</v>
      </c>
      <c r="O284" s="3" t="s">
        <v>6</v>
      </c>
      <c r="P284" s="8"/>
      <c r="Q284" s="8"/>
      <c r="R284" s="3"/>
      <c r="S284"/>
      <c r="T284" s="5"/>
      <c r="U284" s="163"/>
    </row>
    <row r="285" spans="1:21" s="22" customFormat="1" x14ac:dyDescent="0.25">
      <c r="A285" s="539"/>
      <c r="B285" s="535" t="s">
        <v>1</v>
      </c>
      <c r="C285" s="604" t="s">
        <v>200</v>
      </c>
      <c r="D285" s="604" t="s">
        <v>200</v>
      </c>
      <c r="E285" s="604" t="s">
        <v>200</v>
      </c>
      <c r="F285" s="109">
        <v>2</v>
      </c>
      <c r="G285" s="604" t="s">
        <v>200</v>
      </c>
      <c r="H285" s="528"/>
      <c r="I285" s="528"/>
      <c r="J285" s="89">
        <f>SUM(C285:I285)</f>
        <v>2</v>
      </c>
      <c r="K285" s="599"/>
      <c r="M285" s="57"/>
      <c r="N285" s="32">
        <v>11</v>
      </c>
      <c r="O285" s="3" t="s">
        <v>7</v>
      </c>
      <c r="P285" s="8"/>
      <c r="Q285" s="8"/>
      <c r="R285" s="3"/>
      <c r="S285" s="5"/>
      <c r="T285" s="3"/>
      <c r="U285" s="163"/>
    </row>
    <row r="286" spans="1:21" s="22" customFormat="1" ht="15.75" thickBot="1" x14ac:dyDescent="0.3">
      <c r="A286" s="539"/>
      <c r="B286" s="536"/>
      <c r="C286" s="605"/>
      <c r="D286" s="605"/>
      <c r="E286" s="605"/>
      <c r="F286" s="108" t="s">
        <v>146</v>
      </c>
      <c r="G286" s="605"/>
      <c r="H286" s="529"/>
      <c r="I286" s="529"/>
      <c r="J286" s="95"/>
      <c r="K286" s="599"/>
      <c r="M286" s="57"/>
      <c r="N286" s="53">
        <v>12</v>
      </c>
      <c r="O286" s="130" t="s">
        <v>8</v>
      </c>
      <c r="P286" s="131"/>
      <c r="Q286" s="131"/>
      <c r="R286" s="130"/>
      <c r="S286" s="132"/>
      <c r="T286" s="130"/>
      <c r="U286" s="163"/>
    </row>
    <row r="287" spans="1:21" s="22" customFormat="1" ht="15.75" thickBot="1" x14ac:dyDescent="0.3">
      <c r="A287" s="539"/>
      <c r="B287" s="91" t="s">
        <v>198</v>
      </c>
      <c r="C287" s="90"/>
      <c r="D287" s="90"/>
      <c r="E287" s="90"/>
      <c r="F287" s="90"/>
      <c r="G287" s="90"/>
      <c r="H287" s="90"/>
      <c r="I287" s="90"/>
      <c r="J287" s="89">
        <f>SUM(C287:I287)</f>
        <v>0</v>
      </c>
      <c r="K287" s="599"/>
      <c r="M287" s="57"/>
      <c r="O287" s="129" t="s">
        <v>26</v>
      </c>
      <c r="P287" s="156"/>
      <c r="Q287" s="156"/>
      <c r="R287" s="156"/>
      <c r="S287" s="117"/>
      <c r="T287" s="117"/>
      <c r="U287" s="163"/>
    </row>
    <row r="288" spans="1:21" s="22" customFormat="1" ht="15.75" thickBot="1" x14ac:dyDescent="0.3">
      <c r="A288" s="84"/>
      <c r="B288" s="88" t="s">
        <v>197</v>
      </c>
      <c r="C288" s="87">
        <v>2</v>
      </c>
      <c r="D288" s="87">
        <v>4</v>
      </c>
      <c r="E288" s="87">
        <v>2</v>
      </c>
      <c r="F288" s="87">
        <v>7</v>
      </c>
      <c r="G288" s="87">
        <v>4</v>
      </c>
      <c r="H288" s="86"/>
      <c r="I288" s="86"/>
      <c r="J288" s="85">
        <f>SUM(J279:J287)</f>
        <v>25</v>
      </c>
      <c r="K288" s="75"/>
      <c r="M288" s="57"/>
      <c r="N288" s="15"/>
      <c r="O288"/>
      <c r="P288"/>
      <c r="Q288"/>
      <c r="R288"/>
      <c r="S288"/>
      <c r="T288"/>
      <c r="U288" s="163"/>
    </row>
    <row r="289" spans="1:21" s="22" customFormat="1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M289" s="57"/>
      <c r="N289" s="15"/>
      <c r="O289" s="15"/>
      <c r="P289" s="15"/>
      <c r="Q289" s="15"/>
      <c r="R289" s="15"/>
      <c r="S289" s="15"/>
      <c r="T289" s="15"/>
      <c r="U289" s="163"/>
    </row>
    <row r="290" spans="1:21" s="22" customFormat="1" ht="15.75" thickBo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M290" s="57"/>
      <c r="U290" s="119"/>
    </row>
    <row r="291" spans="1:21" s="22" customFormat="1" ht="15.75" thickBot="1" x14ac:dyDescent="0.3">
      <c r="A291" s="539" t="s">
        <v>213</v>
      </c>
      <c r="B291" s="105" t="s">
        <v>208</v>
      </c>
      <c r="C291" s="104" t="s">
        <v>2</v>
      </c>
      <c r="D291" s="104" t="s">
        <v>3</v>
      </c>
      <c r="E291" s="104" t="s">
        <v>4</v>
      </c>
      <c r="F291" s="104" t="s">
        <v>5</v>
      </c>
      <c r="G291" s="104" t="s">
        <v>6</v>
      </c>
      <c r="H291" s="104" t="s">
        <v>7</v>
      </c>
      <c r="I291" s="104" t="s">
        <v>8</v>
      </c>
      <c r="J291" s="103" t="s">
        <v>197</v>
      </c>
      <c r="K291" s="15"/>
      <c r="M291" s="57"/>
      <c r="U291" s="119"/>
    </row>
    <row r="292" spans="1:21" s="22" customFormat="1" x14ac:dyDescent="0.25">
      <c r="A292" s="539"/>
      <c r="B292" s="540" t="s">
        <v>207</v>
      </c>
      <c r="C292" s="102"/>
      <c r="D292" s="15">
        <v>4</v>
      </c>
      <c r="E292" s="15"/>
      <c r="F292" s="15"/>
      <c r="G292" s="15">
        <v>4</v>
      </c>
      <c r="H292" s="101"/>
      <c r="I292" s="101"/>
      <c r="J292" s="89">
        <f>SUM(C292:I292)</f>
        <v>8</v>
      </c>
      <c r="K292" s="599" t="s">
        <v>212</v>
      </c>
      <c r="M292" s="57"/>
      <c r="O292" s="129" t="s">
        <v>163</v>
      </c>
      <c r="P292" s="129" t="s">
        <v>11</v>
      </c>
      <c r="Q292" s="129" t="s">
        <v>12</v>
      </c>
      <c r="R292" s="129" t="s">
        <v>13</v>
      </c>
      <c r="S292" s="129" t="s">
        <v>14</v>
      </c>
      <c r="T292" s="129" t="s">
        <v>0</v>
      </c>
      <c r="U292" s="119"/>
    </row>
    <row r="293" spans="1:21" s="22" customFormat="1" ht="31.5" x14ac:dyDescent="0.5">
      <c r="A293" s="539"/>
      <c r="B293" s="541"/>
      <c r="C293" s="545" t="s">
        <v>205</v>
      </c>
      <c r="D293" s="546"/>
      <c r="E293" s="546"/>
      <c r="F293" s="546"/>
      <c r="G293" s="546"/>
      <c r="H293" s="100"/>
      <c r="I293" s="100"/>
      <c r="J293" s="95"/>
      <c r="K293" s="599"/>
      <c r="L293" s="153"/>
      <c r="M293" s="159"/>
      <c r="N293" s="53">
        <v>13</v>
      </c>
      <c r="O293" s="130" t="s">
        <v>2</v>
      </c>
      <c r="P293" s="133"/>
      <c r="Q293" s="131"/>
      <c r="R293" s="130"/>
      <c r="S293" s="132"/>
      <c r="T293" s="130"/>
      <c r="U293" s="163"/>
    </row>
    <row r="294" spans="1:21" s="22" customFormat="1" ht="31.5" x14ac:dyDescent="0.5">
      <c r="A294" s="539"/>
      <c r="B294" s="535" t="s">
        <v>9</v>
      </c>
      <c r="C294" s="107">
        <v>2</v>
      </c>
      <c r="D294" s="107">
        <v>4</v>
      </c>
      <c r="E294" s="533" t="s">
        <v>200</v>
      </c>
      <c r="F294" s="87">
        <v>7</v>
      </c>
      <c r="G294" s="107">
        <v>2</v>
      </c>
      <c r="H294" s="86"/>
      <c r="I294" s="548"/>
      <c r="J294" s="89">
        <f>SUM(C294:I294)</f>
        <v>15</v>
      </c>
      <c r="K294" s="599"/>
      <c r="L294" s="153"/>
      <c r="M294" s="159"/>
      <c r="N294" s="53">
        <v>14</v>
      </c>
      <c r="O294" s="130" t="s">
        <v>3</v>
      </c>
      <c r="P294" s="134"/>
      <c r="Q294" s="134"/>
      <c r="R294" s="117"/>
      <c r="S294" s="117"/>
      <c r="T294" s="117"/>
      <c r="U294" s="163"/>
    </row>
    <row r="295" spans="1:21" s="22" customFormat="1" ht="30" x14ac:dyDescent="0.25">
      <c r="A295" s="539"/>
      <c r="B295" s="547"/>
      <c r="C295" s="602" t="s">
        <v>203</v>
      </c>
      <c r="D295" s="603"/>
      <c r="E295" s="534"/>
      <c r="F295" s="98" t="s">
        <v>204</v>
      </c>
      <c r="G295" s="106" t="s">
        <v>203</v>
      </c>
      <c r="H295" s="96"/>
      <c r="I295" s="549"/>
      <c r="J295" s="95"/>
      <c r="K295" s="599"/>
      <c r="M295" s="57"/>
      <c r="N295" s="53">
        <v>15</v>
      </c>
      <c r="O295" s="130" t="s">
        <v>4</v>
      </c>
      <c r="P295" s="134"/>
      <c r="Q295" s="134"/>
      <c r="R295" s="117"/>
      <c r="S295" s="117"/>
      <c r="T295" s="130"/>
      <c r="U295" s="163"/>
    </row>
    <row r="296" spans="1:21" s="22" customFormat="1" x14ac:dyDescent="0.25">
      <c r="A296" s="539"/>
      <c r="B296" s="535" t="s">
        <v>202</v>
      </c>
      <c r="C296" s="533" t="s">
        <v>200</v>
      </c>
      <c r="D296" s="533" t="s">
        <v>200</v>
      </c>
      <c r="E296" s="533" t="s">
        <v>200</v>
      </c>
      <c r="F296" s="533" t="s">
        <v>200</v>
      </c>
      <c r="G296" s="533" t="s">
        <v>200</v>
      </c>
      <c r="H296" s="562" t="s">
        <v>201</v>
      </c>
      <c r="I296" s="563"/>
      <c r="J296" s="89">
        <f>SUM(C296:I296)</f>
        <v>0</v>
      </c>
      <c r="K296" s="599"/>
      <c r="M296" s="57"/>
      <c r="N296" s="53">
        <v>16</v>
      </c>
      <c r="O296" s="130" t="s">
        <v>5</v>
      </c>
      <c r="P296" s="131"/>
      <c r="Q296" s="131"/>
      <c r="R296" s="130"/>
      <c r="S296" s="132"/>
      <c r="T296" s="130"/>
      <c r="U296" s="163"/>
    </row>
    <row r="297" spans="1:21" s="22" customFormat="1" x14ac:dyDescent="0.25">
      <c r="A297" s="539"/>
      <c r="B297" s="547"/>
      <c r="C297" s="534"/>
      <c r="D297" s="534"/>
      <c r="E297" s="534"/>
      <c r="F297" s="534"/>
      <c r="G297" s="534"/>
      <c r="H297" s="558"/>
      <c r="I297" s="559"/>
      <c r="J297" s="95"/>
      <c r="K297" s="599"/>
      <c r="M297" s="57"/>
      <c r="N297" s="53">
        <v>17</v>
      </c>
      <c r="O297" s="130" t="s">
        <v>6</v>
      </c>
      <c r="P297" s="157"/>
      <c r="Q297" s="157"/>
      <c r="R297" s="130"/>
      <c r="S297" s="117"/>
      <c r="T297" s="132"/>
      <c r="U297" s="163"/>
    </row>
    <row r="298" spans="1:21" s="22" customFormat="1" x14ac:dyDescent="0.25">
      <c r="A298" s="539"/>
      <c r="B298" s="535" t="s">
        <v>1</v>
      </c>
      <c r="C298" s="533" t="s">
        <v>200</v>
      </c>
      <c r="D298" s="533" t="s">
        <v>200</v>
      </c>
      <c r="E298" s="533" t="s">
        <v>200</v>
      </c>
      <c r="F298" s="94">
        <v>2</v>
      </c>
      <c r="G298" s="533" t="s">
        <v>200</v>
      </c>
      <c r="H298" s="528"/>
      <c r="I298" s="528"/>
      <c r="J298" s="89">
        <v>2</v>
      </c>
      <c r="K298" s="599"/>
      <c r="M298" s="57"/>
      <c r="N298" s="53">
        <v>18</v>
      </c>
      <c r="O298" s="130" t="s">
        <v>7</v>
      </c>
      <c r="P298" s="157"/>
      <c r="Q298" s="157"/>
      <c r="R298" s="130"/>
      <c r="S298" s="132"/>
      <c r="T298" s="130"/>
      <c r="U298" s="163"/>
    </row>
    <row r="299" spans="1:21" s="22" customFormat="1" ht="15.75" thickBot="1" x14ac:dyDescent="0.3">
      <c r="A299" s="539"/>
      <c r="B299" s="536"/>
      <c r="C299" s="534"/>
      <c r="D299" s="534"/>
      <c r="E299" s="534"/>
      <c r="F299" s="93" t="s">
        <v>146</v>
      </c>
      <c r="G299" s="534"/>
      <c r="H299" s="529"/>
      <c r="I299" s="529"/>
      <c r="J299" s="92">
        <v>4</v>
      </c>
      <c r="K299" s="599"/>
      <c r="M299" s="57"/>
      <c r="N299" s="22">
        <v>19</v>
      </c>
      <c r="O299" s="130" t="s">
        <v>8</v>
      </c>
      <c r="P299" s="131"/>
      <c r="Q299" s="131"/>
      <c r="R299" s="130"/>
      <c r="S299" s="132"/>
      <c r="T299" s="130"/>
      <c r="U299" s="163"/>
    </row>
    <row r="300" spans="1:21" s="22" customFormat="1" ht="15.75" thickBot="1" x14ac:dyDescent="0.3">
      <c r="A300" s="539"/>
      <c r="B300" s="91" t="s">
        <v>198</v>
      </c>
      <c r="C300" s="90"/>
      <c r="D300" s="90"/>
      <c r="E300" s="90"/>
      <c r="F300" s="90"/>
      <c r="G300" s="90"/>
      <c r="H300" s="90"/>
      <c r="I300" s="90"/>
      <c r="J300" s="89">
        <f>SUM(C300:I300)</f>
        <v>0</v>
      </c>
      <c r="K300" s="599"/>
      <c r="M300" s="57"/>
      <c r="O300" s="129" t="s">
        <v>26</v>
      </c>
      <c r="P300" s="156"/>
      <c r="Q300" s="156"/>
      <c r="R300" s="156"/>
      <c r="S300" s="117"/>
      <c r="T300" s="117"/>
      <c r="U300" s="119"/>
    </row>
    <row r="301" spans="1:21" s="22" customFormat="1" ht="15.75" thickBot="1" x14ac:dyDescent="0.3">
      <c r="A301" s="84"/>
      <c r="B301" s="88" t="s">
        <v>197</v>
      </c>
      <c r="C301" s="87">
        <v>2</v>
      </c>
      <c r="D301" s="87">
        <v>4</v>
      </c>
      <c r="E301" s="87">
        <v>2</v>
      </c>
      <c r="F301" s="87">
        <v>7</v>
      </c>
      <c r="G301" s="87">
        <v>4</v>
      </c>
      <c r="H301" s="86"/>
      <c r="I301" s="86"/>
      <c r="J301" s="85">
        <f>SUM(J292:J300)</f>
        <v>29</v>
      </c>
      <c r="K301" s="75"/>
      <c r="M301" s="57"/>
      <c r="U301" s="119"/>
    </row>
    <row r="302" spans="1:21" s="22" customFormat="1" x14ac:dyDescent="0.25">
      <c r="A302" s="80"/>
      <c r="B302" s="79"/>
      <c r="C302" s="78"/>
      <c r="D302" s="78"/>
      <c r="E302" s="78"/>
      <c r="F302" s="78"/>
      <c r="G302" s="78"/>
      <c r="H302" s="77"/>
      <c r="I302" s="77"/>
      <c r="J302" s="76"/>
      <c r="K302" s="75"/>
      <c r="M302" s="57"/>
      <c r="U302" s="119"/>
    </row>
    <row r="303" spans="1:21" s="22" customFormat="1" ht="15.75" thickBot="1" x14ac:dyDescent="0.3">
      <c r="A303" s="80"/>
      <c r="B303" s="79"/>
      <c r="C303" s="78"/>
      <c r="D303" s="78"/>
      <c r="E303" s="78"/>
      <c r="F303" s="78"/>
      <c r="G303" s="78"/>
      <c r="H303" s="77"/>
      <c r="I303" s="77"/>
      <c r="J303" s="76"/>
      <c r="K303" s="75"/>
      <c r="M303" s="57"/>
      <c r="U303" s="163"/>
    </row>
    <row r="304" spans="1:21" s="22" customFormat="1" ht="15.75" thickBot="1" x14ac:dyDescent="0.3">
      <c r="A304" s="539" t="s">
        <v>211</v>
      </c>
      <c r="B304" s="105" t="s">
        <v>208</v>
      </c>
      <c r="C304" s="104" t="s">
        <v>2</v>
      </c>
      <c r="D304" s="104" t="s">
        <v>3</v>
      </c>
      <c r="E304" s="104" t="s">
        <v>4</v>
      </c>
      <c r="F304" s="104" t="s">
        <v>5</v>
      </c>
      <c r="G304" s="104" t="s">
        <v>6</v>
      </c>
      <c r="H304" s="104" t="s">
        <v>7</v>
      </c>
      <c r="I304" s="104" t="s">
        <v>8</v>
      </c>
      <c r="J304" s="103" t="s">
        <v>197</v>
      </c>
      <c r="K304" s="15"/>
      <c r="M304" s="57"/>
      <c r="U304" s="163"/>
    </row>
    <row r="305" spans="1:21" s="22" customFormat="1" x14ac:dyDescent="0.25">
      <c r="A305" s="539"/>
      <c r="B305" s="540" t="s">
        <v>207</v>
      </c>
      <c r="C305" s="102"/>
      <c r="D305" s="15">
        <v>4</v>
      </c>
      <c r="E305" s="15"/>
      <c r="F305" s="15"/>
      <c r="G305" s="15"/>
      <c r="H305" s="101"/>
      <c r="I305" s="101"/>
      <c r="J305" s="89">
        <f>SUM(C305:I305)</f>
        <v>4</v>
      </c>
      <c r="K305" s="599" t="s">
        <v>210</v>
      </c>
      <c r="M305" s="57"/>
      <c r="O305" s="129" t="s">
        <v>164</v>
      </c>
      <c r="P305" s="129" t="s">
        <v>11</v>
      </c>
      <c r="Q305" s="129" t="s">
        <v>12</v>
      </c>
      <c r="R305" s="129" t="s">
        <v>13</v>
      </c>
      <c r="S305" s="129" t="s">
        <v>14</v>
      </c>
      <c r="T305" s="129" t="s">
        <v>0</v>
      </c>
      <c r="U305" s="163"/>
    </row>
    <row r="306" spans="1:21" s="22" customFormat="1" x14ac:dyDescent="0.25">
      <c r="A306" s="539"/>
      <c r="B306" s="541"/>
      <c r="C306" s="545" t="s">
        <v>205</v>
      </c>
      <c r="D306" s="546"/>
      <c r="E306" s="546"/>
      <c r="F306" s="546"/>
      <c r="G306" s="546"/>
      <c r="H306" s="100"/>
      <c r="I306" s="100"/>
      <c r="J306" s="95"/>
      <c r="K306" s="599"/>
      <c r="M306" s="57"/>
      <c r="N306" s="22">
        <v>20</v>
      </c>
      <c r="O306" s="130" t="s">
        <v>2</v>
      </c>
      <c r="P306" s="133"/>
      <c r="Q306" s="131"/>
      <c r="R306" s="130"/>
      <c r="S306" s="132"/>
      <c r="T306" s="130"/>
      <c r="U306" s="163"/>
    </row>
    <row r="307" spans="1:21" s="22" customFormat="1" x14ac:dyDescent="0.25">
      <c r="A307" s="539"/>
      <c r="B307" s="535" t="s">
        <v>9</v>
      </c>
      <c r="C307" s="99">
        <v>2</v>
      </c>
      <c r="D307" s="99">
        <v>4</v>
      </c>
      <c r="E307" s="533" t="s">
        <v>200</v>
      </c>
      <c r="F307" s="87">
        <v>7</v>
      </c>
      <c r="G307" s="99">
        <v>2</v>
      </c>
      <c r="H307" s="86"/>
      <c r="I307" s="548"/>
      <c r="J307" s="89">
        <f>SUM(C307:I307)</f>
        <v>15</v>
      </c>
      <c r="K307" s="599"/>
      <c r="M307" s="57"/>
      <c r="O307" s="130" t="s">
        <v>3</v>
      </c>
      <c r="P307" s="134"/>
      <c r="Q307" s="134"/>
      <c r="R307" s="117"/>
      <c r="S307" s="117"/>
      <c r="T307" s="117"/>
      <c r="U307" s="163"/>
    </row>
    <row r="308" spans="1:21" s="22" customFormat="1" ht="30" x14ac:dyDescent="0.25">
      <c r="A308" s="539"/>
      <c r="B308" s="547"/>
      <c r="C308" s="550" t="s">
        <v>203</v>
      </c>
      <c r="D308" s="551"/>
      <c r="E308" s="534"/>
      <c r="F308" s="98" t="s">
        <v>204</v>
      </c>
      <c r="G308" s="97" t="s">
        <v>203</v>
      </c>
      <c r="H308" s="96"/>
      <c r="I308" s="549"/>
      <c r="J308" s="95"/>
      <c r="K308" s="599"/>
      <c r="M308" s="57"/>
      <c r="O308" s="130" t="s">
        <v>4</v>
      </c>
      <c r="P308" s="134"/>
      <c r="Q308" s="134"/>
      <c r="R308" s="117"/>
      <c r="S308" s="117"/>
      <c r="T308" s="130"/>
      <c r="U308" s="163"/>
    </row>
    <row r="309" spans="1:21" s="22" customFormat="1" x14ac:dyDescent="0.25">
      <c r="A309" s="539"/>
      <c r="B309" s="535" t="s">
        <v>202</v>
      </c>
      <c r="C309" s="533" t="s">
        <v>200</v>
      </c>
      <c r="D309" s="533" t="s">
        <v>200</v>
      </c>
      <c r="E309" s="533" t="s">
        <v>200</v>
      </c>
      <c r="F309" s="533" t="s">
        <v>200</v>
      </c>
      <c r="G309" s="533" t="s">
        <v>200</v>
      </c>
      <c r="H309" s="562" t="s">
        <v>201</v>
      </c>
      <c r="I309" s="563"/>
      <c r="J309" s="89">
        <f>SUM(C309:I309)</f>
        <v>0</v>
      </c>
      <c r="K309" s="599"/>
      <c r="M309" s="57"/>
      <c r="O309" s="130" t="s">
        <v>5</v>
      </c>
      <c r="P309" s="131"/>
      <c r="Q309" s="131"/>
      <c r="R309" s="130"/>
      <c r="S309" s="132"/>
      <c r="T309" s="130"/>
      <c r="U309" s="163"/>
    </row>
    <row r="310" spans="1:21" x14ac:dyDescent="0.25">
      <c r="A310" s="539"/>
      <c r="B310" s="547"/>
      <c r="C310" s="534"/>
      <c r="D310" s="534"/>
      <c r="E310" s="534"/>
      <c r="F310" s="534"/>
      <c r="G310" s="534"/>
      <c r="H310" s="558"/>
      <c r="I310" s="559"/>
      <c r="J310" s="95"/>
      <c r="K310" s="599"/>
      <c r="L310" s="22"/>
      <c r="M310" s="57"/>
      <c r="O310" s="130" t="s">
        <v>6</v>
      </c>
      <c r="P310" s="157"/>
      <c r="Q310" s="157"/>
      <c r="R310" s="130"/>
      <c r="S310" s="117"/>
      <c r="T310" s="132"/>
      <c r="U310" s="119"/>
    </row>
    <row r="311" spans="1:21" x14ac:dyDescent="0.25">
      <c r="A311" s="539"/>
      <c r="B311" s="535" t="s">
        <v>1</v>
      </c>
      <c r="C311" s="533" t="s">
        <v>200</v>
      </c>
      <c r="D311" s="533" t="s">
        <v>200</v>
      </c>
      <c r="E311" s="533" t="s">
        <v>200</v>
      </c>
      <c r="F311" s="94">
        <v>2</v>
      </c>
      <c r="G311" s="533" t="s">
        <v>200</v>
      </c>
      <c r="H311" s="528"/>
      <c r="I311" s="528"/>
      <c r="J311" s="89">
        <v>2</v>
      </c>
      <c r="K311" s="599"/>
      <c r="L311" s="22"/>
      <c r="M311" s="57"/>
      <c r="O311" s="130" t="s">
        <v>7</v>
      </c>
      <c r="P311" s="157"/>
      <c r="Q311" s="157"/>
      <c r="R311" s="130"/>
      <c r="S311" s="132"/>
      <c r="T311" s="130"/>
      <c r="U311" s="119"/>
    </row>
    <row r="312" spans="1:21" ht="30.75" thickBot="1" x14ac:dyDescent="0.3">
      <c r="A312" s="539"/>
      <c r="B312" s="536"/>
      <c r="C312" s="534"/>
      <c r="D312" s="534"/>
      <c r="E312" s="534"/>
      <c r="F312" s="93" t="s">
        <v>199</v>
      </c>
      <c r="G312" s="534"/>
      <c r="H312" s="529"/>
      <c r="I312" s="529"/>
      <c r="J312" s="92">
        <v>4</v>
      </c>
      <c r="K312" s="599"/>
      <c r="L312" s="22"/>
      <c r="M312" s="57"/>
      <c r="N312" s="21"/>
      <c r="O312" s="130" t="s">
        <v>8</v>
      </c>
      <c r="P312" s="131"/>
      <c r="Q312" s="131"/>
      <c r="R312" s="130"/>
      <c r="S312" s="132"/>
      <c r="T312" s="130"/>
      <c r="U312" s="119"/>
    </row>
    <row r="313" spans="1:21" ht="15.75" thickBot="1" x14ac:dyDescent="0.3">
      <c r="A313" s="539"/>
      <c r="B313" s="91" t="s">
        <v>198</v>
      </c>
      <c r="C313" s="90"/>
      <c r="D313" s="90"/>
      <c r="E313" s="90"/>
      <c r="F313" s="90"/>
      <c r="G313" s="90"/>
      <c r="H313" s="90"/>
      <c r="I313" s="90"/>
      <c r="J313" s="89">
        <f>SUM(C313:I313)</f>
        <v>0</v>
      </c>
      <c r="K313" s="599"/>
      <c r="L313" s="22"/>
      <c r="M313" s="57"/>
      <c r="O313" s="129" t="s">
        <v>26</v>
      </c>
      <c r="P313" s="156"/>
      <c r="Q313" s="156"/>
      <c r="R313" s="156"/>
      <c r="S313" s="117"/>
      <c r="T313" s="117"/>
      <c r="U313" s="119"/>
    </row>
    <row r="314" spans="1:21" ht="15.75" thickBot="1" x14ac:dyDescent="0.3">
      <c r="A314" s="84"/>
      <c r="B314" s="88" t="s">
        <v>197</v>
      </c>
      <c r="C314" s="87">
        <v>2</v>
      </c>
      <c r="D314" s="87">
        <v>4</v>
      </c>
      <c r="E314" s="87">
        <v>2</v>
      </c>
      <c r="F314" s="87">
        <v>7</v>
      </c>
      <c r="G314" s="87">
        <v>4</v>
      </c>
      <c r="H314" s="86"/>
      <c r="I314" s="86"/>
      <c r="J314" s="85">
        <f>SUM(J305:J313)</f>
        <v>25</v>
      </c>
      <c r="K314" s="75"/>
      <c r="L314" s="22"/>
      <c r="M314" s="57"/>
      <c r="N314" s="15"/>
      <c r="U314" s="119"/>
    </row>
    <row r="315" spans="1:21" x14ac:dyDescent="0.25">
      <c r="A315" s="80"/>
      <c r="B315" s="79"/>
      <c r="C315" s="78"/>
      <c r="D315" s="80"/>
      <c r="E315" s="79"/>
      <c r="F315" s="78"/>
      <c r="G315" s="78"/>
      <c r="H315" s="77"/>
      <c r="I315" s="77"/>
      <c r="J315" s="76"/>
      <c r="K315" s="75"/>
      <c r="L315" s="22"/>
      <c r="M315" s="57"/>
      <c r="N315" s="15"/>
      <c r="U315" s="57"/>
    </row>
    <row r="316" spans="1:21" ht="15.75" thickBot="1" x14ac:dyDescent="0.3">
      <c r="A316" s="80"/>
      <c r="B316" s="79"/>
      <c r="C316" s="78"/>
      <c r="D316" s="80"/>
      <c r="E316" s="79"/>
      <c r="F316" s="78"/>
      <c r="G316" s="78"/>
      <c r="H316" s="77"/>
      <c r="I316" s="77"/>
      <c r="J316" s="76"/>
      <c r="K316" s="75"/>
      <c r="L316" s="22"/>
      <c r="M316" s="57"/>
      <c r="N316" s="15"/>
      <c r="U316" s="57"/>
    </row>
    <row r="317" spans="1:21" ht="15.75" thickBot="1" x14ac:dyDescent="0.3">
      <c r="A317" s="539" t="s">
        <v>209</v>
      </c>
      <c r="B317" s="105" t="s">
        <v>208</v>
      </c>
      <c r="C317" s="104" t="s">
        <v>2</v>
      </c>
      <c r="D317" s="104" t="s">
        <v>3</v>
      </c>
      <c r="E317" s="104" t="s">
        <v>4</v>
      </c>
      <c r="F317" s="104" t="s">
        <v>5</v>
      </c>
      <c r="G317" s="104" t="s">
        <v>6</v>
      </c>
      <c r="H317" s="104" t="s">
        <v>7</v>
      </c>
      <c r="I317" s="104" t="s">
        <v>8</v>
      </c>
      <c r="J317" s="103" t="s">
        <v>197</v>
      </c>
      <c r="L317" s="22"/>
      <c r="M317" s="57"/>
      <c r="N317" s="15"/>
      <c r="U317" s="57"/>
    </row>
    <row r="318" spans="1:21" x14ac:dyDescent="0.25">
      <c r="A318" s="539"/>
      <c r="B318" s="540" t="s">
        <v>207</v>
      </c>
      <c r="C318" s="102"/>
      <c r="D318" s="15">
        <v>2</v>
      </c>
      <c r="H318" s="101"/>
      <c r="I318" s="101"/>
      <c r="J318" s="89">
        <f>SUM(C318:I318)</f>
        <v>2</v>
      </c>
      <c r="K318" s="599" t="s">
        <v>206</v>
      </c>
      <c r="L318" s="22"/>
      <c r="M318" s="57"/>
      <c r="N318" s="15"/>
      <c r="O318" s="129" t="s">
        <v>165</v>
      </c>
      <c r="P318" s="129" t="s">
        <v>11</v>
      </c>
      <c r="Q318" s="129" t="s">
        <v>12</v>
      </c>
      <c r="R318" s="129" t="s">
        <v>13</v>
      </c>
      <c r="S318" s="129" t="s">
        <v>14</v>
      </c>
      <c r="T318" s="129" t="s">
        <v>0</v>
      </c>
      <c r="U318" s="57"/>
    </row>
    <row r="319" spans="1:21" x14ac:dyDescent="0.25">
      <c r="A319" s="539"/>
      <c r="B319" s="541"/>
      <c r="C319" s="545" t="s">
        <v>205</v>
      </c>
      <c r="D319" s="546"/>
      <c r="E319" s="546"/>
      <c r="F319" s="546"/>
      <c r="G319" s="546"/>
      <c r="H319" s="100"/>
      <c r="I319" s="100"/>
      <c r="J319" s="95"/>
      <c r="K319" s="599"/>
      <c r="L319" s="22"/>
      <c r="M319" s="57"/>
      <c r="O319" s="130" t="s">
        <v>2</v>
      </c>
      <c r="P319" s="133"/>
      <c r="Q319" s="131"/>
      <c r="R319" s="130"/>
      <c r="S319" s="132"/>
      <c r="T319" s="130"/>
      <c r="U319" s="57"/>
    </row>
    <row r="320" spans="1:21" x14ac:dyDescent="0.25">
      <c r="A320" s="539"/>
      <c r="B320" s="535" t="s">
        <v>9</v>
      </c>
      <c r="C320" s="99">
        <v>2</v>
      </c>
      <c r="D320" s="99">
        <v>4</v>
      </c>
      <c r="E320" s="533" t="s">
        <v>200</v>
      </c>
      <c r="F320" s="87">
        <v>7</v>
      </c>
      <c r="G320" s="99">
        <v>2</v>
      </c>
      <c r="H320" s="86"/>
      <c r="I320" s="548"/>
      <c r="J320" s="89">
        <f>SUM(C320:I320)</f>
        <v>15</v>
      </c>
      <c r="K320" s="599"/>
      <c r="L320" s="22"/>
      <c r="M320" s="57"/>
      <c r="O320" s="130" t="s">
        <v>3</v>
      </c>
      <c r="P320" s="134"/>
      <c r="Q320" s="134"/>
      <c r="R320" s="117"/>
      <c r="S320" s="117"/>
      <c r="T320" s="117"/>
      <c r="U320" s="57"/>
    </row>
    <row r="321" spans="1:21" ht="30" x14ac:dyDescent="0.25">
      <c r="A321" s="539"/>
      <c r="B321" s="547"/>
      <c r="C321" s="550" t="s">
        <v>203</v>
      </c>
      <c r="D321" s="551"/>
      <c r="E321" s="534"/>
      <c r="F321" s="98" t="s">
        <v>204</v>
      </c>
      <c r="G321" s="97" t="s">
        <v>203</v>
      </c>
      <c r="H321" s="96"/>
      <c r="I321" s="549"/>
      <c r="J321" s="95"/>
      <c r="K321" s="599"/>
      <c r="L321" s="22"/>
      <c r="M321" s="57"/>
      <c r="O321" s="130" t="s">
        <v>4</v>
      </c>
      <c r="P321" s="134"/>
      <c r="Q321" s="134"/>
      <c r="R321" s="117"/>
      <c r="S321" s="117"/>
      <c r="T321" s="130"/>
      <c r="U321" s="57"/>
    </row>
    <row r="322" spans="1:21" x14ac:dyDescent="0.25">
      <c r="A322" s="539"/>
      <c r="B322" s="535" t="s">
        <v>202</v>
      </c>
      <c r="C322" s="533" t="s">
        <v>200</v>
      </c>
      <c r="D322" s="533" t="s">
        <v>200</v>
      </c>
      <c r="E322" s="533" t="s">
        <v>200</v>
      </c>
      <c r="F322" s="533" t="s">
        <v>200</v>
      </c>
      <c r="G322" s="533" t="s">
        <v>200</v>
      </c>
      <c r="H322" s="562" t="s">
        <v>201</v>
      </c>
      <c r="I322" s="563"/>
      <c r="J322" s="89">
        <f>SUM(C322:I322)</f>
        <v>0</v>
      </c>
      <c r="K322" s="599"/>
      <c r="L322" s="22"/>
      <c r="M322" s="57"/>
      <c r="O322" s="130" t="s">
        <v>5</v>
      </c>
      <c r="P322" s="131"/>
      <c r="Q322" s="131"/>
      <c r="R322" s="130"/>
      <c r="S322" s="132"/>
      <c r="T322" s="130"/>
      <c r="U322" s="57"/>
    </row>
    <row r="323" spans="1:21" x14ac:dyDescent="0.25">
      <c r="A323" s="539"/>
      <c r="B323" s="547"/>
      <c r="C323" s="534"/>
      <c r="D323" s="534"/>
      <c r="E323" s="534"/>
      <c r="F323" s="534"/>
      <c r="G323" s="534"/>
      <c r="H323" s="558"/>
      <c r="I323" s="559"/>
      <c r="J323" s="95"/>
      <c r="K323" s="599"/>
      <c r="L323" s="22"/>
      <c r="M323" s="57"/>
      <c r="O323" s="130" t="s">
        <v>6</v>
      </c>
      <c r="P323" s="157"/>
      <c r="Q323" s="157"/>
      <c r="R323" s="130"/>
      <c r="S323" s="117"/>
      <c r="T323" s="132"/>
      <c r="U323" s="57"/>
    </row>
    <row r="324" spans="1:21" x14ac:dyDescent="0.25">
      <c r="A324" s="539"/>
      <c r="B324" s="535" t="s">
        <v>1</v>
      </c>
      <c r="C324" s="533" t="s">
        <v>200</v>
      </c>
      <c r="D324" s="533" t="s">
        <v>200</v>
      </c>
      <c r="E324" s="533" t="s">
        <v>200</v>
      </c>
      <c r="F324" s="94">
        <v>2</v>
      </c>
      <c r="G324" s="533" t="s">
        <v>200</v>
      </c>
      <c r="H324" s="528"/>
      <c r="I324" s="528"/>
      <c r="J324" s="89">
        <v>2</v>
      </c>
      <c r="K324" s="599"/>
      <c r="L324" s="22"/>
      <c r="M324" s="57"/>
      <c r="O324" s="130" t="s">
        <v>7</v>
      </c>
      <c r="P324" s="157"/>
      <c r="Q324" s="157"/>
      <c r="R324" s="130"/>
      <c r="S324" s="132"/>
      <c r="T324" s="130"/>
      <c r="U324" s="57"/>
    </row>
    <row r="325" spans="1:21" ht="30.75" thickBot="1" x14ac:dyDescent="0.3">
      <c r="A325" s="539"/>
      <c r="B325" s="536"/>
      <c r="C325" s="534"/>
      <c r="D325" s="534"/>
      <c r="E325" s="534"/>
      <c r="F325" s="93" t="s">
        <v>199</v>
      </c>
      <c r="G325" s="534"/>
      <c r="H325" s="529"/>
      <c r="I325" s="529"/>
      <c r="J325" s="92">
        <v>4</v>
      </c>
      <c r="K325" s="599"/>
      <c r="L325" s="22"/>
      <c r="M325" s="57"/>
      <c r="O325" s="3" t="s">
        <v>8</v>
      </c>
      <c r="P325" s="4"/>
      <c r="Q325" s="4"/>
      <c r="R325" s="3"/>
      <c r="S325" s="5"/>
      <c r="T325" s="3"/>
      <c r="U325" s="57"/>
    </row>
    <row r="326" spans="1:21" ht="15.75" thickBot="1" x14ac:dyDescent="0.3">
      <c r="A326" s="539"/>
      <c r="B326" s="91" t="s">
        <v>198</v>
      </c>
      <c r="C326" s="90"/>
      <c r="D326" s="90"/>
      <c r="E326" s="90"/>
      <c r="F326" s="90"/>
      <c r="G326" s="90"/>
      <c r="H326" s="90"/>
      <c r="I326" s="90"/>
      <c r="J326" s="89">
        <f>SUM(C326:I326)</f>
        <v>0</v>
      </c>
      <c r="K326" s="599"/>
      <c r="L326" s="22"/>
      <c r="M326" s="57"/>
      <c r="O326" s="2" t="s">
        <v>26</v>
      </c>
      <c r="P326" s="1"/>
      <c r="Q326" s="1"/>
      <c r="R326" s="1"/>
      <c r="S326"/>
      <c r="T326"/>
      <c r="U326" s="57"/>
    </row>
    <row r="327" spans="1:21" ht="15.75" thickBot="1" x14ac:dyDescent="0.3">
      <c r="A327" s="84"/>
      <c r="B327" s="88" t="s">
        <v>197</v>
      </c>
      <c r="C327" s="87">
        <v>2</v>
      </c>
      <c r="D327" s="87">
        <v>4</v>
      </c>
      <c r="E327" s="87">
        <v>2</v>
      </c>
      <c r="F327" s="87">
        <v>7</v>
      </c>
      <c r="G327" s="87">
        <v>4</v>
      </c>
      <c r="H327" s="86"/>
      <c r="I327" s="86"/>
      <c r="J327" s="85">
        <f>SUM(J318:J326)</f>
        <v>23</v>
      </c>
      <c r="K327" s="75"/>
      <c r="L327" s="22"/>
      <c r="M327" s="57"/>
      <c r="N327" s="15"/>
      <c r="U327" s="57"/>
    </row>
    <row r="328" spans="1:21" x14ac:dyDescent="0.25">
      <c r="A328" s="84"/>
      <c r="B328" s="83"/>
      <c r="C328" s="78"/>
      <c r="D328" s="78"/>
      <c r="E328" s="78"/>
      <c r="F328" s="78"/>
      <c r="G328" s="78"/>
      <c r="H328" s="82"/>
      <c r="I328" s="82"/>
      <c r="J328" s="81"/>
      <c r="K328" s="75"/>
      <c r="L328" s="22"/>
      <c r="M328" s="57"/>
      <c r="N328" s="15"/>
      <c r="U328" s="57"/>
    </row>
    <row r="329" spans="1:21" x14ac:dyDescent="0.25">
      <c r="H329" s="22"/>
      <c r="I329" s="22"/>
      <c r="J329" s="22"/>
      <c r="K329" s="22"/>
      <c r="L329" s="22"/>
      <c r="M329" s="57"/>
      <c r="N329" s="15"/>
      <c r="U329" s="57"/>
    </row>
    <row r="330" spans="1:21" x14ac:dyDescent="0.25">
      <c r="H330" s="22"/>
      <c r="I330" s="22"/>
      <c r="J330" s="22"/>
      <c r="K330" s="22"/>
      <c r="L330" s="22"/>
      <c r="M330" s="57"/>
      <c r="N330" s="15"/>
      <c r="U330" s="57"/>
    </row>
    <row r="331" spans="1:21" x14ac:dyDescent="0.25">
      <c r="H331" s="22"/>
      <c r="I331" s="22"/>
      <c r="J331" s="22"/>
      <c r="K331" s="22"/>
      <c r="L331" s="22"/>
      <c r="M331" s="57"/>
      <c r="N331" s="15"/>
      <c r="U331" s="57"/>
    </row>
    <row r="332" spans="1:21" ht="15" customHeight="1" x14ac:dyDescent="0.5">
      <c r="A332" s="530" t="s">
        <v>312</v>
      </c>
      <c r="B332" s="530"/>
      <c r="C332" s="530"/>
      <c r="D332" s="530"/>
      <c r="E332" s="530"/>
      <c r="F332" s="530"/>
      <c r="G332" s="530"/>
      <c r="H332" s="530"/>
      <c r="I332" s="530"/>
      <c r="J332" s="530"/>
      <c r="K332" s="530"/>
      <c r="L332" s="530"/>
      <c r="M332" s="530"/>
      <c r="N332" s="152"/>
      <c r="O332" s="152"/>
      <c r="P332" s="152"/>
      <c r="Q332" s="152"/>
      <c r="R332" s="152"/>
      <c r="S332" s="152"/>
      <c r="T332" s="152"/>
      <c r="U332" s="57"/>
    </row>
    <row r="333" spans="1:21" ht="15" customHeight="1" x14ac:dyDescent="0.5">
      <c r="A333" s="530"/>
      <c r="B333" s="530"/>
      <c r="C333" s="530"/>
      <c r="D333" s="530"/>
      <c r="E333" s="530"/>
      <c r="F333" s="530"/>
      <c r="G333" s="530"/>
      <c r="H333" s="530"/>
      <c r="I333" s="530"/>
      <c r="J333" s="530"/>
      <c r="K333" s="530"/>
      <c r="L333" s="530"/>
      <c r="M333" s="530"/>
      <c r="N333" s="152"/>
      <c r="O333" s="152"/>
      <c r="P333" s="152"/>
      <c r="Q333" s="152"/>
      <c r="R333" s="152"/>
      <c r="S333" s="152"/>
      <c r="T333" s="152"/>
      <c r="U333" s="57"/>
    </row>
    <row r="334" spans="1:21" x14ac:dyDescent="0.25">
      <c r="A334" s="137" t="s">
        <v>252</v>
      </c>
      <c r="B334" s="13" t="s">
        <v>302</v>
      </c>
      <c r="C334" s="13" t="s">
        <v>11</v>
      </c>
      <c r="D334" s="13" t="s">
        <v>12</v>
      </c>
      <c r="E334" s="13" t="s">
        <v>13</v>
      </c>
      <c r="F334" s="13" t="s">
        <v>14</v>
      </c>
      <c r="G334" s="13" t="s">
        <v>0</v>
      </c>
      <c r="H334" s="22"/>
      <c r="J334" s="57" t="s">
        <v>187</v>
      </c>
      <c r="K334" s="57" t="s">
        <v>186</v>
      </c>
      <c r="L334" s="57"/>
      <c r="M334" s="57"/>
      <c r="O334" s="13" t="s">
        <v>302</v>
      </c>
      <c r="P334" s="13" t="s">
        <v>11</v>
      </c>
      <c r="Q334" s="13" t="s">
        <v>12</v>
      </c>
      <c r="R334" s="13" t="s">
        <v>13</v>
      </c>
      <c r="S334" s="13" t="s">
        <v>14</v>
      </c>
      <c r="T334" s="13" t="s">
        <v>0</v>
      </c>
      <c r="U334" s="57"/>
    </row>
    <row r="335" spans="1:21" x14ac:dyDescent="0.25">
      <c r="A335" s="137"/>
      <c r="B335" s="13"/>
      <c r="C335" s="13"/>
      <c r="D335" s="13"/>
      <c r="E335" s="13"/>
      <c r="F335" s="13"/>
      <c r="G335" s="13"/>
      <c r="H335" s="22"/>
      <c r="J335" s="57" t="s">
        <v>182</v>
      </c>
      <c r="K335" s="57" t="s">
        <v>181</v>
      </c>
      <c r="L335" s="57"/>
      <c r="M335" s="57"/>
      <c r="O335" s="13"/>
      <c r="P335" s="13"/>
      <c r="Q335" s="13"/>
      <c r="R335" s="13"/>
      <c r="S335" s="13"/>
      <c r="T335" s="13"/>
      <c r="U335" s="57"/>
    </row>
    <row r="336" spans="1:21" ht="30" x14ac:dyDescent="0.25">
      <c r="A336" s="137"/>
      <c r="D336" s="13"/>
      <c r="E336" s="13"/>
      <c r="F336" s="13"/>
      <c r="G336" s="13"/>
      <c r="H336" s="22"/>
      <c r="J336" s="57" t="s">
        <v>180</v>
      </c>
      <c r="K336" s="57" t="s">
        <v>179</v>
      </c>
      <c r="L336" s="57"/>
      <c r="M336" s="57"/>
      <c r="O336" s="13"/>
      <c r="P336" s="13"/>
      <c r="Q336" s="13"/>
      <c r="R336" s="13"/>
      <c r="S336" s="13"/>
      <c r="T336" s="13"/>
      <c r="U336" s="57"/>
    </row>
    <row r="337" spans="1:22" ht="30" x14ac:dyDescent="0.25">
      <c r="A337" s="137"/>
      <c r="D337" s="13"/>
      <c r="E337" s="13"/>
      <c r="F337" s="13"/>
      <c r="G337" s="13"/>
      <c r="H337" s="22"/>
      <c r="J337" s="186" t="s">
        <v>309</v>
      </c>
      <c r="K337" s="186" t="s">
        <v>310</v>
      </c>
      <c r="L337" s="57"/>
      <c r="M337" s="57"/>
      <c r="O337" s="13"/>
      <c r="P337" s="13"/>
      <c r="Q337" s="13"/>
      <c r="R337" s="13"/>
      <c r="S337" s="13"/>
      <c r="T337" s="13"/>
      <c r="U337" s="57"/>
    </row>
    <row r="338" spans="1:22" x14ac:dyDescent="0.25">
      <c r="H338" s="22"/>
      <c r="I338" s="22"/>
      <c r="J338" s="57"/>
      <c r="K338" s="57"/>
      <c r="L338" s="57"/>
      <c r="M338" s="57"/>
    </row>
    <row r="339" spans="1:22" x14ac:dyDescent="0.25">
      <c r="H339" s="22"/>
      <c r="I339" s="22"/>
      <c r="J339" s="57"/>
      <c r="K339" s="57"/>
      <c r="L339" s="57"/>
      <c r="M339" s="57"/>
    </row>
    <row r="340" spans="1:22" x14ac:dyDescent="0.25">
      <c r="H340" s="22"/>
      <c r="I340" s="22"/>
      <c r="J340" s="57"/>
      <c r="K340" s="57"/>
      <c r="L340" s="57"/>
      <c r="M340" s="57"/>
    </row>
    <row r="341" spans="1:22" x14ac:dyDescent="0.25">
      <c r="M341" s="15"/>
      <c r="N341" s="15"/>
    </row>
    <row r="342" spans="1:22" x14ac:dyDescent="0.25">
      <c r="M342" s="15"/>
      <c r="N342" s="15"/>
    </row>
    <row r="343" spans="1:22" x14ac:dyDescent="0.25">
      <c r="M343" s="15"/>
      <c r="N343" s="15"/>
    </row>
    <row r="344" spans="1:22" x14ac:dyDescent="0.25">
      <c r="M344" s="15"/>
      <c r="N344" s="15"/>
    </row>
    <row r="345" spans="1:22" x14ac:dyDescent="0.25">
      <c r="M345" s="15"/>
      <c r="N345" s="15"/>
      <c r="V345" s="15"/>
    </row>
    <row r="346" spans="1:22" x14ac:dyDescent="0.25">
      <c r="M346" s="15"/>
      <c r="N346" s="15"/>
      <c r="V346" s="15"/>
    </row>
    <row r="347" spans="1:22" x14ac:dyDescent="0.25">
      <c r="M347" s="15"/>
      <c r="N347" s="15"/>
      <c r="V347" s="15"/>
    </row>
    <row r="348" spans="1:22" x14ac:dyDescent="0.25">
      <c r="M348" s="15"/>
      <c r="N348" s="15"/>
      <c r="V348" s="15"/>
    </row>
    <row r="349" spans="1:22" x14ac:dyDescent="0.25">
      <c r="M349" s="15"/>
      <c r="N349" s="15"/>
      <c r="V349" s="15"/>
    </row>
    <row r="350" spans="1:22" x14ac:dyDescent="0.25">
      <c r="M350" s="15"/>
      <c r="N350" s="15"/>
      <c r="V350" s="15"/>
    </row>
    <row r="351" spans="1:22" x14ac:dyDescent="0.25">
      <c r="M351" s="15"/>
      <c r="N351" s="15"/>
      <c r="V351" s="15"/>
    </row>
    <row r="352" spans="1:22" x14ac:dyDescent="0.25">
      <c r="M352" s="15"/>
      <c r="N352" s="15"/>
      <c r="V352" s="15"/>
    </row>
    <row r="353" spans="13:22" x14ac:dyDescent="0.25">
      <c r="M353" s="15"/>
      <c r="N353" s="15"/>
      <c r="V353" s="15"/>
    </row>
    <row r="354" spans="13:22" x14ac:dyDescent="0.25">
      <c r="M354" s="15"/>
      <c r="N354" s="15"/>
      <c r="V354" s="15"/>
    </row>
    <row r="355" spans="13:22" x14ac:dyDescent="0.25">
      <c r="M355" s="15"/>
      <c r="N355" s="15"/>
      <c r="V355" s="15"/>
    </row>
    <row r="356" spans="13:22" x14ac:dyDescent="0.25">
      <c r="M356" s="15"/>
      <c r="N356" s="15"/>
      <c r="V356" s="15"/>
    </row>
    <row r="357" spans="13:22" x14ac:dyDescent="0.25">
      <c r="M357" s="15"/>
      <c r="N357" s="15"/>
      <c r="V357" s="15"/>
    </row>
    <row r="358" spans="13:22" x14ac:dyDescent="0.25">
      <c r="M358" s="15"/>
      <c r="N358" s="15"/>
      <c r="V358" s="15"/>
    </row>
    <row r="359" spans="13:22" x14ac:dyDescent="0.25">
      <c r="M359" s="15"/>
      <c r="N359" s="15"/>
      <c r="V359" s="15"/>
    </row>
    <row r="360" spans="13:22" x14ac:dyDescent="0.25">
      <c r="M360" s="15"/>
      <c r="N360" s="15"/>
      <c r="V360" s="15"/>
    </row>
    <row r="361" spans="13:22" x14ac:dyDescent="0.25">
      <c r="M361" s="15"/>
      <c r="N361" s="15"/>
      <c r="V361" s="15"/>
    </row>
    <row r="362" spans="13:22" x14ac:dyDescent="0.25">
      <c r="M362" s="15"/>
      <c r="N362" s="15"/>
      <c r="V362" s="15"/>
    </row>
    <row r="363" spans="13:22" x14ac:dyDescent="0.25">
      <c r="M363" s="15"/>
      <c r="N363" s="15"/>
      <c r="V363" s="15"/>
    </row>
    <row r="364" spans="13:22" x14ac:dyDescent="0.25">
      <c r="M364" s="15"/>
      <c r="N364" s="15"/>
      <c r="V364" s="15"/>
    </row>
    <row r="365" spans="13:22" x14ac:dyDescent="0.25">
      <c r="M365" s="15"/>
      <c r="N365" s="15"/>
      <c r="V365" s="15"/>
    </row>
    <row r="366" spans="13:22" x14ac:dyDescent="0.25">
      <c r="M366" s="15"/>
      <c r="N366" s="15"/>
      <c r="V366" s="15"/>
    </row>
    <row r="367" spans="13:22" x14ac:dyDescent="0.25">
      <c r="M367" s="15"/>
      <c r="N367" s="15"/>
      <c r="V367" s="15"/>
    </row>
    <row r="368" spans="13:22" x14ac:dyDescent="0.25">
      <c r="M368" s="15"/>
      <c r="N368" s="15"/>
      <c r="V368" s="15"/>
    </row>
    <row r="369" spans="13:22" x14ac:dyDescent="0.25">
      <c r="M369" s="15"/>
      <c r="N369" s="15"/>
      <c r="V369" s="15"/>
    </row>
    <row r="370" spans="13:22" x14ac:dyDescent="0.25">
      <c r="M370" s="15"/>
      <c r="N370" s="15"/>
      <c r="V370" s="15"/>
    </row>
    <row r="371" spans="13:22" x14ac:dyDescent="0.25">
      <c r="M371" s="15"/>
      <c r="N371" s="15"/>
      <c r="V371" s="15"/>
    </row>
    <row r="372" spans="13:22" x14ac:dyDescent="0.25">
      <c r="M372" s="15"/>
      <c r="N372" s="15"/>
      <c r="V372" s="15"/>
    </row>
    <row r="373" spans="13:22" x14ac:dyDescent="0.25">
      <c r="M373" s="15"/>
      <c r="N373" s="15"/>
      <c r="V373" s="15"/>
    </row>
    <row r="374" spans="13:22" x14ac:dyDescent="0.25">
      <c r="M374" s="15"/>
      <c r="N374" s="15"/>
      <c r="V374" s="15"/>
    </row>
    <row r="375" spans="13:22" x14ac:dyDescent="0.25">
      <c r="M375" s="15"/>
      <c r="N375" s="15"/>
      <c r="V375" s="15"/>
    </row>
    <row r="376" spans="13:22" x14ac:dyDescent="0.25">
      <c r="M376" s="15"/>
      <c r="N376" s="15"/>
      <c r="V376" s="15"/>
    </row>
    <row r="377" spans="13:22" x14ac:dyDescent="0.25">
      <c r="M377" s="15"/>
      <c r="N377" s="15"/>
      <c r="V377" s="15"/>
    </row>
    <row r="378" spans="13:22" x14ac:dyDescent="0.25">
      <c r="M378" s="15"/>
      <c r="N378" s="15"/>
      <c r="V378" s="15"/>
    </row>
    <row r="379" spans="13:22" x14ac:dyDescent="0.25">
      <c r="M379" s="15"/>
      <c r="N379" s="15"/>
      <c r="V379" s="15"/>
    </row>
    <row r="380" spans="13:22" x14ac:dyDescent="0.25">
      <c r="M380" s="15"/>
      <c r="N380" s="15"/>
    </row>
    <row r="381" spans="13:22" x14ac:dyDescent="0.25">
      <c r="M381" s="15"/>
      <c r="N381" s="15"/>
    </row>
    <row r="382" spans="13:22" x14ac:dyDescent="0.25">
      <c r="M382" s="15"/>
      <c r="N382" s="15"/>
    </row>
    <row r="383" spans="13:22" x14ac:dyDescent="0.25">
      <c r="M383" s="15"/>
      <c r="N383" s="15"/>
    </row>
    <row r="384" spans="13:22" x14ac:dyDescent="0.25">
      <c r="M384" s="15"/>
      <c r="N384" s="15"/>
    </row>
    <row r="385" spans="13:14" x14ac:dyDescent="0.25">
      <c r="M385" s="15"/>
      <c r="N385" s="15"/>
    </row>
    <row r="386" spans="13:14" x14ac:dyDescent="0.25">
      <c r="M386" s="15"/>
      <c r="N386" s="15"/>
    </row>
    <row r="387" spans="13:14" x14ac:dyDescent="0.25">
      <c r="M387" s="15"/>
      <c r="N387" s="15"/>
    </row>
    <row r="388" spans="13:14" x14ac:dyDescent="0.25">
      <c r="M388" s="15"/>
      <c r="N388" s="15"/>
    </row>
    <row r="389" spans="13:14" x14ac:dyDescent="0.25">
      <c r="M389" s="15"/>
      <c r="N389" s="15"/>
    </row>
    <row r="390" spans="13:14" x14ac:dyDescent="0.25">
      <c r="M390" s="15"/>
      <c r="N390" s="15"/>
    </row>
    <row r="391" spans="13:14" x14ac:dyDescent="0.25">
      <c r="M391" s="15"/>
      <c r="N391" s="15"/>
    </row>
    <row r="392" spans="13:14" x14ac:dyDescent="0.25">
      <c r="M392" s="15"/>
      <c r="N392" s="15"/>
    </row>
    <row r="393" spans="13:14" x14ac:dyDescent="0.25">
      <c r="M393" s="15"/>
      <c r="N393" s="15"/>
    </row>
    <row r="394" spans="13:14" x14ac:dyDescent="0.25">
      <c r="M394" s="15"/>
      <c r="N394" s="15"/>
    </row>
    <row r="395" spans="13:14" x14ac:dyDescent="0.25">
      <c r="M395" s="15"/>
      <c r="N395" s="15"/>
    </row>
    <row r="396" spans="13:14" x14ac:dyDescent="0.25">
      <c r="M396" s="15"/>
      <c r="N396" s="15"/>
    </row>
    <row r="397" spans="13:14" x14ac:dyDescent="0.25">
      <c r="M397" s="15"/>
      <c r="N397" s="15"/>
    </row>
    <row r="398" spans="13:14" x14ac:dyDescent="0.25">
      <c r="M398" s="15"/>
      <c r="N398" s="15"/>
    </row>
    <row r="399" spans="13:14" x14ac:dyDescent="0.25">
      <c r="M399" s="15"/>
      <c r="N399" s="15"/>
    </row>
    <row r="400" spans="13:14" x14ac:dyDescent="0.25">
      <c r="M400" s="15"/>
      <c r="N400" s="15"/>
    </row>
    <row r="401" spans="13:14" x14ac:dyDescent="0.25">
      <c r="M401" s="15"/>
      <c r="N401" s="15"/>
    </row>
    <row r="402" spans="13:14" x14ac:dyDescent="0.25">
      <c r="M402" s="15"/>
      <c r="N402" s="15"/>
    </row>
    <row r="403" spans="13:14" x14ac:dyDescent="0.25">
      <c r="M403" s="15"/>
      <c r="N403" s="15"/>
    </row>
    <row r="404" spans="13:14" x14ac:dyDescent="0.25">
      <c r="M404" s="15"/>
      <c r="N404" s="15"/>
    </row>
    <row r="405" spans="13:14" x14ac:dyDescent="0.25">
      <c r="M405" s="15"/>
      <c r="N405" s="15"/>
    </row>
    <row r="406" spans="13:14" x14ac:dyDescent="0.25">
      <c r="M406" s="15"/>
      <c r="N406" s="15"/>
    </row>
    <row r="407" spans="13:14" x14ac:dyDescent="0.25">
      <c r="M407" s="15"/>
      <c r="N407" s="15"/>
    </row>
    <row r="408" spans="13:14" x14ac:dyDescent="0.25">
      <c r="M408" s="15"/>
      <c r="N408" s="15"/>
    </row>
    <row r="409" spans="13:14" x14ac:dyDescent="0.25">
      <c r="M409" s="15"/>
      <c r="N409" s="15"/>
    </row>
    <row r="410" spans="13:14" x14ac:dyDescent="0.25">
      <c r="M410" s="15"/>
      <c r="N410" s="15"/>
    </row>
    <row r="411" spans="13:14" x14ac:dyDescent="0.25">
      <c r="M411" s="15"/>
      <c r="N411" s="15"/>
    </row>
    <row r="412" spans="13:14" x14ac:dyDescent="0.25">
      <c r="M412" s="15"/>
      <c r="N412" s="15"/>
    </row>
    <row r="413" spans="13:14" x14ac:dyDescent="0.25">
      <c r="M413" s="15"/>
      <c r="N413" s="15"/>
    </row>
    <row r="414" spans="13:14" x14ac:dyDescent="0.25">
      <c r="M414" s="15"/>
      <c r="N414" s="15"/>
    </row>
    <row r="415" spans="13:14" x14ac:dyDescent="0.25">
      <c r="M415" s="15"/>
      <c r="N415" s="15"/>
    </row>
    <row r="416" spans="13:14" x14ac:dyDescent="0.25">
      <c r="M416" s="15"/>
      <c r="N416" s="15"/>
    </row>
    <row r="417" spans="13:14" x14ac:dyDescent="0.25">
      <c r="M417" s="15"/>
      <c r="N417" s="15"/>
    </row>
    <row r="418" spans="13:14" x14ac:dyDescent="0.25">
      <c r="M418" s="15"/>
      <c r="N418" s="15"/>
    </row>
    <row r="419" spans="13:14" x14ac:dyDescent="0.25">
      <c r="M419" s="15"/>
      <c r="N419" s="15"/>
    </row>
    <row r="420" spans="13:14" x14ac:dyDescent="0.25">
      <c r="M420" s="15"/>
      <c r="N420" s="15"/>
    </row>
    <row r="421" spans="13:14" x14ac:dyDescent="0.25">
      <c r="M421" s="15"/>
      <c r="N421" s="15"/>
    </row>
    <row r="422" spans="13:14" x14ac:dyDescent="0.25">
      <c r="M422" s="15"/>
      <c r="N422" s="15"/>
    </row>
    <row r="423" spans="13:14" x14ac:dyDescent="0.25">
      <c r="M423" s="15"/>
      <c r="N423" s="15"/>
    </row>
    <row r="424" spans="13:14" x14ac:dyDescent="0.25">
      <c r="M424" s="15"/>
      <c r="N424" s="15"/>
    </row>
    <row r="425" spans="13:14" x14ac:dyDescent="0.25">
      <c r="M425" s="15"/>
      <c r="N425" s="15"/>
    </row>
    <row r="426" spans="13:14" x14ac:dyDescent="0.25">
      <c r="M426" s="15"/>
      <c r="N426" s="15"/>
    </row>
    <row r="427" spans="13:14" x14ac:dyDescent="0.25">
      <c r="M427" s="15"/>
      <c r="N427" s="15"/>
    </row>
    <row r="428" spans="13:14" x14ac:dyDescent="0.25">
      <c r="M428" s="15"/>
      <c r="N428" s="15"/>
    </row>
    <row r="429" spans="13:14" x14ac:dyDescent="0.25">
      <c r="M429" s="15"/>
      <c r="N429" s="15"/>
    </row>
    <row r="430" spans="13:14" x14ac:dyDescent="0.25">
      <c r="M430" s="15"/>
      <c r="N430" s="15"/>
    </row>
    <row r="431" spans="13:14" x14ac:dyDescent="0.25">
      <c r="M431" s="15"/>
      <c r="N431" s="15"/>
    </row>
    <row r="432" spans="13:14" x14ac:dyDescent="0.25">
      <c r="M432" s="15"/>
      <c r="N432" s="15"/>
    </row>
    <row r="433" spans="13:14" x14ac:dyDescent="0.25">
      <c r="M433" s="15"/>
      <c r="N433" s="15"/>
    </row>
    <row r="434" spans="13:14" x14ac:dyDescent="0.25">
      <c r="M434" s="15"/>
      <c r="N434" s="15"/>
    </row>
    <row r="435" spans="13:14" x14ac:dyDescent="0.25">
      <c r="M435" s="15"/>
      <c r="N435" s="15"/>
    </row>
    <row r="436" spans="13:14" x14ac:dyDescent="0.25">
      <c r="M436" s="15"/>
      <c r="N436" s="15"/>
    </row>
    <row r="437" spans="13:14" x14ac:dyDescent="0.25">
      <c r="M437" s="15"/>
      <c r="N437" s="15"/>
    </row>
    <row r="438" spans="13:14" x14ac:dyDescent="0.25">
      <c r="M438" s="15"/>
      <c r="N438" s="15"/>
    </row>
    <row r="439" spans="13:14" x14ac:dyDescent="0.25">
      <c r="M439" s="15"/>
      <c r="N439" s="15"/>
    </row>
    <row r="440" spans="13:14" x14ac:dyDescent="0.25">
      <c r="M440" s="15"/>
      <c r="N440" s="15"/>
    </row>
    <row r="441" spans="13:14" x14ac:dyDescent="0.25">
      <c r="M441" s="15"/>
      <c r="N441" s="15"/>
    </row>
    <row r="442" spans="13:14" x14ac:dyDescent="0.25">
      <c r="M442" s="15"/>
      <c r="N442" s="15"/>
    </row>
    <row r="443" spans="13:14" x14ac:dyDescent="0.25">
      <c r="M443" s="15"/>
      <c r="N443" s="15"/>
    </row>
    <row r="444" spans="13:14" x14ac:dyDescent="0.25">
      <c r="M444" s="15"/>
      <c r="N444" s="15"/>
    </row>
    <row r="445" spans="13:14" x14ac:dyDescent="0.25">
      <c r="M445" s="15"/>
      <c r="N445" s="15"/>
    </row>
    <row r="446" spans="13:14" x14ac:dyDescent="0.25">
      <c r="M446" s="15"/>
      <c r="N446" s="15"/>
    </row>
    <row r="447" spans="13:14" x14ac:dyDescent="0.25">
      <c r="M447" s="15"/>
      <c r="N447" s="15"/>
    </row>
    <row r="448" spans="13:14" x14ac:dyDescent="0.25">
      <c r="M448" s="15"/>
      <c r="N448" s="15"/>
    </row>
    <row r="449" spans="13:14" x14ac:dyDescent="0.25">
      <c r="M449" s="15"/>
      <c r="N449" s="15"/>
    </row>
    <row r="450" spans="13:14" x14ac:dyDescent="0.25">
      <c r="M450" s="15"/>
      <c r="N450" s="15"/>
    </row>
    <row r="451" spans="13:14" x14ac:dyDescent="0.25">
      <c r="M451" s="15"/>
      <c r="N451" s="15"/>
    </row>
    <row r="452" spans="13:14" x14ac:dyDescent="0.25">
      <c r="M452" s="15"/>
      <c r="N452" s="15"/>
    </row>
    <row r="453" spans="13:14" x14ac:dyDescent="0.25">
      <c r="M453" s="15"/>
      <c r="N453" s="15"/>
    </row>
    <row r="454" spans="13:14" x14ac:dyDescent="0.25">
      <c r="M454" s="15"/>
      <c r="N454" s="15"/>
    </row>
    <row r="455" spans="13:14" x14ac:dyDescent="0.25">
      <c r="M455" s="15"/>
      <c r="N455" s="15"/>
    </row>
    <row r="456" spans="13:14" x14ac:dyDescent="0.25">
      <c r="M456" s="15"/>
      <c r="N456" s="15"/>
    </row>
    <row r="457" spans="13:14" x14ac:dyDescent="0.25">
      <c r="M457" s="15"/>
      <c r="N457" s="15"/>
    </row>
    <row r="458" spans="13:14" x14ac:dyDescent="0.25">
      <c r="M458" s="15"/>
      <c r="N458" s="15"/>
    </row>
    <row r="459" spans="13:14" x14ac:dyDescent="0.25">
      <c r="M459" s="15"/>
      <c r="N459" s="15"/>
    </row>
    <row r="460" spans="13:14" x14ac:dyDescent="0.25">
      <c r="M460" s="15"/>
      <c r="N460" s="15"/>
    </row>
    <row r="461" spans="13:14" x14ac:dyDescent="0.25">
      <c r="M461" s="15"/>
      <c r="N461" s="15"/>
    </row>
    <row r="462" spans="13:14" x14ac:dyDescent="0.25">
      <c r="M462" s="15"/>
      <c r="N462" s="15"/>
    </row>
    <row r="463" spans="13:14" x14ac:dyDescent="0.25">
      <c r="M463" s="15"/>
      <c r="N463" s="15"/>
    </row>
    <row r="464" spans="13:14" x14ac:dyDescent="0.25">
      <c r="M464" s="15"/>
      <c r="N464" s="15"/>
    </row>
    <row r="465" spans="9:14" x14ac:dyDescent="0.25">
      <c r="M465" s="15"/>
      <c r="N465" s="15"/>
    </row>
    <row r="466" spans="9:14" x14ac:dyDescent="0.25">
      <c r="M466" s="15"/>
      <c r="N466" s="15"/>
    </row>
    <row r="467" spans="9:14" x14ac:dyDescent="0.25">
      <c r="M467" s="15"/>
      <c r="N467" s="15"/>
    </row>
    <row r="468" spans="9:14" x14ac:dyDescent="0.25">
      <c r="M468" s="15"/>
      <c r="N468" s="15"/>
    </row>
    <row r="469" spans="9:14" x14ac:dyDescent="0.25">
      <c r="I469" s="22"/>
      <c r="J469" s="22"/>
      <c r="K469" s="22"/>
      <c r="L469" s="22"/>
    </row>
    <row r="470" spans="9:14" x14ac:dyDescent="0.25">
      <c r="I470" s="22"/>
      <c r="J470" s="22"/>
      <c r="K470" s="22"/>
      <c r="L470" s="22"/>
    </row>
    <row r="471" spans="9:14" x14ac:dyDescent="0.25">
      <c r="I471" s="22"/>
      <c r="J471" s="22"/>
      <c r="K471" s="22"/>
      <c r="L471" s="22"/>
    </row>
    <row r="472" spans="9:14" x14ac:dyDescent="0.25">
      <c r="I472" s="22"/>
      <c r="J472" s="22"/>
      <c r="K472" s="22"/>
      <c r="L472" s="22"/>
    </row>
    <row r="473" spans="9:14" x14ac:dyDescent="0.25">
      <c r="I473" s="22"/>
      <c r="J473" s="22"/>
      <c r="K473" s="22"/>
      <c r="L473" s="22"/>
    </row>
    <row r="474" spans="9:14" x14ac:dyDescent="0.25">
      <c r="I474" s="22"/>
      <c r="J474" s="22"/>
      <c r="K474" s="22"/>
      <c r="L474" s="22"/>
    </row>
    <row r="475" spans="9:14" x14ac:dyDescent="0.25">
      <c r="I475" s="22"/>
      <c r="J475" s="22"/>
      <c r="K475" s="22"/>
      <c r="L475" s="22"/>
    </row>
    <row r="476" spans="9:14" x14ac:dyDescent="0.25">
      <c r="I476" s="22"/>
      <c r="J476" s="22"/>
      <c r="K476" s="22"/>
      <c r="L476" s="22"/>
    </row>
    <row r="477" spans="9:14" x14ac:dyDescent="0.25">
      <c r="I477" s="22"/>
      <c r="J477" s="22"/>
      <c r="K477" s="22"/>
      <c r="L477" s="22"/>
    </row>
    <row r="478" spans="9:14" x14ac:dyDescent="0.25">
      <c r="I478" s="22"/>
      <c r="J478" s="22"/>
      <c r="K478" s="22"/>
      <c r="L478" s="22"/>
    </row>
    <row r="479" spans="9:14" x14ac:dyDescent="0.25">
      <c r="I479" s="22"/>
      <c r="J479" s="22"/>
      <c r="K479" s="22"/>
      <c r="L479" s="22"/>
    </row>
    <row r="480" spans="9:14" x14ac:dyDescent="0.25">
      <c r="I480" s="22"/>
      <c r="J480" s="22"/>
      <c r="K480" s="22"/>
      <c r="L480" s="22"/>
    </row>
    <row r="481" spans="9:12" x14ac:dyDescent="0.25">
      <c r="I481" s="22"/>
      <c r="J481" s="22"/>
      <c r="K481" s="22"/>
      <c r="L481" s="22"/>
    </row>
  </sheetData>
  <mergeCells count="140">
    <mergeCell ref="A332:M333"/>
    <mergeCell ref="A118:T119"/>
    <mergeCell ref="K318:K326"/>
    <mergeCell ref="C319:G319"/>
    <mergeCell ref="B320:B321"/>
    <mergeCell ref="I320:I321"/>
    <mergeCell ref="C321:D321"/>
    <mergeCell ref="B322:B323"/>
    <mergeCell ref="G322:G323"/>
    <mergeCell ref="H322:I323"/>
    <mergeCell ref="B324:B325"/>
    <mergeCell ref="C324:C325"/>
    <mergeCell ref="D324:D325"/>
    <mergeCell ref="E324:E325"/>
    <mergeCell ref="G324:G325"/>
    <mergeCell ref="H324:H325"/>
    <mergeCell ref="I324:I325"/>
    <mergeCell ref="G311:G312"/>
    <mergeCell ref="H311:H312"/>
    <mergeCell ref="A317:A326"/>
    <mergeCell ref="B318:B319"/>
    <mergeCell ref="H298:H299"/>
    <mergeCell ref="I298:I299"/>
    <mergeCell ref="A304:A313"/>
    <mergeCell ref="B305:B306"/>
    <mergeCell ref="K305:K313"/>
    <mergeCell ref="C306:G306"/>
    <mergeCell ref="B307:B308"/>
    <mergeCell ref="I307:I308"/>
    <mergeCell ref="C308:D308"/>
    <mergeCell ref="B309:B310"/>
    <mergeCell ref="G309:G310"/>
    <mergeCell ref="H309:I310"/>
    <mergeCell ref="B311:B312"/>
    <mergeCell ref="C311:C312"/>
    <mergeCell ref="D311:D312"/>
    <mergeCell ref="E311:E312"/>
    <mergeCell ref="D309:D310"/>
    <mergeCell ref="E309:E310"/>
    <mergeCell ref="F309:F310"/>
    <mergeCell ref="E307:E308"/>
    <mergeCell ref="C309:C310"/>
    <mergeCell ref="C322:C323"/>
    <mergeCell ref="D322:D323"/>
    <mergeCell ref="E322:E323"/>
    <mergeCell ref="F322:F323"/>
    <mergeCell ref="E320:E321"/>
    <mergeCell ref="A278:A287"/>
    <mergeCell ref="B279:B280"/>
    <mergeCell ref="K279:K287"/>
    <mergeCell ref="C280:G280"/>
    <mergeCell ref="B281:B282"/>
    <mergeCell ref="I281:I282"/>
    <mergeCell ref="C282:D282"/>
    <mergeCell ref="B283:B284"/>
    <mergeCell ref="I311:I312"/>
    <mergeCell ref="A291:A300"/>
    <mergeCell ref="B292:B293"/>
    <mergeCell ref="K292:K300"/>
    <mergeCell ref="C293:G293"/>
    <mergeCell ref="B294:B295"/>
    <mergeCell ref="I294:I295"/>
    <mergeCell ref="C295:D295"/>
    <mergeCell ref="B296:B297"/>
    <mergeCell ref="G296:G297"/>
    <mergeCell ref="H296:I297"/>
    <mergeCell ref="B298:B299"/>
    <mergeCell ref="C298:C299"/>
    <mergeCell ref="D298:D299"/>
    <mergeCell ref="E298:E299"/>
    <mergeCell ref="G298:G299"/>
    <mergeCell ref="K264:K274"/>
    <mergeCell ref="C265:G265"/>
    <mergeCell ref="B266:B267"/>
    <mergeCell ref="I266:I267"/>
    <mergeCell ref="C267:D267"/>
    <mergeCell ref="B268:B269"/>
    <mergeCell ref="C268:C269"/>
    <mergeCell ref="D268:D269"/>
    <mergeCell ref="E268:E269"/>
    <mergeCell ref="F268:F269"/>
    <mergeCell ref="G268:G269"/>
    <mergeCell ref="H268:I269"/>
    <mergeCell ref="B272:B273"/>
    <mergeCell ref="C272:C273"/>
    <mergeCell ref="D272:D273"/>
    <mergeCell ref="E272:E273"/>
    <mergeCell ref="C296:C297"/>
    <mergeCell ref="D296:D297"/>
    <mergeCell ref="E296:E297"/>
    <mergeCell ref="E253:E254"/>
    <mergeCell ref="G257:G258"/>
    <mergeCell ref="H257:H258"/>
    <mergeCell ref="I257:I258"/>
    <mergeCell ref="A263:A274"/>
    <mergeCell ref="B264:B265"/>
    <mergeCell ref="G272:G273"/>
    <mergeCell ref="H272:H273"/>
    <mergeCell ref="I272:I273"/>
    <mergeCell ref="A250:A259"/>
    <mergeCell ref="B251:B252"/>
    <mergeCell ref="H255:I256"/>
    <mergeCell ref="B257:B258"/>
    <mergeCell ref="F296:F297"/>
    <mergeCell ref="C257:C258"/>
    <mergeCell ref="D257:D258"/>
    <mergeCell ref="E257:E258"/>
    <mergeCell ref="G283:G284"/>
    <mergeCell ref="H283:I284"/>
    <mergeCell ref="B285:B286"/>
    <mergeCell ref="C285:C286"/>
    <mergeCell ref="D285:D286"/>
    <mergeCell ref="E285:E286"/>
    <mergeCell ref="G285:G286"/>
    <mergeCell ref="H285:H286"/>
    <mergeCell ref="I285:I286"/>
    <mergeCell ref="A208:H208"/>
    <mergeCell ref="D209:F212"/>
    <mergeCell ref="U184:U190"/>
    <mergeCell ref="H186:H192"/>
    <mergeCell ref="A224:T225"/>
    <mergeCell ref="A2:T3"/>
    <mergeCell ref="E294:E295"/>
    <mergeCell ref="C283:C284"/>
    <mergeCell ref="D283:D284"/>
    <mergeCell ref="E283:E284"/>
    <mergeCell ref="F283:F284"/>
    <mergeCell ref="E281:E282"/>
    <mergeCell ref="E266:E267"/>
    <mergeCell ref="C255:C256"/>
    <mergeCell ref="D255:D256"/>
    <mergeCell ref="E255:E256"/>
    <mergeCell ref="F255:F256"/>
    <mergeCell ref="K251:K259"/>
    <mergeCell ref="C252:G252"/>
    <mergeCell ref="B253:B254"/>
    <mergeCell ref="I253:I254"/>
    <mergeCell ref="C254:D254"/>
    <mergeCell ref="B255:B256"/>
    <mergeCell ref="G255:G256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5BCC-CCA2-4526-A9EE-1D8FBE8237F3}">
  <dimension ref="A1:AU364"/>
  <sheetViews>
    <sheetView topLeftCell="A240" zoomScale="70" zoomScaleNormal="70" workbookViewId="0">
      <selection activeCell="V196" sqref="V196"/>
    </sheetView>
  </sheetViews>
  <sheetFormatPr defaultColWidth="25.140625" defaultRowHeight="15" x14ac:dyDescent="0.25"/>
  <cols>
    <col min="1" max="1" width="17" style="15" customWidth="1"/>
    <col min="2" max="2" width="17.28515625" style="15" customWidth="1"/>
    <col min="3" max="3" width="32" style="15" customWidth="1"/>
    <col min="4" max="4" width="13.85546875" style="15" bestFit="1" customWidth="1"/>
    <col min="5" max="5" width="15.42578125" style="15" bestFit="1" customWidth="1"/>
    <col min="6" max="6" width="21.140625" style="15" customWidth="1"/>
    <col min="7" max="7" width="30.5703125" style="15" customWidth="1"/>
    <col min="8" max="8" width="36.7109375" style="15" bestFit="1" customWidth="1"/>
    <col min="9" max="9" width="4" style="15" customWidth="1"/>
    <col min="10" max="10" width="5.85546875" style="15" customWidth="1"/>
    <col min="11" max="11" width="6.85546875" style="15" customWidth="1"/>
    <col min="12" max="12" width="2.28515625" style="15" hidden="1" customWidth="1"/>
    <col min="13" max="13" width="3.28515625" style="22" customWidth="1"/>
    <col min="14" max="14" width="6.5703125" style="22" bestFit="1" customWidth="1"/>
    <col min="15" max="15" width="27.140625" style="15" bestFit="1" customWidth="1"/>
    <col min="16" max="17" width="11" style="15" bestFit="1" customWidth="1"/>
    <col min="18" max="18" width="15.42578125" style="15" bestFit="1" customWidth="1"/>
    <col min="19" max="19" width="15.7109375" style="15" customWidth="1"/>
    <col min="20" max="20" width="35.85546875" style="15" customWidth="1"/>
    <col min="21" max="21" width="9.42578125" style="15" bestFit="1" customWidth="1"/>
    <col min="22" max="22" width="58.85546875" style="22" bestFit="1" customWidth="1"/>
    <col min="23" max="47" width="25.140625" style="22"/>
    <col min="48" max="16384" width="25.140625" style="15"/>
  </cols>
  <sheetData>
    <row r="1" spans="1:28" x14ac:dyDescent="0.25">
      <c r="A1" s="579" t="s">
        <v>9</v>
      </c>
      <c r="B1" s="579"/>
      <c r="C1" s="579"/>
      <c r="D1" s="579"/>
      <c r="E1" s="579"/>
      <c r="F1" s="579"/>
      <c r="G1" s="579"/>
    </row>
    <row r="2" spans="1:28" x14ac:dyDescent="0.25">
      <c r="A2" s="579"/>
      <c r="B2" s="579"/>
      <c r="C2" s="579"/>
      <c r="D2" s="579"/>
      <c r="E2" s="579"/>
      <c r="F2" s="579"/>
      <c r="G2" s="579"/>
    </row>
    <row r="3" spans="1:28" ht="15" customHeight="1" x14ac:dyDescent="0.25">
      <c r="A3" s="579"/>
      <c r="B3" s="579"/>
      <c r="C3" s="579"/>
      <c r="D3" s="579"/>
      <c r="E3" s="579"/>
      <c r="F3" s="579"/>
      <c r="G3" s="579"/>
      <c r="M3" s="186"/>
      <c r="N3" s="186"/>
      <c r="O3" s="186"/>
      <c r="P3" s="390"/>
      <c r="Q3" s="390"/>
      <c r="R3" s="390"/>
      <c r="S3" s="390"/>
      <c r="T3" s="390"/>
      <c r="U3" s="390"/>
      <c r="V3" s="186"/>
      <c r="W3" s="186"/>
      <c r="X3" s="186"/>
      <c r="Y3" s="186"/>
      <c r="Z3" s="186"/>
      <c r="AA3" s="186"/>
      <c r="AB3" s="186"/>
    </row>
    <row r="4" spans="1:28" x14ac:dyDescent="0.25">
      <c r="M4" s="186"/>
      <c r="N4" s="186"/>
      <c r="O4" s="390"/>
      <c r="P4" s="390"/>
      <c r="Q4" s="390"/>
      <c r="R4" s="390"/>
      <c r="S4" s="390"/>
      <c r="T4" s="390"/>
      <c r="U4" s="390"/>
      <c r="V4" s="186"/>
      <c r="W4" s="186"/>
      <c r="X4" s="186"/>
      <c r="Y4" s="186"/>
      <c r="Z4" s="186"/>
      <c r="AA4" s="186"/>
      <c r="AB4" s="186"/>
    </row>
    <row r="5" spans="1:28" x14ac:dyDescent="0.25">
      <c r="M5" s="186"/>
      <c r="N5" s="186"/>
      <c r="O5" s="390"/>
      <c r="P5" s="390"/>
      <c r="Q5" s="390"/>
      <c r="R5" s="390"/>
      <c r="S5" s="390"/>
      <c r="T5" s="390"/>
      <c r="U5" s="390"/>
      <c r="V5" s="186"/>
      <c r="W5" s="186"/>
      <c r="X5" s="186"/>
      <c r="Y5" s="186"/>
      <c r="Z5" s="186"/>
      <c r="AA5" s="186"/>
      <c r="AB5" s="186"/>
    </row>
    <row r="6" spans="1:28" x14ac:dyDescent="0.25"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  <c r="Z6" s="186"/>
      <c r="AA6" s="186"/>
      <c r="AB6" s="186"/>
    </row>
    <row r="7" spans="1:28" x14ac:dyDescent="0.25">
      <c r="A7" s="32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</row>
    <row r="8" spans="1:28" s="22" customFormat="1" ht="26.25" x14ac:dyDescent="0.4">
      <c r="A8" s="590" t="s">
        <v>166</v>
      </c>
      <c r="B8" s="590"/>
      <c r="C8" s="590"/>
      <c r="D8" s="590"/>
      <c r="E8" s="590"/>
      <c r="F8" s="590"/>
      <c r="G8" s="590"/>
      <c r="H8" s="590"/>
      <c r="I8" s="57"/>
      <c r="J8" s="57"/>
      <c r="K8" s="57"/>
      <c r="L8" s="57"/>
      <c r="M8" s="589"/>
      <c r="N8" s="589"/>
      <c r="O8" s="589"/>
      <c r="P8" s="589"/>
      <c r="Q8" s="589"/>
      <c r="R8" s="589"/>
      <c r="S8" s="589"/>
      <c r="T8" s="589"/>
      <c r="U8" s="186"/>
      <c r="V8" s="186"/>
      <c r="W8" s="186"/>
      <c r="X8" s="186"/>
      <c r="Y8" s="186"/>
      <c r="Z8" s="186"/>
      <c r="AA8" s="186"/>
      <c r="AB8" s="186"/>
    </row>
    <row r="9" spans="1:28" s="22" customFormat="1" ht="15" customHeight="1" x14ac:dyDescent="0.5">
      <c r="A9" s="530" t="s">
        <v>266</v>
      </c>
      <c r="B9" s="530"/>
      <c r="C9" s="530"/>
      <c r="D9" s="530"/>
      <c r="E9" s="530"/>
      <c r="F9" s="530"/>
      <c r="G9" s="530"/>
      <c r="H9" s="530"/>
      <c r="I9" s="530"/>
      <c r="J9" s="530"/>
      <c r="K9" s="530"/>
      <c r="L9" s="152"/>
      <c r="M9" s="391"/>
      <c r="N9" s="391"/>
      <c r="O9" s="391"/>
      <c r="P9" s="391"/>
      <c r="Q9" s="391"/>
      <c r="R9" s="391"/>
      <c r="S9" s="391"/>
      <c r="T9" s="391"/>
      <c r="U9" s="186"/>
      <c r="V9" s="186"/>
      <c r="W9" s="186"/>
      <c r="X9" s="186"/>
      <c r="Y9" s="186"/>
      <c r="Z9" s="186"/>
      <c r="AA9" s="186"/>
      <c r="AB9" s="186"/>
    </row>
    <row r="10" spans="1:28" s="22" customFormat="1" ht="15" customHeight="1" x14ac:dyDescent="0.5">
      <c r="A10" s="530"/>
      <c r="B10" s="530"/>
      <c r="C10" s="530"/>
      <c r="D10" s="530"/>
      <c r="E10" s="530"/>
      <c r="F10" s="530"/>
      <c r="G10" s="530"/>
      <c r="H10" s="530"/>
      <c r="I10" s="530"/>
      <c r="J10" s="530"/>
      <c r="K10" s="530"/>
      <c r="L10" s="152"/>
      <c r="M10" s="391"/>
      <c r="N10" s="391"/>
      <c r="O10" s="391"/>
      <c r="P10" s="391"/>
      <c r="Q10" s="391"/>
      <c r="R10" s="391"/>
      <c r="S10" s="391"/>
      <c r="T10" s="391"/>
      <c r="U10" s="186"/>
      <c r="V10" s="186"/>
      <c r="W10" s="186"/>
      <c r="X10" s="186"/>
      <c r="Y10" s="186"/>
      <c r="Z10" s="186"/>
      <c r="AA10" s="186"/>
      <c r="AB10" s="186"/>
    </row>
    <row r="11" spans="1:28" s="22" customFormat="1" ht="75" x14ac:dyDescent="0.25">
      <c r="A11" s="137" t="s">
        <v>252</v>
      </c>
      <c r="B11" s="13" t="s">
        <v>15</v>
      </c>
      <c r="C11" s="13" t="s">
        <v>11</v>
      </c>
      <c r="D11" s="13" t="s">
        <v>12</v>
      </c>
      <c r="E11" s="13" t="s">
        <v>13</v>
      </c>
      <c r="F11" s="13" t="s">
        <v>14</v>
      </c>
      <c r="G11" s="13" t="s">
        <v>0</v>
      </c>
      <c r="I11" s="15" t="s">
        <v>187</v>
      </c>
      <c r="J11" s="15" t="s">
        <v>186</v>
      </c>
      <c r="K11" s="57"/>
      <c r="L11" s="57"/>
      <c r="M11" s="186"/>
      <c r="N11" s="186"/>
      <c r="O11" s="392"/>
      <c r="P11" s="392"/>
      <c r="Q11" s="392"/>
      <c r="R11" s="392"/>
      <c r="S11" s="392"/>
      <c r="T11" s="392"/>
      <c r="U11" s="186"/>
      <c r="V11" s="186"/>
      <c r="W11" s="186"/>
      <c r="X11" s="186"/>
      <c r="Y11" s="186"/>
      <c r="Z11" s="186"/>
      <c r="AA11" s="186"/>
      <c r="AB11" s="186"/>
    </row>
    <row r="12" spans="1:28" s="22" customFormat="1" ht="60" x14ac:dyDescent="0.25">
      <c r="A12" s="32">
        <v>4</v>
      </c>
      <c r="B12" s="14" t="s">
        <v>2</v>
      </c>
      <c r="C12" s="25">
        <v>0.625</v>
      </c>
      <c r="D12" s="25">
        <v>0.66666666666666696</v>
      </c>
      <c r="E12" s="14">
        <v>1</v>
      </c>
      <c r="F12" s="24"/>
      <c r="G12" s="14" t="s">
        <v>101</v>
      </c>
      <c r="I12" s="57" t="s">
        <v>182</v>
      </c>
      <c r="J12" s="57" t="s">
        <v>181</v>
      </c>
      <c r="K12" s="57"/>
      <c r="L12" s="57"/>
      <c r="M12" s="186"/>
      <c r="N12" s="186"/>
      <c r="O12" s="393"/>
      <c r="P12" s="394"/>
      <c r="Q12" s="394"/>
      <c r="R12" s="393"/>
      <c r="S12" s="395"/>
      <c r="T12" s="393"/>
      <c r="U12" s="186"/>
      <c r="V12" s="186"/>
      <c r="W12" s="186"/>
      <c r="X12" s="186"/>
      <c r="Y12" s="186"/>
      <c r="Z12" s="186"/>
      <c r="AA12" s="186"/>
      <c r="AB12" s="186"/>
    </row>
    <row r="13" spans="1:28" s="22" customFormat="1" ht="105" x14ac:dyDescent="0.25">
      <c r="A13" s="32">
        <v>5</v>
      </c>
      <c r="B13" s="14" t="s">
        <v>3</v>
      </c>
      <c r="C13" s="25"/>
      <c r="D13" s="25"/>
      <c r="E13" s="14"/>
      <c r="F13" s="24"/>
      <c r="G13" s="14"/>
      <c r="I13" s="57" t="s">
        <v>180</v>
      </c>
      <c r="J13" s="57" t="s">
        <v>179</v>
      </c>
      <c r="K13" s="57"/>
      <c r="L13" s="57"/>
      <c r="M13" s="186"/>
      <c r="N13" s="186"/>
      <c r="O13" s="393"/>
      <c r="P13" s="394"/>
      <c r="Q13" s="394"/>
      <c r="R13" s="393"/>
      <c r="S13" s="395"/>
      <c r="T13" s="393"/>
      <c r="U13" s="186"/>
      <c r="V13" s="186"/>
      <c r="W13" s="186"/>
      <c r="X13" s="186"/>
      <c r="Y13" s="186"/>
      <c r="Z13" s="186"/>
      <c r="AA13" s="186"/>
      <c r="AB13" s="186"/>
    </row>
    <row r="14" spans="1:28" s="22" customFormat="1" x14ac:dyDescent="0.25">
      <c r="A14" s="32">
        <v>6</v>
      </c>
      <c r="B14" s="14" t="s">
        <v>4</v>
      </c>
      <c r="C14" s="25">
        <v>0.625</v>
      </c>
      <c r="D14" s="25">
        <v>0.66666666666666696</v>
      </c>
      <c r="E14" s="14">
        <v>1</v>
      </c>
      <c r="F14" s="24"/>
      <c r="G14" s="14" t="s">
        <v>102</v>
      </c>
      <c r="I14" s="57"/>
      <c r="J14" s="57"/>
      <c r="K14" s="57"/>
      <c r="L14" s="57"/>
      <c r="M14" s="186"/>
      <c r="N14" s="186"/>
      <c r="O14" s="393"/>
      <c r="P14" s="394"/>
      <c r="Q14" s="394"/>
      <c r="R14" s="393"/>
      <c r="S14" s="395"/>
      <c r="T14" s="393"/>
      <c r="U14" s="186"/>
      <c r="V14" s="186"/>
      <c r="W14" s="186"/>
      <c r="X14" s="186"/>
      <c r="Y14" s="186"/>
      <c r="Z14" s="186"/>
      <c r="AA14" s="186"/>
      <c r="AB14" s="186"/>
    </row>
    <row r="15" spans="1:28" s="22" customFormat="1" x14ac:dyDescent="0.25">
      <c r="A15" s="32">
        <v>7</v>
      </c>
      <c r="B15" s="14" t="s">
        <v>5</v>
      </c>
      <c r="C15" s="26"/>
      <c r="D15" s="26"/>
      <c r="E15" s="15"/>
      <c r="F15" s="24"/>
      <c r="G15" s="14"/>
      <c r="I15" s="57"/>
      <c r="J15" s="57"/>
      <c r="K15" s="57"/>
      <c r="L15" s="57"/>
      <c r="M15" s="186"/>
      <c r="N15" s="186"/>
      <c r="O15" s="393"/>
      <c r="P15" s="394"/>
      <c r="Q15" s="394"/>
      <c r="R15" s="393"/>
      <c r="S15" s="395"/>
      <c r="T15" s="393"/>
      <c r="U15" s="186"/>
      <c r="V15" s="186"/>
      <c r="W15" s="186"/>
      <c r="X15" s="186"/>
      <c r="Y15" s="186"/>
      <c r="Z15" s="186"/>
      <c r="AA15" s="186"/>
      <c r="AB15" s="186"/>
    </row>
    <row r="16" spans="1:28" s="22" customFormat="1" x14ac:dyDescent="0.25">
      <c r="A16" s="32">
        <v>8</v>
      </c>
      <c r="B16" s="14"/>
      <c r="C16" s="25"/>
      <c r="D16" s="25"/>
      <c r="E16" s="14"/>
      <c r="F16" s="24"/>
      <c r="G16" s="14"/>
      <c r="I16" s="57"/>
      <c r="J16" s="57"/>
      <c r="K16" s="57"/>
      <c r="L16" s="57"/>
      <c r="M16" s="186"/>
      <c r="N16" s="186"/>
      <c r="O16" s="393"/>
      <c r="P16" s="393"/>
      <c r="Q16" s="393"/>
      <c r="R16" s="393"/>
      <c r="S16" s="395"/>
      <c r="T16" s="393"/>
      <c r="U16" s="186"/>
      <c r="V16" s="186"/>
      <c r="W16" s="186"/>
      <c r="X16" s="186"/>
      <c r="Y16" s="186"/>
      <c r="Z16" s="186"/>
      <c r="AA16" s="186"/>
      <c r="AB16" s="186"/>
    </row>
    <row r="17" spans="1:28" s="22" customFormat="1" x14ac:dyDescent="0.25">
      <c r="A17" s="32">
        <v>9</v>
      </c>
      <c r="B17" s="14" t="s">
        <v>6</v>
      </c>
      <c r="C17" s="14"/>
      <c r="D17" s="14"/>
      <c r="E17" s="14"/>
      <c r="F17" s="23"/>
      <c r="G17" s="21"/>
      <c r="I17" s="57"/>
      <c r="J17" s="57"/>
      <c r="K17" s="57"/>
      <c r="L17" s="57"/>
      <c r="M17" s="186"/>
      <c r="N17" s="186"/>
      <c r="O17" s="393"/>
      <c r="P17" s="393"/>
      <c r="Q17" s="393"/>
      <c r="R17" s="393"/>
      <c r="S17" s="395"/>
      <c r="T17" s="393"/>
      <c r="U17" s="186"/>
      <c r="V17" s="186"/>
      <c r="W17" s="186"/>
      <c r="X17" s="186"/>
      <c r="Y17" s="186"/>
      <c r="Z17" s="186"/>
      <c r="AA17" s="186"/>
      <c r="AB17" s="186"/>
    </row>
    <row r="18" spans="1:28" s="22" customFormat="1" x14ac:dyDescent="0.25">
      <c r="A18" s="32">
        <v>10</v>
      </c>
      <c r="B18" s="14" t="s">
        <v>7</v>
      </c>
      <c r="C18" s="14"/>
      <c r="D18" s="14"/>
      <c r="E18" s="14"/>
      <c r="F18" s="23"/>
      <c r="G18" s="21"/>
      <c r="I18" s="57"/>
      <c r="J18" s="57"/>
      <c r="K18" s="57"/>
      <c r="L18" s="57"/>
      <c r="M18" s="186"/>
      <c r="N18" s="186"/>
      <c r="O18" s="393"/>
      <c r="P18" s="394"/>
      <c r="Q18" s="394"/>
      <c r="R18" s="393"/>
      <c r="S18" s="395"/>
      <c r="T18" s="393"/>
      <c r="U18" s="186"/>
      <c r="V18" s="186"/>
      <c r="W18" s="186"/>
      <c r="X18" s="186"/>
      <c r="Y18" s="186"/>
      <c r="Z18" s="186"/>
      <c r="AA18" s="186"/>
      <c r="AB18" s="186"/>
    </row>
    <row r="19" spans="1:28" s="22" customFormat="1" x14ac:dyDescent="0.25">
      <c r="A19" s="32">
        <v>11</v>
      </c>
      <c r="B19" s="14" t="s">
        <v>8</v>
      </c>
      <c r="C19" s="25"/>
      <c r="D19" s="25"/>
      <c r="E19" s="14"/>
      <c r="F19" s="23"/>
      <c r="G19" s="53"/>
      <c r="I19" s="57"/>
      <c r="J19" s="57"/>
      <c r="K19" s="57"/>
      <c r="L19" s="57"/>
      <c r="M19" s="186"/>
      <c r="N19" s="186"/>
      <c r="O19" s="392"/>
      <c r="P19" s="396"/>
      <c r="Q19" s="396"/>
      <c r="R19" s="39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</row>
    <row r="20" spans="1:28" s="22" customFormat="1" x14ac:dyDescent="0.25">
      <c r="A20" s="15"/>
      <c r="B20" s="13" t="s">
        <v>26</v>
      </c>
      <c r="C20" s="15"/>
      <c r="D20" s="15"/>
      <c r="E20" s="32">
        <f>SUM(E12:E19)</f>
        <v>2</v>
      </c>
      <c r="G20" s="53"/>
      <c r="I20" s="57"/>
      <c r="J20" s="57"/>
      <c r="K20" s="57"/>
      <c r="L20" s="57"/>
      <c r="M20" s="186"/>
      <c r="N20" s="186"/>
      <c r="O20" s="392"/>
      <c r="P20" s="396"/>
      <c r="Q20" s="396"/>
      <c r="R20" s="39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</row>
    <row r="21" spans="1:28" s="22" customFormat="1" x14ac:dyDescent="0.25">
      <c r="I21" s="57"/>
      <c r="J21" s="57"/>
      <c r="K21" s="57"/>
      <c r="L21" s="57"/>
      <c r="M21" s="186"/>
      <c r="N21" s="186"/>
      <c r="O21" s="392"/>
      <c r="P21" s="396"/>
      <c r="Q21" s="396"/>
      <c r="R21" s="39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</row>
    <row r="22" spans="1:28" s="22" customFormat="1" ht="30" x14ac:dyDescent="0.25">
      <c r="A22" s="15"/>
      <c r="B22" s="13" t="s">
        <v>42</v>
      </c>
      <c r="C22" s="13" t="s">
        <v>11</v>
      </c>
      <c r="D22" s="13" t="s">
        <v>12</v>
      </c>
      <c r="E22" s="13" t="s">
        <v>13</v>
      </c>
      <c r="F22" s="32" t="s">
        <v>150</v>
      </c>
      <c r="G22" s="13" t="s">
        <v>0</v>
      </c>
      <c r="H22" s="13" t="s">
        <v>43</v>
      </c>
      <c r="I22" s="57"/>
      <c r="J22" s="57"/>
      <c r="K22" s="57"/>
      <c r="L22" s="57"/>
      <c r="M22" s="186"/>
      <c r="N22" s="186"/>
      <c r="O22" s="392"/>
      <c r="P22" s="392"/>
      <c r="Q22" s="392"/>
      <c r="R22" s="392"/>
      <c r="S22" s="392"/>
      <c r="T22" s="392"/>
      <c r="U22" s="186"/>
      <c r="V22" s="186"/>
      <c r="W22" s="186"/>
      <c r="X22" s="186"/>
      <c r="Y22" s="186"/>
      <c r="Z22" s="186"/>
      <c r="AA22" s="186"/>
      <c r="AB22" s="186"/>
    </row>
    <row r="23" spans="1:28" s="22" customFormat="1" x14ac:dyDescent="0.25">
      <c r="A23" s="32">
        <v>12</v>
      </c>
      <c r="B23" s="14" t="s">
        <v>2</v>
      </c>
      <c r="C23" s="15"/>
      <c r="D23" s="15"/>
      <c r="E23" s="15"/>
      <c r="F23" s="15"/>
      <c r="G23" s="15"/>
      <c r="I23" s="57"/>
      <c r="J23" s="57"/>
      <c r="K23" s="57"/>
      <c r="L23" s="57"/>
      <c r="M23" s="186"/>
      <c r="N23" s="186"/>
      <c r="O23" s="393"/>
      <c r="P23" s="394"/>
      <c r="Q23" s="394"/>
      <c r="R23" s="393"/>
      <c r="S23" s="395"/>
      <c r="T23" s="393"/>
      <c r="U23" s="186"/>
      <c r="V23" s="186"/>
      <c r="W23" s="186"/>
      <c r="X23" s="186"/>
      <c r="Y23" s="186"/>
      <c r="Z23" s="186"/>
      <c r="AA23" s="186"/>
      <c r="AB23" s="186"/>
    </row>
    <row r="24" spans="1:28" x14ac:dyDescent="0.25">
      <c r="A24" s="32">
        <v>13</v>
      </c>
      <c r="B24" s="14" t="s">
        <v>3</v>
      </c>
      <c r="C24" s="26"/>
      <c r="D24" s="26"/>
      <c r="H24" s="22"/>
      <c r="I24" s="57"/>
      <c r="J24" s="57"/>
      <c r="K24" s="57"/>
      <c r="L24" s="57"/>
      <c r="M24" s="186"/>
      <c r="N24" s="186"/>
      <c r="O24" s="393"/>
      <c r="P24" s="397"/>
      <c r="Q24" s="394"/>
      <c r="R24" s="393"/>
      <c r="S24" s="395"/>
      <c r="T24" s="393"/>
      <c r="U24" s="186"/>
      <c r="V24" s="186"/>
      <c r="W24" s="186"/>
      <c r="X24" s="186"/>
      <c r="Y24" s="186"/>
      <c r="Z24" s="186"/>
      <c r="AA24" s="186"/>
      <c r="AB24" s="186"/>
    </row>
    <row r="25" spans="1:28" x14ac:dyDescent="0.25">
      <c r="A25" s="32">
        <v>14</v>
      </c>
      <c r="B25" s="14" t="s">
        <v>4</v>
      </c>
      <c r="H25" s="22"/>
      <c r="I25" s="57"/>
      <c r="J25" s="57"/>
      <c r="K25" s="57"/>
      <c r="L25" s="57"/>
      <c r="M25" s="186"/>
      <c r="N25" s="186"/>
      <c r="O25" s="393"/>
      <c r="P25" s="398"/>
      <c r="Q25" s="398"/>
      <c r="R25" s="393"/>
      <c r="S25" s="395"/>
      <c r="T25" s="393"/>
      <c r="U25" s="186"/>
      <c r="V25" s="186"/>
      <c r="W25" s="186"/>
      <c r="X25" s="186"/>
      <c r="Y25" s="186"/>
      <c r="Z25" s="186"/>
      <c r="AA25" s="186"/>
      <c r="AB25" s="186"/>
    </row>
    <row r="26" spans="1:28" x14ac:dyDescent="0.25">
      <c r="A26" s="32">
        <v>15</v>
      </c>
      <c r="B26" s="14" t="s">
        <v>5</v>
      </c>
      <c r="C26" s="25"/>
      <c r="D26" s="25"/>
      <c r="H26" s="22"/>
      <c r="I26" s="57"/>
      <c r="J26" s="57"/>
      <c r="K26" s="57"/>
      <c r="L26" s="57"/>
      <c r="M26" s="186"/>
      <c r="N26" s="186"/>
      <c r="O26" s="393"/>
      <c r="P26" s="394"/>
      <c r="Q26" s="394"/>
      <c r="R26" s="393"/>
      <c r="S26" s="395"/>
      <c r="T26" s="393"/>
      <c r="U26" s="186"/>
      <c r="V26" s="186"/>
      <c r="W26" s="186"/>
      <c r="X26" s="186"/>
      <c r="Y26" s="186"/>
      <c r="Z26" s="186"/>
      <c r="AA26" s="186"/>
      <c r="AB26" s="186"/>
    </row>
    <row r="27" spans="1:28" x14ac:dyDescent="0.25">
      <c r="A27" s="32">
        <v>16</v>
      </c>
      <c r="B27" s="14" t="s">
        <v>6</v>
      </c>
      <c r="C27" s="26"/>
      <c r="D27" s="26"/>
      <c r="H27" s="22"/>
      <c r="I27" s="57"/>
      <c r="J27" s="57"/>
      <c r="K27" s="57"/>
      <c r="L27" s="57"/>
      <c r="M27" s="186"/>
      <c r="N27" s="186"/>
      <c r="O27" s="393"/>
      <c r="P27" s="393"/>
      <c r="Q27" s="393"/>
      <c r="R27" s="393"/>
      <c r="S27" s="395"/>
      <c r="T27" s="393"/>
      <c r="U27" s="186"/>
      <c r="V27" s="186"/>
      <c r="W27" s="186"/>
      <c r="X27" s="186"/>
      <c r="Y27" s="186"/>
      <c r="Z27" s="186"/>
      <c r="AA27" s="186"/>
      <c r="AB27" s="186"/>
    </row>
    <row r="28" spans="1:28" x14ac:dyDescent="0.25">
      <c r="A28" s="32">
        <v>17</v>
      </c>
      <c r="B28" s="14" t="s">
        <v>7</v>
      </c>
      <c r="H28" s="22"/>
      <c r="I28" s="57"/>
      <c r="J28" s="57"/>
      <c r="K28" s="57"/>
      <c r="L28" s="57"/>
      <c r="M28" s="186"/>
      <c r="N28" s="186"/>
      <c r="O28" s="393"/>
      <c r="P28" s="393"/>
      <c r="Q28" s="393"/>
      <c r="R28" s="393"/>
      <c r="S28" s="395"/>
      <c r="T28" s="393"/>
      <c r="U28" s="186"/>
      <c r="V28" s="186"/>
      <c r="W28" s="186"/>
      <c r="X28" s="186"/>
      <c r="Y28" s="186"/>
      <c r="Z28" s="186"/>
      <c r="AA28" s="186"/>
      <c r="AB28" s="186"/>
    </row>
    <row r="29" spans="1:28" x14ac:dyDescent="0.25">
      <c r="A29" s="32">
        <v>18</v>
      </c>
      <c r="B29" s="14" t="s">
        <v>8</v>
      </c>
      <c r="H29" s="22"/>
      <c r="I29" s="57"/>
      <c r="J29" s="57"/>
      <c r="K29" s="57"/>
      <c r="L29" s="57"/>
      <c r="M29" s="186"/>
      <c r="N29" s="186"/>
      <c r="O29" s="393"/>
      <c r="P29" s="394"/>
      <c r="Q29" s="394"/>
      <c r="R29" s="393"/>
      <c r="S29" s="395"/>
      <c r="T29" s="393"/>
      <c r="U29" s="186"/>
      <c r="V29" s="186"/>
      <c r="W29" s="186"/>
      <c r="X29" s="186"/>
      <c r="Y29" s="186"/>
      <c r="Z29" s="186"/>
      <c r="AA29" s="186"/>
      <c r="AB29" s="186"/>
    </row>
    <row r="30" spans="1:28" x14ac:dyDescent="0.25">
      <c r="B30" s="13" t="s">
        <v>26</v>
      </c>
      <c r="C30" s="32"/>
      <c r="D30" s="32"/>
      <c r="E30" s="32">
        <f>SUM(E23:E29)</f>
        <v>0</v>
      </c>
      <c r="F30" s="115" t="s">
        <v>393</v>
      </c>
      <c r="G30" s="145" t="s">
        <v>397</v>
      </c>
      <c r="H30" s="22"/>
      <c r="I30" s="57"/>
      <c r="J30" s="57"/>
      <c r="K30" s="57"/>
      <c r="L30" s="57"/>
      <c r="M30" s="186"/>
      <c r="N30" s="186"/>
      <c r="O30" s="392"/>
      <c r="P30" s="396"/>
      <c r="Q30" s="396"/>
      <c r="R30" s="39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</row>
    <row r="31" spans="1:28" x14ac:dyDescent="0.25">
      <c r="A31" s="144" t="s">
        <v>230</v>
      </c>
      <c r="B31" s="35" t="s">
        <v>227</v>
      </c>
      <c r="C31" s="17"/>
      <c r="D31" s="17"/>
      <c r="E31" s="17">
        <f>SUM(E30+E20)</f>
        <v>2</v>
      </c>
      <c r="F31" s="115">
        <f>SUM(1*[3]Marg_hist!G3)</f>
        <v>5</v>
      </c>
      <c r="G31" s="329">
        <f>SUM(E31+G20)-F31</f>
        <v>-3</v>
      </c>
      <c r="H31" s="43"/>
      <c r="I31" s="57"/>
      <c r="J31" s="57"/>
      <c r="K31" s="57"/>
      <c r="L31" s="57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</row>
    <row r="32" spans="1:28" x14ac:dyDescent="0.25">
      <c r="A32" s="278">
        <v>43180</v>
      </c>
      <c r="H32" s="22"/>
      <c r="I32" s="57"/>
      <c r="J32" s="57"/>
      <c r="K32" s="57"/>
      <c r="L32" s="57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</row>
    <row r="33" spans="1:47" x14ac:dyDescent="0.25">
      <c r="A33" s="32"/>
      <c r="H33" s="22"/>
      <c r="I33" s="57"/>
      <c r="J33" s="57"/>
      <c r="K33" s="57"/>
      <c r="L33" s="57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</row>
    <row r="34" spans="1:47" ht="30" x14ac:dyDescent="0.25">
      <c r="A34" s="32"/>
      <c r="B34" s="13" t="s">
        <v>46</v>
      </c>
      <c r="C34" s="13" t="s">
        <v>11</v>
      </c>
      <c r="D34" s="13" t="s">
        <v>12</v>
      </c>
      <c r="E34" s="13" t="s">
        <v>13</v>
      </c>
      <c r="F34" s="32" t="s">
        <v>150</v>
      </c>
      <c r="G34" s="13" t="s">
        <v>0</v>
      </c>
      <c r="H34" s="13" t="s">
        <v>43</v>
      </c>
      <c r="I34" s="57"/>
      <c r="J34" s="57"/>
      <c r="K34" s="57"/>
      <c r="L34" s="57"/>
      <c r="M34" s="186"/>
      <c r="N34" s="186"/>
      <c r="O34" s="392"/>
      <c r="P34" s="392"/>
      <c r="Q34" s="392"/>
      <c r="R34" s="392"/>
      <c r="S34" s="392"/>
      <c r="T34" s="392"/>
      <c r="U34" s="186"/>
      <c r="V34" s="186"/>
      <c r="W34" s="186"/>
      <c r="X34" s="186"/>
      <c r="Y34" s="186"/>
      <c r="Z34" s="186"/>
      <c r="AA34" s="186"/>
      <c r="AB34" s="186"/>
    </row>
    <row r="35" spans="1:47" x14ac:dyDescent="0.25">
      <c r="A35" s="32">
        <v>19</v>
      </c>
      <c r="B35" s="14" t="s">
        <v>2</v>
      </c>
      <c r="H35" s="22"/>
      <c r="I35" s="57"/>
      <c r="J35" s="57"/>
      <c r="K35" s="57"/>
      <c r="L35" s="57"/>
      <c r="M35" s="186"/>
      <c r="N35" s="186"/>
      <c r="O35" s="393"/>
      <c r="P35" s="394"/>
      <c r="Q35" s="394"/>
      <c r="R35" s="393"/>
      <c r="S35" s="395"/>
      <c r="T35" s="393"/>
      <c r="U35" s="186"/>
      <c r="V35" s="186"/>
      <c r="W35" s="186"/>
      <c r="X35" s="186"/>
      <c r="Y35" s="186"/>
      <c r="Z35" s="186"/>
      <c r="AA35" s="186"/>
      <c r="AB35" s="186"/>
    </row>
    <row r="36" spans="1:47" x14ac:dyDescent="0.25">
      <c r="A36" s="32">
        <v>20</v>
      </c>
      <c r="B36" s="14" t="s">
        <v>3</v>
      </c>
      <c r="H36" s="22"/>
      <c r="I36" s="57"/>
      <c r="J36" s="57"/>
      <c r="K36" s="57"/>
      <c r="L36" s="57"/>
      <c r="M36" s="186"/>
      <c r="N36" s="186"/>
      <c r="O36" s="393"/>
      <c r="P36" s="397"/>
      <c r="Q36" s="394"/>
      <c r="R36" s="393"/>
      <c r="S36" s="395"/>
      <c r="T36" s="393"/>
      <c r="U36" s="186"/>
      <c r="V36" s="186"/>
      <c r="W36" s="186"/>
      <c r="X36" s="186"/>
      <c r="Y36" s="186"/>
      <c r="Z36" s="186"/>
      <c r="AA36" s="186"/>
      <c r="AB36" s="186"/>
    </row>
    <row r="37" spans="1:47" x14ac:dyDescent="0.25">
      <c r="A37" s="32">
        <v>21</v>
      </c>
      <c r="B37" s="14" t="s">
        <v>4</v>
      </c>
      <c r="H37" s="22"/>
      <c r="I37" s="57"/>
      <c r="J37" s="57"/>
      <c r="K37" s="57"/>
      <c r="L37" s="57"/>
      <c r="M37" s="186"/>
      <c r="N37" s="186"/>
      <c r="O37" s="393"/>
      <c r="P37" s="398"/>
      <c r="Q37" s="398"/>
      <c r="R37" s="393"/>
      <c r="S37" s="395"/>
      <c r="T37" s="393"/>
      <c r="U37" s="186"/>
      <c r="V37" s="186"/>
      <c r="W37" s="186"/>
      <c r="X37" s="186"/>
      <c r="Y37" s="186"/>
      <c r="Z37" s="186"/>
      <c r="AA37" s="186"/>
      <c r="AB37" s="186"/>
    </row>
    <row r="38" spans="1:47" x14ac:dyDescent="0.25">
      <c r="A38" s="32">
        <v>22</v>
      </c>
      <c r="B38" s="14" t="s">
        <v>5</v>
      </c>
      <c r="C38" s="25"/>
      <c r="D38" s="25"/>
      <c r="H38" s="22"/>
      <c r="I38" s="57"/>
      <c r="J38" s="57"/>
      <c r="K38" s="57"/>
      <c r="L38" s="57"/>
      <c r="M38" s="186"/>
      <c r="N38" s="186"/>
      <c r="O38" s="393"/>
      <c r="P38" s="397"/>
      <c r="Q38" s="397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86"/>
    </row>
    <row r="39" spans="1:47" s="43" customFormat="1" x14ac:dyDescent="0.25">
      <c r="A39" s="32">
        <v>23</v>
      </c>
      <c r="B39" s="14" t="s">
        <v>6</v>
      </c>
      <c r="C39" s="26"/>
      <c r="D39" s="26"/>
      <c r="E39" s="15"/>
      <c r="F39" s="22"/>
      <c r="G39" s="22"/>
      <c r="H39" s="22"/>
      <c r="I39" s="57"/>
      <c r="J39" s="57"/>
      <c r="K39" s="57"/>
      <c r="L39" s="57"/>
      <c r="M39" s="186"/>
      <c r="N39" s="186"/>
      <c r="O39" s="393"/>
      <c r="P39" s="399"/>
      <c r="Q39" s="399"/>
      <c r="R39" s="393"/>
      <c r="S39" s="395"/>
      <c r="T39" s="393"/>
      <c r="U39" s="186"/>
      <c r="V39" s="186"/>
      <c r="W39" s="186"/>
      <c r="X39" s="186"/>
      <c r="Y39" s="186"/>
      <c r="Z39" s="186"/>
      <c r="AA39" s="186"/>
      <c r="AB39" s="186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</row>
    <row r="40" spans="1:47" s="22" customFormat="1" x14ac:dyDescent="0.25">
      <c r="A40" s="32">
        <v>24</v>
      </c>
      <c r="B40" s="14" t="s">
        <v>7</v>
      </c>
      <c r="C40" s="15"/>
      <c r="D40" s="15"/>
      <c r="E40" s="15"/>
      <c r="I40" s="57"/>
      <c r="J40" s="57"/>
      <c r="K40" s="57"/>
      <c r="L40" s="57"/>
      <c r="M40" s="186"/>
      <c r="N40" s="186"/>
      <c r="O40" s="393"/>
      <c r="P40" s="393"/>
      <c r="Q40" s="393"/>
      <c r="R40" s="393"/>
      <c r="S40" s="395"/>
      <c r="T40" s="393"/>
      <c r="U40" s="186"/>
      <c r="V40" s="186"/>
      <c r="W40" s="186"/>
      <c r="X40" s="186"/>
      <c r="Y40" s="186"/>
      <c r="Z40" s="186"/>
      <c r="AA40" s="186"/>
      <c r="AB40" s="186"/>
    </row>
    <row r="41" spans="1:47" s="22" customFormat="1" x14ac:dyDescent="0.25">
      <c r="A41" s="32">
        <v>25</v>
      </c>
      <c r="B41" s="14" t="s">
        <v>8</v>
      </c>
      <c r="C41" s="15"/>
      <c r="D41" s="15"/>
      <c r="E41" s="15"/>
      <c r="G41" s="53"/>
      <c r="I41" s="57"/>
      <c r="J41" s="57"/>
      <c r="K41" s="57"/>
      <c r="L41" s="57"/>
      <c r="M41" s="186"/>
      <c r="N41" s="186"/>
      <c r="O41" s="393"/>
      <c r="P41" s="394"/>
      <c r="Q41" s="394"/>
      <c r="R41" s="393"/>
      <c r="S41" s="395"/>
      <c r="T41" s="393"/>
      <c r="U41" s="186"/>
      <c r="V41" s="186"/>
      <c r="W41" s="186"/>
      <c r="X41" s="186"/>
      <c r="Y41" s="186"/>
      <c r="Z41" s="186"/>
      <c r="AA41" s="186"/>
      <c r="AB41" s="186"/>
    </row>
    <row r="42" spans="1:47" s="22" customFormat="1" x14ac:dyDescent="0.25">
      <c r="A42" s="32"/>
      <c r="B42" s="13" t="s">
        <v>26</v>
      </c>
      <c r="C42" s="32"/>
      <c r="D42" s="32"/>
      <c r="E42" s="32">
        <f>SUM(E34:E41)</f>
        <v>0</v>
      </c>
      <c r="G42" s="53"/>
      <c r="I42" s="57"/>
      <c r="J42" s="57"/>
      <c r="K42" s="57"/>
      <c r="L42" s="57"/>
      <c r="M42" s="186"/>
      <c r="N42" s="186"/>
      <c r="O42" s="392"/>
      <c r="P42" s="396"/>
      <c r="Q42" s="396"/>
      <c r="R42" s="396"/>
      <c r="S42" s="186"/>
      <c r="T42" s="186"/>
      <c r="U42" s="186"/>
      <c r="V42" s="186"/>
      <c r="W42" s="186"/>
      <c r="X42" s="186"/>
      <c r="Y42" s="186"/>
      <c r="Z42" s="186"/>
      <c r="AA42" s="186"/>
      <c r="AB42" s="186"/>
    </row>
    <row r="43" spans="1:47" s="22" customFormat="1" x14ac:dyDescent="0.25">
      <c r="A43" s="32"/>
      <c r="B43" s="14"/>
      <c r="C43" s="15"/>
      <c r="D43" s="15"/>
      <c r="E43" s="15"/>
      <c r="F43" s="15"/>
      <c r="G43" s="15"/>
      <c r="I43" s="57"/>
      <c r="J43" s="57"/>
      <c r="K43" s="57"/>
      <c r="L43" s="57"/>
      <c r="M43" s="186"/>
      <c r="N43" s="186"/>
      <c r="O43" s="393"/>
      <c r="P43" s="393"/>
      <c r="Q43" s="393"/>
      <c r="R43" s="400"/>
      <c r="S43" s="393"/>
      <c r="T43" s="393"/>
      <c r="U43" s="186"/>
      <c r="V43" s="186"/>
      <c r="W43" s="186"/>
      <c r="X43" s="186"/>
      <c r="Y43" s="186"/>
      <c r="Z43" s="186"/>
      <c r="AA43" s="186"/>
      <c r="AB43" s="186"/>
    </row>
    <row r="44" spans="1:47" s="22" customFormat="1" ht="30" x14ac:dyDescent="0.25">
      <c r="A44" s="32"/>
      <c r="B44" s="13" t="s">
        <v>10</v>
      </c>
      <c r="C44" s="13" t="s">
        <v>11</v>
      </c>
      <c r="D44" s="13" t="s">
        <v>12</v>
      </c>
      <c r="E44" s="13" t="s">
        <v>13</v>
      </c>
      <c r="F44" s="13" t="s">
        <v>14</v>
      </c>
      <c r="G44" s="13" t="s">
        <v>0</v>
      </c>
      <c r="I44" s="57"/>
      <c r="J44" s="57"/>
      <c r="K44" s="57"/>
      <c r="L44" s="57"/>
      <c r="M44" s="186"/>
      <c r="N44" s="186"/>
      <c r="O44" s="396"/>
      <c r="P44" s="396"/>
      <c r="Q44" s="396"/>
      <c r="R44" s="396"/>
      <c r="S44" s="396"/>
      <c r="T44" s="396"/>
      <c r="U44" s="186"/>
      <c r="V44" s="186"/>
      <c r="W44" s="186"/>
      <c r="X44" s="186"/>
      <c r="Y44" s="186"/>
      <c r="Z44" s="186"/>
      <c r="AA44" s="186"/>
      <c r="AB44" s="186"/>
    </row>
    <row r="45" spans="1:47" s="22" customFormat="1" x14ac:dyDescent="0.25">
      <c r="A45" s="32">
        <v>26</v>
      </c>
      <c r="B45" s="14" t="s">
        <v>2</v>
      </c>
      <c r="C45" s="26"/>
      <c r="D45" s="26"/>
      <c r="E45" s="15"/>
      <c r="F45" s="15"/>
      <c r="G45" s="15"/>
      <c r="I45" s="57"/>
      <c r="J45" s="57"/>
      <c r="K45" s="57"/>
      <c r="L45" s="57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86"/>
    </row>
    <row r="46" spans="1:47" s="22" customFormat="1" x14ac:dyDescent="0.25">
      <c r="A46" s="32">
        <v>27</v>
      </c>
      <c r="B46" s="14" t="s">
        <v>3</v>
      </c>
      <c r="C46" s="15"/>
      <c r="D46" s="15"/>
      <c r="E46" s="15"/>
      <c r="F46" s="15"/>
      <c r="G46" s="15"/>
      <c r="I46" s="57"/>
      <c r="J46" s="57"/>
      <c r="K46" s="57"/>
      <c r="L46" s="57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86"/>
    </row>
    <row r="47" spans="1:47" s="22" customFormat="1" ht="30" x14ac:dyDescent="0.25">
      <c r="A47" s="32">
        <v>28</v>
      </c>
      <c r="B47" s="14" t="s">
        <v>21</v>
      </c>
      <c r="C47" s="15"/>
      <c r="D47" s="15"/>
      <c r="E47" s="15"/>
      <c r="F47" s="15"/>
      <c r="G47" s="15"/>
      <c r="I47" s="57"/>
      <c r="J47" s="57"/>
      <c r="K47" s="57"/>
      <c r="L47" s="57"/>
      <c r="M47" s="186"/>
      <c r="N47" s="186"/>
      <c r="O47" s="186"/>
      <c r="P47" s="397"/>
      <c r="Q47" s="397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86"/>
    </row>
    <row r="48" spans="1:47" s="22" customFormat="1" x14ac:dyDescent="0.25">
      <c r="A48" s="32">
        <v>29</v>
      </c>
      <c r="B48" s="14" t="s">
        <v>5</v>
      </c>
      <c r="C48" s="33">
        <v>0.5</v>
      </c>
      <c r="D48" s="33">
        <v>0.66666666666666663</v>
      </c>
      <c r="E48" s="15">
        <v>4</v>
      </c>
      <c r="F48" s="15"/>
      <c r="G48" s="15" t="s">
        <v>105</v>
      </c>
      <c r="I48" s="57"/>
      <c r="J48" s="57"/>
      <c r="K48" s="57"/>
      <c r="L48" s="57"/>
      <c r="M48" s="186"/>
      <c r="N48" s="186"/>
      <c r="O48" s="186"/>
      <c r="P48" s="397"/>
      <c r="Q48" s="397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86"/>
    </row>
    <row r="49" spans="1:28" s="22" customFormat="1" x14ac:dyDescent="0.25">
      <c r="A49" s="32">
        <v>30</v>
      </c>
      <c r="B49" s="14" t="s">
        <v>6</v>
      </c>
      <c r="C49" s="26"/>
      <c r="D49" s="26"/>
      <c r="E49" s="15"/>
      <c r="F49" s="15"/>
      <c r="G49" s="15"/>
      <c r="I49" s="57"/>
      <c r="J49" s="57"/>
      <c r="K49" s="57"/>
      <c r="L49" s="57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86"/>
    </row>
    <row r="50" spans="1:28" s="22" customFormat="1" x14ac:dyDescent="0.25">
      <c r="A50" s="32">
        <v>31</v>
      </c>
      <c r="B50" s="14" t="s">
        <v>7</v>
      </c>
      <c r="C50" s="15"/>
      <c r="D50" s="15"/>
      <c r="E50" s="15"/>
      <c r="F50" s="15"/>
      <c r="G50" s="15"/>
      <c r="I50" s="58"/>
      <c r="J50" s="58"/>
      <c r="K50" s="58"/>
      <c r="L50" s="58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86"/>
    </row>
    <row r="51" spans="1:28" s="22" customFormat="1" x14ac:dyDescent="0.25">
      <c r="A51" s="32">
        <v>1</v>
      </c>
      <c r="B51" s="14" t="s">
        <v>8</v>
      </c>
      <c r="C51" s="15"/>
      <c r="D51" s="15"/>
      <c r="E51" s="15"/>
      <c r="F51" s="15"/>
      <c r="G51" s="15"/>
      <c r="I51" s="57"/>
      <c r="J51" s="57"/>
      <c r="K51" s="57"/>
      <c r="L51" s="57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</row>
    <row r="52" spans="1:28" s="22" customFormat="1" x14ac:dyDescent="0.25">
      <c r="A52" s="15"/>
      <c r="B52" s="13" t="s">
        <v>26</v>
      </c>
      <c r="C52" s="32"/>
      <c r="D52" s="32"/>
      <c r="E52" s="32">
        <f>SUM(E44:E51)</f>
        <v>4</v>
      </c>
      <c r="F52" s="115" t="s">
        <v>393</v>
      </c>
      <c r="G52" s="145" t="s">
        <v>397</v>
      </c>
      <c r="I52" s="59" t="s">
        <v>23</v>
      </c>
      <c r="J52" s="59"/>
      <c r="K52" s="59"/>
      <c r="L52" s="59"/>
      <c r="M52" s="186"/>
      <c r="N52" s="186"/>
      <c r="O52" s="392"/>
      <c r="P52" s="396"/>
      <c r="Q52" s="396"/>
      <c r="R52" s="396"/>
      <c r="S52" s="401"/>
      <c r="T52" s="186"/>
      <c r="U52" s="186"/>
      <c r="V52" s="186"/>
      <c r="W52" s="186"/>
      <c r="X52" s="186"/>
      <c r="Y52" s="186"/>
      <c r="Z52" s="186"/>
      <c r="AA52" s="186"/>
      <c r="AB52" s="186"/>
    </row>
    <row r="53" spans="1:28" s="22" customFormat="1" x14ac:dyDescent="0.25">
      <c r="A53" s="144" t="s">
        <v>229</v>
      </c>
      <c r="B53" s="35" t="s">
        <v>227</v>
      </c>
      <c r="C53" s="60"/>
      <c r="D53" s="61"/>
      <c r="E53" s="35">
        <f>SUM(E45:E51,E35:E41)</f>
        <v>4</v>
      </c>
      <c r="F53" s="312">
        <f>SUM([3]Marg_hist!G9)</f>
        <v>5</v>
      </c>
      <c r="G53" s="330">
        <f>SUM(E53+G31)-F53</f>
        <v>-4</v>
      </c>
      <c r="H53" s="151"/>
      <c r="I53" s="59"/>
      <c r="J53" s="59"/>
      <c r="K53" s="59"/>
      <c r="L53" s="59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86"/>
    </row>
    <row r="54" spans="1:28" s="22" customFormat="1" x14ac:dyDescent="0.25">
      <c r="A54" s="402">
        <v>43194</v>
      </c>
      <c r="B54" s="15"/>
      <c r="C54" s="15"/>
      <c r="D54" s="15"/>
      <c r="E54" s="15"/>
      <c r="F54" s="15"/>
      <c r="G54" s="15"/>
      <c r="I54" s="59"/>
      <c r="J54" s="59"/>
      <c r="K54" s="59"/>
      <c r="L54" s="59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86"/>
    </row>
    <row r="55" spans="1:28" s="22" customFormat="1" ht="30" x14ac:dyDescent="0.25">
      <c r="B55" s="13" t="s">
        <v>29</v>
      </c>
      <c r="C55" s="13" t="s">
        <v>11</v>
      </c>
      <c r="D55" s="13" t="s">
        <v>12</v>
      </c>
      <c r="E55" s="13" t="s">
        <v>13</v>
      </c>
      <c r="F55" s="13" t="s">
        <v>14</v>
      </c>
      <c r="G55" s="13" t="s">
        <v>0</v>
      </c>
      <c r="I55" s="57"/>
      <c r="J55" s="57"/>
      <c r="K55" s="57"/>
      <c r="L55" s="57"/>
      <c r="M55" s="186"/>
      <c r="N55" s="186"/>
      <c r="O55" s="392"/>
      <c r="P55" s="392"/>
      <c r="Q55" s="392"/>
      <c r="R55" s="392"/>
      <c r="S55" s="392"/>
      <c r="T55" s="392"/>
      <c r="U55" s="186"/>
      <c r="V55" s="186"/>
      <c r="W55" s="186"/>
      <c r="X55" s="186"/>
      <c r="Y55" s="186"/>
      <c r="Z55" s="186"/>
      <c r="AA55" s="186"/>
      <c r="AB55" s="186"/>
    </row>
    <row r="56" spans="1:28" s="22" customFormat="1" x14ac:dyDescent="0.25">
      <c r="A56" s="53">
        <v>2</v>
      </c>
      <c r="B56" s="14" t="s">
        <v>2</v>
      </c>
      <c r="C56" s="25"/>
      <c r="D56" s="25"/>
      <c r="E56" s="14"/>
      <c r="F56" s="24"/>
      <c r="G56" s="14" t="s">
        <v>30</v>
      </c>
      <c r="I56" s="57"/>
      <c r="J56" s="57"/>
      <c r="K56" s="57"/>
      <c r="L56" s="57"/>
      <c r="M56" s="186"/>
      <c r="N56" s="186"/>
      <c r="O56" s="393"/>
      <c r="P56" s="394"/>
      <c r="Q56" s="394"/>
      <c r="R56" s="393"/>
      <c r="S56" s="395"/>
      <c r="T56" s="393"/>
      <c r="U56" s="186"/>
      <c r="V56" s="186"/>
      <c r="W56" s="186"/>
      <c r="X56" s="186"/>
      <c r="Y56" s="186"/>
      <c r="Z56" s="186"/>
      <c r="AA56" s="186"/>
      <c r="AB56" s="186"/>
    </row>
    <row r="57" spans="1:28" s="22" customFormat="1" x14ac:dyDescent="0.25">
      <c r="A57" s="53">
        <v>3</v>
      </c>
      <c r="B57" s="14" t="s">
        <v>3</v>
      </c>
      <c r="C57" s="33"/>
      <c r="D57" s="25"/>
      <c r="E57" s="14"/>
      <c r="F57" s="24"/>
      <c r="G57" s="14"/>
      <c r="I57" s="57"/>
      <c r="J57" s="57"/>
      <c r="K57" s="57"/>
      <c r="L57" s="57"/>
      <c r="M57" s="186"/>
      <c r="N57" s="186"/>
      <c r="O57" s="393"/>
      <c r="P57" s="397"/>
      <c r="Q57" s="394"/>
      <c r="R57" s="393"/>
      <c r="S57" s="395"/>
      <c r="T57" s="393"/>
      <c r="U57" s="186"/>
      <c r="V57" s="186"/>
      <c r="W57" s="186"/>
      <c r="X57" s="186"/>
      <c r="Y57" s="186"/>
      <c r="Z57" s="186"/>
      <c r="AA57" s="186"/>
      <c r="AB57" s="186"/>
    </row>
    <row r="58" spans="1:28" s="22" customFormat="1" x14ac:dyDescent="0.25">
      <c r="A58" s="53">
        <v>4</v>
      </c>
      <c r="B58" s="14" t="s">
        <v>4</v>
      </c>
      <c r="C58" s="26"/>
      <c r="D58" s="26"/>
      <c r="E58" s="14"/>
      <c r="F58" s="24"/>
      <c r="G58" s="14"/>
      <c r="I58" s="57"/>
      <c r="J58" s="57"/>
      <c r="K58" s="57"/>
      <c r="L58" s="57"/>
      <c r="M58" s="186"/>
      <c r="N58" s="186"/>
      <c r="O58" s="393"/>
      <c r="P58" s="398"/>
      <c r="Q58" s="398"/>
      <c r="R58" s="393"/>
      <c r="S58" s="395"/>
      <c r="T58" s="393"/>
      <c r="U58" s="186"/>
      <c r="V58" s="186"/>
      <c r="W58" s="186"/>
      <c r="X58" s="186"/>
      <c r="Y58" s="186"/>
      <c r="Z58" s="186"/>
      <c r="AA58" s="186"/>
      <c r="AB58" s="186"/>
    </row>
    <row r="59" spans="1:28" s="22" customFormat="1" x14ac:dyDescent="0.25">
      <c r="A59" s="53">
        <v>5</v>
      </c>
      <c r="B59" s="14" t="s">
        <v>5</v>
      </c>
      <c r="C59" s="25"/>
      <c r="D59" s="25"/>
      <c r="E59" s="14"/>
      <c r="F59" s="24"/>
      <c r="G59" s="14"/>
      <c r="I59" s="57"/>
      <c r="J59" s="57"/>
      <c r="K59" s="57"/>
      <c r="L59" s="57"/>
      <c r="M59" s="186"/>
      <c r="N59" s="186"/>
      <c r="O59" s="393"/>
      <c r="P59" s="394"/>
      <c r="Q59" s="394"/>
      <c r="R59" s="393"/>
      <c r="S59" s="395"/>
      <c r="T59" s="393"/>
      <c r="U59" s="186"/>
      <c r="V59" s="186"/>
      <c r="W59" s="186"/>
      <c r="X59" s="186"/>
      <c r="Y59" s="186"/>
      <c r="Z59" s="186"/>
      <c r="AA59" s="186"/>
      <c r="AB59" s="186"/>
    </row>
    <row r="60" spans="1:28" s="22" customFormat="1" x14ac:dyDescent="0.25">
      <c r="A60" s="53">
        <v>6</v>
      </c>
      <c r="B60" s="14" t="s">
        <v>6</v>
      </c>
      <c r="C60" s="33">
        <v>0.39583333333333331</v>
      </c>
      <c r="D60" s="33">
        <v>0.47916666666666669</v>
      </c>
      <c r="E60" s="15">
        <v>2</v>
      </c>
      <c r="F60" s="15"/>
      <c r="G60" s="15" t="s">
        <v>105</v>
      </c>
      <c r="I60" s="57"/>
      <c r="J60" s="57"/>
      <c r="K60" s="57"/>
      <c r="L60" s="57"/>
      <c r="M60" s="186"/>
      <c r="N60" s="186"/>
      <c r="O60" s="393"/>
      <c r="P60" s="397"/>
      <c r="Q60" s="397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</row>
    <row r="61" spans="1:28" s="22" customFormat="1" x14ac:dyDescent="0.25">
      <c r="A61" s="53">
        <v>7</v>
      </c>
      <c r="B61" s="14" t="s">
        <v>7</v>
      </c>
      <c r="C61" s="33">
        <v>0.5</v>
      </c>
      <c r="D61" s="33">
        <v>0.54166666666666663</v>
      </c>
      <c r="E61" s="15">
        <v>1</v>
      </c>
      <c r="F61" s="15"/>
      <c r="G61" s="15" t="s">
        <v>106</v>
      </c>
      <c r="I61" s="57"/>
      <c r="J61" s="57"/>
      <c r="K61" s="57"/>
      <c r="L61" s="57"/>
      <c r="M61" s="186"/>
      <c r="N61" s="186"/>
      <c r="O61" s="393"/>
      <c r="P61" s="397"/>
      <c r="Q61" s="397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</row>
    <row r="62" spans="1:28" s="22" customFormat="1" x14ac:dyDescent="0.25">
      <c r="A62" s="53">
        <v>8</v>
      </c>
      <c r="B62" s="14" t="s">
        <v>8</v>
      </c>
      <c r="C62" s="33">
        <v>0.5</v>
      </c>
      <c r="D62" s="26">
        <v>0.58333333333333337</v>
      </c>
      <c r="E62" s="15">
        <v>2</v>
      </c>
      <c r="F62" s="15"/>
      <c r="G62" s="15" t="s">
        <v>107</v>
      </c>
      <c r="I62" s="57"/>
      <c r="J62" s="57"/>
      <c r="K62" s="57"/>
      <c r="L62" s="57"/>
      <c r="M62" s="186"/>
      <c r="N62" s="186"/>
      <c r="O62" s="393"/>
      <c r="P62" s="397"/>
      <c r="Q62" s="398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</row>
    <row r="63" spans="1:28" s="22" customFormat="1" x14ac:dyDescent="0.25">
      <c r="A63" s="53"/>
      <c r="B63" s="13" t="s">
        <v>26</v>
      </c>
      <c r="C63" s="15"/>
      <c r="D63" s="15"/>
      <c r="E63" s="32">
        <f>SUM(E56:E62)</f>
        <v>5</v>
      </c>
      <c r="F63" s="15"/>
      <c r="G63" s="53"/>
      <c r="H63" s="15"/>
      <c r="I63" s="57"/>
      <c r="J63" s="57"/>
      <c r="K63" s="57"/>
      <c r="L63" s="57"/>
      <c r="M63" s="186"/>
      <c r="N63" s="186"/>
      <c r="O63" s="392"/>
      <c r="P63" s="186"/>
      <c r="Q63" s="186"/>
      <c r="R63" s="396"/>
      <c r="S63" s="186"/>
      <c r="T63" s="186"/>
      <c r="U63" s="186"/>
      <c r="V63" s="186"/>
      <c r="W63" s="186"/>
      <c r="X63" s="186"/>
      <c r="Y63" s="186"/>
      <c r="Z63" s="186"/>
      <c r="AA63" s="186"/>
      <c r="AB63" s="186"/>
    </row>
    <row r="64" spans="1:28" s="22" customFormat="1" x14ac:dyDescent="0.25">
      <c r="B64" s="14"/>
      <c r="C64" s="25"/>
      <c r="D64" s="25"/>
      <c r="E64" s="14"/>
      <c r="F64" s="24"/>
      <c r="G64" s="14"/>
      <c r="I64" s="57"/>
      <c r="J64" s="57"/>
      <c r="K64" s="57"/>
      <c r="L64" s="57"/>
      <c r="M64" s="186"/>
      <c r="N64" s="186"/>
      <c r="O64" s="186"/>
      <c r="P64" s="396"/>
      <c r="Q64" s="39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86"/>
    </row>
    <row r="65" spans="1:47" s="22" customFormat="1" x14ac:dyDescent="0.25">
      <c r="B65" s="13"/>
      <c r="C65" s="32"/>
      <c r="D65" s="32"/>
      <c r="E65" s="32"/>
      <c r="F65" s="15"/>
      <c r="G65" s="15"/>
      <c r="I65" s="57"/>
      <c r="J65" s="57"/>
      <c r="K65" s="57"/>
      <c r="L65" s="57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86"/>
    </row>
    <row r="66" spans="1:47" s="22" customFormat="1" x14ac:dyDescent="0.25">
      <c r="A66" s="15"/>
      <c r="B66" s="15"/>
      <c r="C66" s="15"/>
      <c r="D66" s="15"/>
      <c r="E66" s="15"/>
      <c r="F66" s="15"/>
      <c r="G66" s="15"/>
      <c r="I66" s="57"/>
      <c r="J66" s="57"/>
      <c r="K66" s="57"/>
      <c r="L66" s="57"/>
      <c r="M66" s="186"/>
      <c r="N66" s="186"/>
      <c r="O66" s="392"/>
      <c r="P66" s="392"/>
      <c r="Q66" s="392"/>
      <c r="R66" s="392"/>
      <c r="S66" s="392"/>
      <c r="T66" s="392"/>
      <c r="U66" s="186"/>
      <c r="V66" s="186"/>
      <c r="W66" s="186"/>
      <c r="X66" s="186"/>
      <c r="Y66" s="186"/>
      <c r="Z66" s="186"/>
      <c r="AA66" s="186"/>
      <c r="AB66" s="186"/>
    </row>
    <row r="67" spans="1:47" s="22" customFormat="1" x14ac:dyDescent="0.25">
      <c r="A67" s="15"/>
      <c r="B67" s="15"/>
      <c r="C67" s="15"/>
      <c r="D67" s="15"/>
      <c r="E67" s="15"/>
      <c r="F67" s="15"/>
      <c r="G67" s="15"/>
      <c r="I67" s="57"/>
      <c r="J67" s="57"/>
      <c r="K67" s="57"/>
      <c r="L67" s="57"/>
      <c r="M67" s="186"/>
      <c r="N67" s="186"/>
      <c r="O67" s="393"/>
      <c r="P67" s="397"/>
      <c r="Q67" s="394"/>
      <c r="R67" s="393"/>
      <c r="S67" s="395"/>
      <c r="T67" s="393"/>
      <c r="U67" s="186"/>
      <c r="V67" s="186"/>
      <c r="W67" s="186"/>
      <c r="X67" s="186"/>
      <c r="Y67" s="186"/>
      <c r="Z67" s="186"/>
      <c r="AA67" s="186"/>
      <c r="AB67" s="186"/>
    </row>
    <row r="68" spans="1:47" s="22" customFormat="1" ht="30" x14ac:dyDescent="0.25">
      <c r="A68" s="15"/>
      <c r="B68" s="13" t="s">
        <v>36</v>
      </c>
      <c r="C68" s="13" t="s">
        <v>11</v>
      </c>
      <c r="D68" s="13" t="s">
        <v>12</v>
      </c>
      <c r="E68" s="13" t="s">
        <v>13</v>
      </c>
      <c r="F68" s="13" t="s">
        <v>14</v>
      </c>
      <c r="G68" s="13" t="s">
        <v>0</v>
      </c>
      <c r="I68" s="57"/>
      <c r="J68" s="57"/>
      <c r="K68" s="57"/>
      <c r="L68" s="57"/>
      <c r="M68" s="186"/>
      <c r="N68" s="186"/>
      <c r="O68" s="393"/>
      <c r="P68" s="398"/>
      <c r="Q68" s="398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</row>
    <row r="69" spans="1:47" s="22" customFormat="1" x14ac:dyDescent="0.25">
      <c r="A69" s="32">
        <v>9</v>
      </c>
      <c r="B69" s="14" t="s">
        <v>2</v>
      </c>
      <c r="C69" s="33"/>
      <c r="D69" s="25"/>
      <c r="E69" s="14"/>
      <c r="F69" s="24"/>
      <c r="G69" s="14"/>
      <c r="I69" s="57"/>
      <c r="J69" s="57"/>
      <c r="K69" s="57"/>
      <c r="L69" s="57"/>
      <c r="M69" s="186"/>
      <c r="N69" s="186"/>
      <c r="O69" s="393"/>
      <c r="P69" s="398"/>
      <c r="Q69" s="398"/>
      <c r="R69" s="186"/>
      <c r="S69" s="186"/>
      <c r="T69" s="186"/>
      <c r="U69" s="186"/>
      <c r="V69" s="186"/>
      <c r="W69" s="186"/>
      <c r="X69" s="186"/>
      <c r="Y69" s="186"/>
      <c r="Z69" s="186"/>
      <c r="AA69" s="186"/>
      <c r="AB69" s="186"/>
    </row>
    <row r="70" spans="1:47" s="22" customFormat="1" x14ac:dyDescent="0.25">
      <c r="A70" s="32">
        <v>10</v>
      </c>
      <c r="B70" s="14" t="s">
        <v>257</v>
      </c>
      <c r="C70" s="26">
        <v>0.60416666666666663</v>
      </c>
      <c r="D70" s="26">
        <v>0.625</v>
      </c>
      <c r="E70" s="15">
        <v>0.5</v>
      </c>
      <c r="F70" s="15"/>
      <c r="G70" s="15" t="s">
        <v>109</v>
      </c>
      <c r="I70" s="57"/>
      <c r="J70" s="57"/>
      <c r="K70" s="57"/>
      <c r="L70" s="57"/>
      <c r="M70" s="186"/>
      <c r="N70" s="186"/>
      <c r="O70" s="393"/>
      <c r="P70" s="398"/>
      <c r="Q70" s="398"/>
      <c r="R70" s="393"/>
      <c r="S70" s="395"/>
      <c r="T70" s="393"/>
      <c r="U70" s="186"/>
      <c r="V70" s="186"/>
      <c r="W70" s="186"/>
      <c r="X70" s="186"/>
      <c r="Y70" s="186"/>
      <c r="Z70" s="186"/>
      <c r="AA70" s="186"/>
      <c r="AB70" s="186"/>
    </row>
    <row r="71" spans="1:47" s="22" customFormat="1" x14ac:dyDescent="0.25">
      <c r="A71" s="32"/>
      <c r="B71" s="21"/>
      <c r="C71" s="26">
        <v>0.625</v>
      </c>
      <c r="D71" s="26">
        <v>0.64583333333333337</v>
      </c>
      <c r="E71" s="15">
        <v>0.5</v>
      </c>
      <c r="F71" s="15"/>
      <c r="G71" s="15" t="s">
        <v>110</v>
      </c>
      <c r="I71" s="57"/>
      <c r="J71" s="57"/>
      <c r="K71" s="57"/>
      <c r="L71" s="57"/>
      <c r="M71" s="186"/>
      <c r="N71" s="186"/>
      <c r="O71" s="393"/>
      <c r="P71" s="398"/>
      <c r="Q71" s="398"/>
      <c r="R71" s="393"/>
      <c r="S71" s="395"/>
      <c r="T71" s="393"/>
      <c r="U71" s="186"/>
      <c r="V71" s="186"/>
      <c r="W71" s="186"/>
      <c r="X71" s="186"/>
      <c r="Y71" s="186"/>
      <c r="Z71" s="186"/>
      <c r="AA71" s="186"/>
      <c r="AB71" s="186"/>
    </row>
    <row r="72" spans="1:47" x14ac:dyDescent="0.25">
      <c r="A72" s="32">
        <v>11</v>
      </c>
      <c r="B72" s="14" t="s">
        <v>4</v>
      </c>
      <c r="C72" s="26"/>
      <c r="D72" s="26"/>
      <c r="E72" s="14"/>
      <c r="G72" s="24"/>
      <c r="H72" s="22"/>
      <c r="I72" s="57"/>
      <c r="J72" s="57"/>
      <c r="K72" s="57"/>
      <c r="L72" s="57"/>
      <c r="M72" s="186"/>
      <c r="N72" s="186"/>
      <c r="O72" s="186"/>
      <c r="P72" s="394"/>
      <c r="Q72" s="394"/>
      <c r="R72" s="393"/>
      <c r="S72" s="395"/>
      <c r="T72" s="393"/>
      <c r="U72" s="400"/>
      <c r="V72" s="186"/>
      <c r="W72" s="186"/>
      <c r="X72" s="186"/>
      <c r="Y72" s="186"/>
      <c r="Z72" s="186"/>
      <c r="AA72" s="186"/>
      <c r="AB72" s="186"/>
    </row>
    <row r="73" spans="1:47" s="43" customFormat="1" x14ac:dyDescent="0.25">
      <c r="A73" s="32">
        <v>12</v>
      </c>
      <c r="B73" s="14" t="s">
        <v>5</v>
      </c>
      <c r="C73" s="26">
        <v>0.41666666666666669</v>
      </c>
      <c r="D73" s="26">
        <v>0.4375</v>
      </c>
      <c r="E73" s="14">
        <v>0.5</v>
      </c>
      <c r="F73" s="15"/>
      <c r="G73" s="24" t="s">
        <v>111</v>
      </c>
      <c r="H73" s="22"/>
      <c r="I73" s="57"/>
      <c r="J73" s="57"/>
      <c r="K73" s="57"/>
      <c r="L73" s="57"/>
      <c r="M73" s="186"/>
      <c r="N73" s="186"/>
      <c r="O73" s="393"/>
      <c r="P73" s="393"/>
      <c r="Q73" s="393"/>
      <c r="R73" s="393"/>
      <c r="S73" s="395"/>
      <c r="T73" s="393"/>
      <c r="U73" s="400"/>
      <c r="V73" s="186"/>
      <c r="W73" s="186"/>
      <c r="X73" s="186"/>
      <c r="Y73" s="186"/>
      <c r="Z73" s="186"/>
      <c r="AA73" s="186"/>
      <c r="AB73" s="186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</row>
    <row r="74" spans="1:47" x14ac:dyDescent="0.25">
      <c r="A74" s="32">
        <v>13</v>
      </c>
      <c r="B74" s="14" t="s">
        <v>6</v>
      </c>
      <c r="C74" s="25">
        <v>0.58333333333333337</v>
      </c>
      <c r="D74" s="25">
        <v>0.64583333333333337</v>
      </c>
      <c r="E74" s="14">
        <v>1.5</v>
      </c>
      <c r="G74" s="24" t="s">
        <v>112</v>
      </c>
      <c r="H74" s="22"/>
      <c r="I74" s="57"/>
      <c r="J74" s="57"/>
      <c r="K74" s="57"/>
      <c r="L74" s="57"/>
      <c r="M74" s="186"/>
      <c r="N74" s="186"/>
      <c r="O74" s="393"/>
      <c r="P74" s="393"/>
      <c r="Q74" s="393"/>
      <c r="R74" s="393"/>
      <c r="S74" s="401"/>
      <c r="T74" s="393"/>
      <c r="U74" s="186"/>
      <c r="V74" s="186"/>
      <c r="W74" s="186"/>
      <c r="X74" s="186"/>
      <c r="Y74" s="186"/>
      <c r="Z74" s="186"/>
      <c r="AA74" s="186"/>
      <c r="AB74" s="186"/>
    </row>
    <row r="75" spans="1:47" x14ac:dyDescent="0.25">
      <c r="A75" s="32">
        <v>14</v>
      </c>
      <c r="B75" s="14" t="s">
        <v>7</v>
      </c>
      <c r="C75" s="14"/>
      <c r="D75" s="14"/>
      <c r="E75" s="14"/>
      <c r="F75" s="24"/>
      <c r="G75" s="14"/>
      <c r="H75" s="22"/>
      <c r="I75" s="57"/>
      <c r="J75" s="57"/>
      <c r="K75" s="57"/>
      <c r="L75" s="57"/>
      <c r="M75" s="186"/>
      <c r="N75" s="186"/>
      <c r="O75" s="393"/>
      <c r="P75" s="393"/>
      <c r="Q75" s="393"/>
      <c r="R75" s="186"/>
      <c r="S75" s="393"/>
      <c r="T75" s="393"/>
      <c r="U75" s="186"/>
      <c r="V75" s="186"/>
      <c r="W75" s="186"/>
      <c r="X75" s="186"/>
      <c r="Y75" s="186"/>
      <c r="Z75" s="186"/>
      <c r="AA75" s="186"/>
      <c r="AB75" s="186"/>
    </row>
    <row r="76" spans="1:47" x14ac:dyDescent="0.25">
      <c r="A76" s="32">
        <v>15</v>
      </c>
      <c r="B76" s="14" t="s">
        <v>8</v>
      </c>
      <c r="C76" s="14"/>
      <c r="D76" s="14"/>
      <c r="E76" s="14"/>
      <c r="F76" s="24"/>
      <c r="G76" s="14"/>
      <c r="H76" s="22"/>
      <c r="I76" s="57"/>
      <c r="J76" s="57"/>
      <c r="K76" s="57"/>
      <c r="L76" s="57"/>
      <c r="M76" s="186"/>
      <c r="N76" s="186"/>
      <c r="O76" s="393"/>
      <c r="P76" s="393"/>
      <c r="Q76" s="393"/>
      <c r="R76" s="400"/>
      <c r="S76" s="393"/>
      <c r="T76" s="393"/>
      <c r="U76" s="186"/>
      <c r="V76" s="186"/>
      <c r="W76" s="186"/>
      <c r="X76" s="186"/>
      <c r="Y76" s="186"/>
      <c r="Z76" s="186"/>
      <c r="AA76" s="186"/>
      <c r="AB76" s="186"/>
    </row>
    <row r="77" spans="1:47" x14ac:dyDescent="0.25">
      <c r="A77" s="35" t="s">
        <v>396</v>
      </c>
      <c r="B77" s="13" t="s">
        <v>26</v>
      </c>
      <c r="C77" s="25"/>
      <c r="D77" s="25"/>
      <c r="E77" s="32">
        <f>SUM(E69:E76)</f>
        <v>3</v>
      </c>
      <c r="F77" s="115" t="s">
        <v>393</v>
      </c>
      <c r="G77" s="145" t="s">
        <v>397</v>
      </c>
      <c r="H77" s="22"/>
      <c r="I77" s="57"/>
      <c r="J77" s="57"/>
      <c r="K77" s="57"/>
      <c r="L77" s="57"/>
      <c r="M77" s="186"/>
      <c r="N77" s="186"/>
      <c r="O77" s="393"/>
      <c r="P77" s="399"/>
      <c r="Q77" s="399"/>
      <c r="R77" s="393"/>
      <c r="S77" s="395"/>
      <c r="T77" s="393"/>
      <c r="U77" s="186"/>
      <c r="V77" s="186"/>
      <c r="W77" s="186"/>
      <c r="X77" s="186"/>
      <c r="Y77" s="186"/>
      <c r="Z77" s="186"/>
      <c r="AA77" s="186"/>
      <c r="AB77" s="186"/>
    </row>
    <row r="78" spans="1:47" x14ac:dyDescent="0.25">
      <c r="A78" s="144"/>
      <c r="B78" s="35" t="s">
        <v>227</v>
      </c>
      <c r="C78" s="60"/>
      <c r="D78" s="35" t="s">
        <v>396</v>
      </c>
      <c r="E78" s="35">
        <f>SUM(E63,E77)</f>
        <v>8</v>
      </c>
      <c r="F78" s="331" t="s">
        <v>398</v>
      </c>
      <c r="G78" s="386">
        <f>SUM(E77+G53+E63)</f>
        <v>4</v>
      </c>
      <c r="H78" s="221" t="s">
        <v>413</v>
      </c>
      <c r="I78" s="57"/>
      <c r="J78" s="57"/>
      <c r="K78" s="57"/>
      <c r="L78" s="57"/>
      <c r="M78" s="186"/>
      <c r="N78" s="186"/>
      <c r="O78" s="393"/>
      <c r="P78" s="394"/>
      <c r="Q78" s="394"/>
      <c r="R78" s="393"/>
      <c r="S78" s="395"/>
      <c r="T78" s="393"/>
      <c r="U78" s="186"/>
      <c r="V78" s="186"/>
      <c r="W78" s="186"/>
      <c r="X78" s="186"/>
      <c r="Y78" s="186"/>
      <c r="Z78" s="186"/>
      <c r="AA78" s="186"/>
      <c r="AB78" s="186"/>
    </row>
    <row r="79" spans="1:47" x14ac:dyDescent="0.25">
      <c r="I79" s="57"/>
      <c r="J79" s="57"/>
      <c r="K79" s="57"/>
      <c r="L79" s="57"/>
      <c r="M79" s="186"/>
      <c r="N79" s="186"/>
      <c r="O79" s="392"/>
      <c r="P79" s="396"/>
      <c r="Q79" s="396"/>
      <c r="R79" s="396"/>
      <c r="S79" s="186"/>
      <c r="T79" s="186"/>
      <c r="U79" s="186"/>
      <c r="V79" s="186"/>
      <c r="W79" s="186"/>
      <c r="X79" s="186"/>
      <c r="Y79" s="186"/>
      <c r="Z79" s="186"/>
      <c r="AA79" s="186"/>
      <c r="AB79" s="186"/>
    </row>
    <row r="80" spans="1:47" x14ac:dyDescent="0.25">
      <c r="B80" s="20"/>
      <c r="C80" s="146"/>
      <c r="D80" s="147"/>
      <c r="E80" s="20"/>
      <c r="F80" s="20"/>
      <c r="G80" s="53"/>
      <c r="H80" s="22"/>
      <c r="I80" s="57"/>
      <c r="J80" s="57"/>
      <c r="K80" s="57"/>
      <c r="L80" s="57"/>
      <c r="M80" s="186"/>
      <c r="N80" s="186"/>
      <c r="O80" s="186"/>
      <c r="P80" s="186"/>
      <c r="Q80" s="186"/>
      <c r="R80" s="186"/>
      <c r="S80" s="186"/>
      <c r="T80" s="186"/>
      <c r="U80" s="186"/>
      <c r="V80" s="186"/>
      <c r="W80" s="186"/>
      <c r="X80" s="186"/>
      <c r="Y80" s="186"/>
      <c r="Z80" s="186"/>
      <c r="AA80" s="186"/>
      <c r="AB80" s="186"/>
    </row>
    <row r="81" spans="1:28" ht="30" x14ac:dyDescent="0.25">
      <c r="B81" s="13" t="s">
        <v>54</v>
      </c>
      <c r="C81" s="13" t="s">
        <v>11</v>
      </c>
      <c r="D81" s="13" t="s">
        <v>12</v>
      </c>
      <c r="E81" s="13" t="s">
        <v>13</v>
      </c>
      <c r="F81" s="13" t="s">
        <v>14</v>
      </c>
      <c r="G81" s="20" t="s">
        <v>0</v>
      </c>
      <c r="H81" s="22"/>
      <c r="I81" s="57"/>
      <c r="J81" s="57"/>
      <c r="K81" s="57"/>
      <c r="L81" s="57"/>
      <c r="M81" s="186"/>
      <c r="N81" s="186"/>
      <c r="O81" s="392"/>
      <c r="P81" s="392"/>
      <c r="Q81" s="392"/>
      <c r="R81" s="392"/>
      <c r="S81" s="392"/>
      <c r="T81" s="392"/>
      <c r="U81" s="186"/>
      <c r="V81" s="186"/>
      <c r="W81" s="186"/>
      <c r="X81" s="186"/>
      <c r="Y81" s="186"/>
      <c r="Z81" s="186"/>
      <c r="AA81" s="186"/>
      <c r="AB81" s="186"/>
    </row>
    <row r="82" spans="1:28" x14ac:dyDescent="0.25">
      <c r="A82" s="32">
        <v>16</v>
      </c>
      <c r="B82" s="14" t="s">
        <v>2</v>
      </c>
      <c r="C82" s="33">
        <v>0.29166666666666669</v>
      </c>
      <c r="D82" s="25" t="s">
        <v>117</v>
      </c>
      <c r="E82" s="14">
        <v>2</v>
      </c>
      <c r="G82" s="24" t="s">
        <v>118</v>
      </c>
      <c r="H82" s="22"/>
      <c r="I82" s="57"/>
      <c r="J82" s="57"/>
      <c r="K82" s="57"/>
      <c r="L82" s="57"/>
      <c r="M82" s="186"/>
      <c r="N82" s="186"/>
      <c r="O82" s="393"/>
      <c r="P82" s="397"/>
      <c r="Q82" s="394"/>
      <c r="R82" s="393"/>
      <c r="S82" s="395"/>
      <c r="T82" s="393"/>
      <c r="U82" s="186"/>
      <c r="V82" s="186"/>
      <c r="W82" s="186"/>
      <c r="X82" s="186"/>
      <c r="Y82" s="186"/>
      <c r="Z82" s="186"/>
      <c r="AA82" s="186"/>
      <c r="AB82" s="186"/>
    </row>
    <row r="83" spans="1:28" x14ac:dyDescent="0.25">
      <c r="A83" s="32">
        <v>17</v>
      </c>
      <c r="B83" s="14" t="s">
        <v>3</v>
      </c>
      <c r="H83" s="22"/>
      <c r="I83" s="57"/>
      <c r="J83" s="57"/>
      <c r="K83" s="57"/>
      <c r="L83" s="57"/>
      <c r="M83" s="186"/>
      <c r="N83" s="186"/>
      <c r="O83" s="393"/>
      <c r="P83" s="186"/>
      <c r="Q83" s="186"/>
      <c r="R83" s="186"/>
      <c r="S83" s="186"/>
      <c r="T83" s="186"/>
      <c r="U83" s="186"/>
      <c r="V83" s="186"/>
      <c r="W83" s="186"/>
      <c r="X83" s="186"/>
      <c r="Y83" s="186"/>
      <c r="Z83" s="186"/>
      <c r="AA83" s="186"/>
      <c r="AB83" s="186"/>
    </row>
    <row r="84" spans="1:28" x14ac:dyDescent="0.25">
      <c r="A84" s="32">
        <v>18</v>
      </c>
      <c r="B84" s="14" t="s">
        <v>4</v>
      </c>
      <c r="C84" s="26"/>
      <c r="D84" s="26"/>
      <c r="E84" s="14"/>
      <c r="G84" s="24"/>
      <c r="H84" s="22"/>
      <c r="I84" s="57"/>
      <c r="J84" s="57"/>
      <c r="K84" s="57"/>
      <c r="L84" s="57"/>
      <c r="M84" s="186"/>
      <c r="N84" s="186"/>
      <c r="O84" s="393"/>
      <c r="P84" s="398"/>
      <c r="Q84" s="398"/>
      <c r="R84" s="393"/>
      <c r="S84" s="395"/>
      <c r="T84" s="393"/>
      <c r="U84" s="186"/>
      <c r="V84" s="186"/>
      <c r="W84" s="186"/>
      <c r="X84" s="186"/>
      <c r="Y84" s="186"/>
      <c r="Z84" s="186"/>
      <c r="AA84" s="186"/>
      <c r="AB84" s="186"/>
    </row>
    <row r="85" spans="1:28" x14ac:dyDescent="0.25">
      <c r="A85" s="32">
        <v>19</v>
      </c>
      <c r="B85" s="14" t="s">
        <v>5</v>
      </c>
      <c r="C85" s="25">
        <v>0.40277777777777773</v>
      </c>
      <c r="D85" s="25">
        <v>0.4861111111111111</v>
      </c>
      <c r="E85" s="14">
        <v>2</v>
      </c>
      <c r="G85" s="24" t="s">
        <v>119</v>
      </c>
      <c r="H85" s="22"/>
      <c r="I85" s="57"/>
      <c r="J85" s="57"/>
      <c r="K85" s="57"/>
      <c r="L85" s="57"/>
      <c r="M85" s="186"/>
      <c r="N85" s="186"/>
      <c r="O85" s="393"/>
      <c r="P85" s="394"/>
      <c r="Q85" s="394"/>
      <c r="R85" s="393"/>
      <c r="S85" s="395"/>
      <c r="T85" s="393"/>
      <c r="U85" s="186"/>
      <c r="V85" s="186"/>
      <c r="W85" s="186"/>
      <c r="X85" s="186"/>
      <c r="Y85" s="186"/>
      <c r="Z85" s="186"/>
      <c r="AA85" s="186"/>
      <c r="AB85" s="186"/>
    </row>
    <row r="86" spans="1:28" x14ac:dyDescent="0.25">
      <c r="A86" s="32">
        <v>20</v>
      </c>
      <c r="B86" s="14" t="s">
        <v>6</v>
      </c>
      <c r="C86" s="14"/>
      <c r="D86" s="14"/>
      <c r="E86" s="14"/>
      <c r="G86" s="24"/>
      <c r="H86" s="22"/>
      <c r="I86" s="57"/>
      <c r="J86" s="57"/>
      <c r="K86" s="57"/>
      <c r="L86" s="57"/>
      <c r="M86" s="186"/>
      <c r="N86" s="186"/>
      <c r="O86" s="393"/>
      <c r="P86" s="393"/>
      <c r="Q86" s="393"/>
      <c r="R86" s="393"/>
      <c r="S86" s="395"/>
      <c r="T86" s="393"/>
      <c r="U86" s="186"/>
      <c r="V86" s="186"/>
      <c r="W86" s="186"/>
      <c r="X86" s="186"/>
      <c r="Y86" s="186"/>
      <c r="Z86" s="186"/>
      <c r="AA86" s="186"/>
      <c r="AB86" s="186"/>
    </row>
    <row r="87" spans="1:28" x14ac:dyDescent="0.25">
      <c r="A87" s="32">
        <v>21</v>
      </c>
      <c r="B87" s="14" t="s">
        <v>7</v>
      </c>
      <c r="C87" s="42">
        <v>0.41666666666666669</v>
      </c>
      <c r="D87" s="42">
        <v>0.45833333333333331</v>
      </c>
      <c r="E87" s="14">
        <v>1</v>
      </c>
      <c r="G87" s="24" t="s">
        <v>120</v>
      </c>
      <c r="H87" s="22"/>
      <c r="I87" s="57"/>
      <c r="J87" s="57"/>
      <c r="K87" s="57"/>
      <c r="L87" s="57"/>
      <c r="M87" s="186"/>
      <c r="N87" s="186"/>
      <c r="O87" s="393"/>
      <c r="P87" s="399"/>
      <c r="Q87" s="399"/>
      <c r="R87" s="393"/>
      <c r="S87" s="395"/>
      <c r="T87" s="393"/>
      <c r="U87" s="186"/>
      <c r="V87" s="186"/>
      <c r="W87" s="186"/>
      <c r="X87" s="186"/>
      <c r="Y87" s="186"/>
      <c r="Z87" s="186"/>
      <c r="AA87" s="186"/>
      <c r="AB87" s="186"/>
    </row>
    <row r="88" spans="1:28" s="22" customFormat="1" x14ac:dyDescent="0.25">
      <c r="A88" s="32">
        <v>22</v>
      </c>
      <c r="B88" s="14" t="s">
        <v>8</v>
      </c>
      <c r="C88" s="25"/>
      <c r="D88" s="25"/>
      <c r="E88" s="14"/>
      <c r="F88" s="24"/>
      <c r="G88" s="14"/>
      <c r="I88" s="57"/>
      <c r="J88" s="57"/>
      <c r="K88" s="57"/>
      <c r="L88" s="57"/>
      <c r="M88" s="186"/>
      <c r="N88" s="186"/>
      <c r="O88" s="393"/>
      <c r="P88" s="394"/>
      <c r="Q88" s="394"/>
      <c r="R88" s="393"/>
      <c r="S88" s="395"/>
      <c r="T88" s="393"/>
      <c r="U88" s="186"/>
      <c r="V88" s="186"/>
      <c r="W88" s="186"/>
      <c r="X88" s="186"/>
      <c r="Y88" s="186"/>
      <c r="Z88" s="186"/>
      <c r="AA88" s="186"/>
      <c r="AB88" s="186"/>
    </row>
    <row r="89" spans="1:28" s="22" customFormat="1" x14ac:dyDescent="0.25">
      <c r="A89" s="15"/>
      <c r="B89" s="13" t="s">
        <v>26</v>
      </c>
      <c r="C89" s="32"/>
      <c r="D89" s="32"/>
      <c r="E89" s="32">
        <f>SUM(E82:E88)</f>
        <v>5</v>
      </c>
      <c r="F89" s="15"/>
      <c r="G89" s="53"/>
      <c r="I89" s="57"/>
      <c r="J89" s="57"/>
      <c r="K89" s="57"/>
      <c r="L89" s="57"/>
      <c r="M89" s="186"/>
      <c r="N89" s="186"/>
      <c r="O89" s="392"/>
      <c r="P89" s="396"/>
      <c r="Q89" s="396"/>
      <c r="R89" s="396"/>
      <c r="S89" s="186"/>
      <c r="T89" s="186"/>
      <c r="U89" s="186"/>
      <c r="V89" s="186"/>
      <c r="W89" s="186"/>
      <c r="X89" s="186"/>
      <c r="Y89" s="186"/>
      <c r="Z89" s="186"/>
      <c r="AA89" s="186"/>
      <c r="AB89" s="186"/>
    </row>
    <row r="90" spans="1:28" s="22" customFormat="1" x14ac:dyDescent="0.25">
      <c r="A90" s="15"/>
      <c r="B90" s="13"/>
      <c r="C90" s="32"/>
      <c r="D90" s="32"/>
      <c r="E90" s="32"/>
      <c r="F90" s="15"/>
      <c r="G90" s="15"/>
      <c r="I90" s="57"/>
      <c r="J90" s="57"/>
      <c r="K90" s="57"/>
      <c r="L90" s="57"/>
      <c r="M90" s="186"/>
      <c r="N90" s="186"/>
      <c r="O90" s="186"/>
      <c r="P90" s="186"/>
      <c r="Q90" s="186"/>
      <c r="R90" s="186"/>
      <c r="S90" s="186"/>
      <c r="T90" s="186"/>
      <c r="U90" s="186"/>
      <c r="V90" s="186"/>
      <c r="W90" s="186"/>
      <c r="X90" s="186"/>
      <c r="Y90" s="186"/>
      <c r="Z90" s="186"/>
      <c r="AA90" s="186"/>
      <c r="AB90" s="186"/>
    </row>
    <row r="91" spans="1:28" s="22" customFormat="1" x14ac:dyDescent="0.25">
      <c r="A91" s="15"/>
      <c r="B91" s="15"/>
      <c r="C91" s="15"/>
      <c r="D91" s="15"/>
      <c r="E91" s="15"/>
      <c r="F91" s="15"/>
      <c r="G91" s="15"/>
      <c r="I91" s="57"/>
      <c r="J91" s="57"/>
      <c r="K91" s="57"/>
      <c r="L91" s="57"/>
      <c r="M91" s="396"/>
      <c r="N91" s="186"/>
      <c r="O91" s="186"/>
      <c r="P91" s="186"/>
      <c r="Q91" s="186"/>
      <c r="R91" s="186"/>
      <c r="S91" s="186"/>
      <c r="T91" s="186"/>
      <c r="U91" s="186"/>
      <c r="V91" s="186"/>
      <c r="W91" s="186"/>
      <c r="X91" s="186"/>
      <c r="Y91" s="186"/>
      <c r="Z91" s="186"/>
      <c r="AA91" s="186"/>
      <c r="AB91" s="186"/>
    </row>
    <row r="92" spans="1:28" s="22" customFormat="1" ht="30" x14ac:dyDescent="0.25">
      <c r="A92" s="15"/>
      <c r="B92" s="13" t="s">
        <v>60</v>
      </c>
      <c r="C92" s="13" t="s">
        <v>11</v>
      </c>
      <c r="D92" s="13" t="s">
        <v>12</v>
      </c>
      <c r="E92" s="13" t="s">
        <v>13</v>
      </c>
      <c r="F92" s="13" t="s">
        <v>14</v>
      </c>
      <c r="G92" s="20" t="s">
        <v>0</v>
      </c>
      <c r="I92" s="57"/>
      <c r="J92" s="57"/>
      <c r="K92" s="57"/>
      <c r="L92" s="57"/>
      <c r="M92" s="186"/>
      <c r="N92" s="186"/>
      <c r="O92" s="392"/>
      <c r="P92" s="392"/>
      <c r="Q92" s="392"/>
      <c r="R92" s="392"/>
      <c r="S92" s="392"/>
      <c r="T92" s="392"/>
      <c r="U92" s="186"/>
      <c r="V92" s="186"/>
      <c r="W92" s="186"/>
      <c r="X92" s="186"/>
      <c r="Y92" s="186"/>
      <c r="Z92" s="186"/>
      <c r="AA92" s="186"/>
      <c r="AB92" s="186"/>
    </row>
    <row r="93" spans="1:28" s="22" customFormat="1" x14ac:dyDescent="0.25">
      <c r="A93" s="32">
        <v>23</v>
      </c>
      <c r="B93" s="14" t="s">
        <v>2</v>
      </c>
      <c r="C93" s="33">
        <v>0.375</v>
      </c>
      <c r="D93" s="25">
        <v>0.45833333333333331</v>
      </c>
      <c r="E93" s="14">
        <v>2</v>
      </c>
      <c r="F93" s="15"/>
      <c r="G93" s="24" t="s">
        <v>121</v>
      </c>
      <c r="I93" s="57"/>
      <c r="J93" s="57"/>
      <c r="K93" s="57"/>
      <c r="L93" s="57"/>
      <c r="M93" s="392"/>
      <c r="N93" s="186"/>
      <c r="O93" s="393"/>
      <c r="P93" s="397"/>
      <c r="Q93" s="394"/>
      <c r="R93" s="393"/>
      <c r="S93" s="395"/>
      <c r="T93" s="393"/>
      <c r="U93" s="186"/>
      <c r="V93" s="186"/>
      <c r="W93" s="186"/>
      <c r="X93" s="186"/>
      <c r="Y93" s="186"/>
      <c r="Z93" s="186"/>
      <c r="AA93" s="186"/>
      <c r="AB93" s="186"/>
    </row>
    <row r="94" spans="1:28" s="22" customFormat="1" x14ac:dyDescent="0.25">
      <c r="A94" s="32">
        <v>24</v>
      </c>
      <c r="B94" s="14" t="s">
        <v>3</v>
      </c>
      <c r="C94" s="15"/>
      <c r="D94" s="15"/>
      <c r="E94" s="15"/>
      <c r="F94" s="15"/>
      <c r="G94" s="15"/>
      <c r="I94" s="57"/>
      <c r="J94" s="57"/>
      <c r="K94" s="57"/>
      <c r="L94" s="57"/>
      <c r="M94" s="392"/>
      <c r="N94" s="186"/>
      <c r="O94" s="393"/>
      <c r="P94" s="186"/>
      <c r="Q94" s="186"/>
      <c r="R94" s="186"/>
      <c r="S94" s="186"/>
      <c r="T94" s="186"/>
      <c r="U94" s="186"/>
      <c r="V94" s="186"/>
      <c r="W94" s="186"/>
      <c r="X94" s="186"/>
      <c r="Y94" s="186"/>
      <c r="Z94" s="186"/>
      <c r="AA94" s="186"/>
      <c r="AB94" s="186"/>
    </row>
    <row r="95" spans="1:28" s="22" customFormat="1" x14ac:dyDescent="0.25">
      <c r="A95" s="32">
        <v>25</v>
      </c>
      <c r="B95" s="14" t="s">
        <v>4</v>
      </c>
      <c r="C95" s="26"/>
      <c r="D95" s="26"/>
      <c r="E95" s="14"/>
      <c r="F95" s="15"/>
      <c r="G95" s="24"/>
      <c r="I95" s="57"/>
      <c r="J95" s="57"/>
      <c r="K95" s="57"/>
      <c r="L95" s="57"/>
      <c r="M95" s="392"/>
      <c r="N95" s="186"/>
      <c r="O95" s="393"/>
      <c r="P95" s="398"/>
      <c r="Q95" s="398"/>
      <c r="R95" s="393"/>
      <c r="S95" s="395"/>
      <c r="T95" s="393"/>
      <c r="U95" s="186"/>
      <c r="V95" s="186"/>
      <c r="W95" s="186"/>
      <c r="X95" s="186"/>
      <c r="Y95" s="186"/>
      <c r="Z95" s="186"/>
      <c r="AA95" s="186"/>
      <c r="AB95" s="186"/>
    </row>
    <row r="96" spans="1:28" s="22" customFormat="1" x14ac:dyDescent="0.25">
      <c r="A96" s="32">
        <v>26</v>
      </c>
      <c r="B96" s="14" t="s">
        <v>5</v>
      </c>
      <c r="C96" s="25">
        <v>0.375</v>
      </c>
      <c r="D96" s="25">
        <v>0.41666666666666669</v>
      </c>
      <c r="E96" s="14">
        <v>1</v>
      </c>
      <c r="F96" s="15"/>
      <c r="G96" s="24" t="s">
        <v>122</v>
      </c>
      <c r="I96" s="57"/>
      <c r="J96" s="57"/>
      <c r="K96" s="57"/>
      <c r="L96" s="57"/>
      <c r="M96" s="186"/>
      <c r="N96" s="186"/>
      <c r="O96" s="393"/>
      <c r="P96" s="394"/>
      <c r="Q96" s="394"/>
      <c r="R96" s="393"/>
      <c r="S96" s="395"/>
      <c r="T96" s="393"/>
      <c r="U96" s="186"/>
      <c r="V96" s="186"/>
      <c r="W96" s="186"/>
      <c r="X96" s="186"/>
      <c r="Y96" s="186"/>
      <c r="Z96" s="186"/>
      <c r="AA96" s="186"/>
      <c r="AB96" s="186"/>
    </row>
    <row r="97" spans="1:28" s="22" customFormat="1" x14ac:dyDescent="0.25">
      <c r="A97" s="32">
        <v>27</v>
      </c>
      <c r="B97" s="14" t="s">
        <v>6</v>
      </c>
      <c r="C97" s="14"/>
      <c r="D97" s="14"/>
      <c r="E97" s="14"/>
      <c r="F97" s="15"/>
      <c r="G97" s="24"/>
      <c r="I97" s="57"/>
      <c r="J97" s="57"/>
      <c r="K97" s="57"/>
      <c r="L97" s="57"/>
      <c r="M97" s="186"/>
      <c r="N97" s="186"/>
      <c r="O97" s="393"/>
      <c r="P97" s="393"/>
      <c r="Q97" s="393"/>
      <c r="R97" s="393"/>
      <c r="S97" s="395"/>
      <c r="T97" s="393"/>
      <c r="U97" s="186"/>
      <c r="V97" s="186"/>
      <c r="W97" s="186"/>
      <c r="X97" s="186"/>
      <c r="Y97" s="186"/>
      <c r="Z97" s="186"/>
      <c r="AA97" s="186"/>
      <c r="AB97" s="186"/>
    </row>
    <row r="98" spans="1:28" s="22" customFormat="1" x14ac:dyDescent="0.25">
      <c r="A98" s="32">
        <v>28</v>
      </c>
      <c r="B98" s="14" t="s">
        <v>7</v>
      </c>
      <c r="C98" s="42">
        <v>0.41666666666666669</v>
      </c>
      <c r="D98" s="42">
        <v>0.45833333333333331</v>
      </c>
      <c r="E98" s="14">
        <v>1</v>
      </c>
      <c r="F98" s="15"/>
      <c r="G98" s="24" t="s">
        <v>112</v>
      </c>
      <c r="I98" s="57"/>
      <c r="J98" s="57"/>
      <c r="K98" s="57"/>
      <c r="L98" s="57"/>
      <c r="M98" s="186"/>
      <c r="N98" s="186"/>
      <c r="O98" s="393"/>
      <c r="P98" s="399"/>
      <c r="Q98" s="399"/>
      <c r="R98" s="393"/>
      <c r="S98" s="395"/>
      <c r="T98" s="393"/>
      <c r="U98" s="186"/>
      <c r="V98" s="186"/>
      <c r="W98" s="186"/>
      <c r="X98" s="186"/>
      <c r="Y98" s="186"/>
      <c r="Z98" s="186"/>
      <c r="AA98" s="186"/>
      <c r="AB98" s="186"/>
    </row>
    <row r="99" spans="1:28" s="22" customFormat="1" x14ac:dyDescent="0.25">
      <c r="A99" s="32">
        <v>29</v>
      </c>
      <c r="B99" s="14" t="s">
        <v>8</v>
      </c>
      <c r="C99" s="25"/>
      <c r="D99" s="25"/>
      <c r="E99" s="14"/>
      <c r="F99" s="24"/>
      <c r="G99" s="14"/>
      <c r="I99" s="57"/>
      <c r="J99" s="57"/>
      <c r="K99" s="57"/>
      <c r="L99" s="57"/>
      <c r="M99" s="186"/>
      <c r="N99" s="186"/>
      <c r="O99" s="393"/>
      <c r="P99" s="394"/>
      <c r="Q99" s="394"/>
      <c r="R99" s="393"/>
      <c r="S99" s="395"/>
      <c r="T99" s="393"/>
      <c r="U99" s="186"/>
      <c r="V99" s="186"/>
      <c r="W99" s="186"/>
      <c r="X99" s="186"/>
      <c r="Y99" s="186"/>
      <c r="Z99" s="186"/>
      <c r="AA99" s="186"/>
      <c r="AB99" s="186"/>
    </row>
    <row r="100" spans="1:28" s="22" customFormat="1" x14ac:dyDescent="0.25">
      <c r="A100" s="15"/>
      <c r="B100" s="13" t="s">
        <v>26</v>
      </c>
      <c r="C100" s="32"/>
      <c r="D100" s="32"/>
      <c r="E100" s="32">
        <f>SUM(E91:E99)</f>
        <v>4</v>
      </c>
      <c r="F100" s="115" t="s">
        <v>393</v>
      </c>
      <c r="G100" s="145" t="s">
        <v>397</v>
      </c>
      <c r="H100" s="221" t="s">
        <v>414</v>
      </c>
      <c r="I100" s="57"/>
      <c r="J100" s="57"/>
      <c r="K100" s="57"/>
      <c r="L100" s="57"/>
      <c r="M100" s="186"/>
      <c r="N100" s="186"/>
      <c r="O100" s="392"/>
      <c r="P100" s="396"/>
      <c r="Q100" s="396"/>
      <c r="R100" s="396"/>
      <c r="S100" s="186"/>
      <c r="T100" s="186"/>
      <c r="U100" s="186"/>
      <c r="V100" s="186"/>
      <c r="W100" s="186"/>
      <c r="X100" s="186"/>
      <c r="Y100" s="186"/>
      <c r="Z100" s="186"/>
      <c r="AA100" s="186"/>
      <c r="AB100" s="186"/>
    </row>
    <row r="101" spans="1:28" s="22" customFormat="1" ht="30" x14ac:dyDescent="0.25">
      <c r="A101" s="144" t="s">
        <v>401</v>
      </c>
      <c r="B101" s="35" t="s">
        <v>227</v>
      </c>
      <c r="C101" s="60"/>
      <c r="D101" s="61"/>
      <c r="E101" s="304">
        <f>SUM(E89,E100)</f>
        <v>9</v>
      </c>
      <c r="F101" s="115">
        <f>SUM(1*[3]Marg_hist!G15)</f>
        <v>18</v>
      </c>
      <c r="G101" s="330">
        <f>SUM(E101 + G78)-F101</f>
        <v>-5</v>
      </c>
      <c r="H101" s="221" t="s">
        <v>400</v>
      </c>
      <c r="I101" s="57"/>
      <c r="J101" s="57"/>
      <c r="K101" s="57"/>
      <c r="L101" s="57"/>
      <c r="M101" s="186"/>
      <c r="N101" s="186"/>
      <c r="O101" s="186"/>
      <c r="P101" s="186"/>
      <c r="Q101" s="186"/>
      <c r="R101" s="186"/>
      <c r="S101" s="186"/>
      <c r="T101" s="186"/>
      <c r="U101" s="186"/>
      <c r="V101" s="186"/>
      <c r="W101" s="186"/>
      <c r="X101" s="186"/>
      <c r="Y101" s="186"/>
      <c r="Z101" s="186"/>
      <c r="AA101" s="186"/>
      <c r="AB101" s="186"/>
    </row>
    <row r="102" spans="1:28" s="22" customFormat="1" x14ac:dyDescent="0.25">
      <c r="A102" s="402">
        <v>43222</v>
      </c>
      <c r="B102" s="20"/>
      <c r="C102" s="146"/>
      <c r="D102" s="147"/>
      <c r="E102" s="20"/>
      <c r="F102" s="20"/>
      <c r="G102" s="53"/>
      <c r="I102" s="57"/>
      <c r="J102" s="57"/>
      <c r="K102" s="57"/>
      <c r="L102" s="57"/>
      <c r="M102" s="186"/>
      <c r="N102" s="186"/>
      <c r="O102" s="186"/>
      <c r="P102" s="186"/>
      <c r="Q102" s="186"/>
      <c r="R102" s="186"/>
      <c r="S102" s="186"/>
      <c r="T102" s="186"/>
      <c r="U102" s="186"/>
      <c r="V102" s="186"/>
      <c r="W102" s="186"/>
      <c r="X102" s="186"/>
      <c r="Y102" s="186"/>
      <c r="Z102" s="186"/>
      <c r="AA102" s="186"/>
      <c r="AB102" s="186"/>
    </row>
    <row r="103" spans="1:28" s="22" customFormat="1" ht="75" x14ac:dyDescent="0.25">
      <c r="A103" s="299"/>
      <c r="B103" s="13" t="s">
        <v>70</v>
      </c>
      <c r="C103" s="13" t="s">
        <v>11</v>
      </c>
      <c r="D103" s="13" t="s">
        <v>12</v>
      </c>
      <c r="E103" s="13" t="s">
        <v>13</v>
      </c>
      <c r="F103" s="13" t="s">
        <v>14</v>
      </c>
      <c r="G103" s="20" t="s">
        <v>0</v>
      </c>
      <c r="I103" s="57" t="s">
        <v>187</v>
      </c>
      <c r="J103" s="57" t="s">
        <v>186</v>
      </c>
      <c r="K103" s="57"/>
      <c r="L103" s="57"/>
      <c r="M103" s="186"/>
      <c r="N103" s="186"/>
      <c r="O103" s="392"/>
      <c r="P103" s="392"/>
      <c r="Q103" s="392"/>
      <c r="R103" s="392"/>
      <c r="S103" s="392"/>
      <c r="T103" s="392"/>
      <c r="U103" s="186"/>
      <c r="V103" s="186"/>
      <c r="W103" s="186"/>
      <c r="X103" s="186"/>
      <c r="Y103" s="186"/>
      <c r="Z103" s="186"/>
      <c r="AA103" s="186"/>
      <c r="AB103" s="186"/>
    </row>
    <row r="104" spans="1:28" s="22" customFormat="1" ht="60" x14ac:dyDescent="0.25">
      <c r="A104" s="32">
        <v>30</v>
      </c>
      <c r="B104" s="14" t="s">
        <v>2</v>
      </c>
      <c r="C104" s="33"/>
      <c r="D104" s="25"/>
      <c r="E104" s="14"/>
      <c r="F104" s="24"/>
      <c r="G104" s="14"/>
      <c r="I104" s="57" t="s">
        <v>182</v>
      </c>
      <c r="J104" s="57" t="s">
        <v>181</v>
      </c>
      <c r="K104" s="57"/>
      <c r="L104" s="57"/>
      <c r="M104" s="186"/>
      <c r="N104" s="186"/>
      <c r="O104" s="393"/>
      <c r="P104" s="397"/>
      <c r="Q104" s="394"/>
      <c r="R104" s="393"/>
      <c r="S104" s="395"/>
      <c r="T104" s="393"/>
      <c r="U104" s="186"/>
      <c r="V104" s="186"/>
      <c r="W104" s="186"/>
      <c r="X104" s="186"/>
      <c r="Y104" s="186"/>
      <c r="Z104" s="186"/>
      <c r="AA104" s="186"/>
      <c r="AB104" s="186"/>
    </row>
    <row r="105" spans="1:28" s="22" customFormat="1" ht="105" x14ac:dyDescent="0.25">
      <c r="A105" s="32">
        <v>1</v>
      </c>
      <c r="B105" s="14" t="s">
        <v>3</v>
      </c>
      <c r="C105" s="26">
        <v>0.58333333333333337</v>
      </c>
      <c r="D105" s="26">
        <v>0.625</v>
      </c>
      <c r="E105" s="15">
        <v>1</v>
      </c>
      <c r="F105" s="15"/>
      <c r="G105" s="15" t="s">
        <v>124</v>
      </c>
      <c r="H105" s="299"/>
      <c r="I105" s="57" t="s">
        <v>180</v>
      </c>
      <c r="J105" s="57" t="s">
        <v>179</v>
      </c>
      <c r="K105" s="57"/>
      <c r="L105" s="57"/>
      <c r="M105" s="186"/>
      <c r="N105" s="186"/>
      <c r="O105" s="393"/>
      <c r="P105" s="398"/>
      <c r="Q105" s="398"/>
      <c r="R105" s="186"/>
      <c r="S105" s="186"/>
      <c r="T105" s="186"/>
      <c r="U105" s="186"/>
      <c r="V105" s="186"/>
      <c r="W105" s="186"/>
      <c r="X105" s="186"/>
      <c r="Y105" s="186"/>
      <c r="Z105" s="186"/>
      <c r="AA105" s="186"/>
      <c r="AB105" s="186"/>
    </row>
    <row r="106" spans="1:28" s="22" customFormat="1" x14ac:dyDescent="0.25">
      <c r="A106" s="32">
        <v>2</v>
      </c>
      <c r="B106" s="14" t="s">
        <v>4</v>
      </c>
      <c r="C106" s="26"/>
      <c r="D106" s="26"/>
      <c r="E106" s="14"/>
      <c r="F106" s="15"/>
      <c r="G106" s="24"/>
      <c r="I106" s="57"/>
      <c r="J106" s="57"/>
      <c r="K106" s="57"/>
      <c r="L106" s="57"/>
      <c r="M106" s="186"/>
      <c r="N106" s="186"/>
      <c r="O106" s="393"/>
      <c r="P106" s="398"/>
      <c r="Q106" s="398"/>
      <c r="R106" s="393"/>
      <c r="S106" s="395"/>
      <c r="T106" s="393"/>
      <c r="U106" s="186"/>
      <c r="V106" s="186"/>
      <c r="W106" s="186"/>
      <c r="X106" s="186"/>
      <c r="Y106" s="186"/>
      <c r="Z106" s="186"/>
      <c r="AA106" s="186"/>
      <c r="AB106" s="186"/>
    </row>
    <row r="107" spans="1:28" s="22" customFormat="1" x14ac:dyDescent="0.25">
      <c r="A107" s="32">
        <v>3</v>
      </c>
      <c r="B107" s="14" t="s">
        <v>5</v>
      </c>
      <c r="C107" s="25"/>
      <c r="D107" s="25"/>
      <c r="E107" s="14"/>
      <c r="F107" s="15"/>
      <c r="G107" s="24"/>
      <c r="I107" s="57"/>
      <c r="J107" s="57"/>
      <c r="K107" s="57"/>
      <c r="L107" s="57"/>
      <c r="M107" s="186"/>
      <c r="N107" s="186"/>
      <c r="O107" s="393"/>
      <c r="P107" s="394"/>
      <c r="Q107" s="394"/>
      <c r="R107" s="393"/>
      <c r="S107" s="395"/>
      <c r="T107" s="393"/>
      <c r="U107" s="186"/>
      <c r="V107" s="186"/>
      <c r="W107" s="186"/>
      <c r="X107" s="186"/>
      <c r="Y107" s="186"/>
      <c r="Z107" s="186"/>
      <c r="AA107" s="186"/>
      <c r="AB107" s="186"/>
    </row>
    <row r="108" spans="1:28" s="22" customFormat="1" x14ac:dyDescent="0.25">
      <c r="A108" s="32">
        <v>4</v>
      </c>
      <c r="B108" s="14" t="s">
        <v>6</v>
      </c>
      <c r="C108" s="42">
        <v>0.41666666666666669</v>
      </c>
      <c r="D108" s="42">
        <v>0.45833333333333331</v>
      </c>
      <c r="E108" s="14">
        <v>1</v>
      </c>
      <c r="F108" s="15"/>
      <c r="G108" s="24" t="s">
        <v>125</v>
      </c>
      <c r="I108" s="57"/>
      <c r="J108" s="57"/>
      <c r="K108" s="57"/>
      <c r="L108" s="57"/>
      <c r="M108" s="186"/>
      <c r="N108" s="186"/>
      <c r="O108" s="393"/>
      <c r="P108" s="399"/>
      <c r="Q108" s="399"/>
      <c r="R108" s="393"/>
      <c r="S108" s="395"/>
      <c r="T108" s="393"/>
      <c r="U108" s="186"/>
      <c r="V108" s="186"/>
      <c r="W108" s="186"/>
      <c r="X108" s="186"/>
      <c r="Y108" s="186"/>
      <c r="Z108" s="186"/>
      <c r="AA108" s="186"/>
      <c r="AB108" s="186"/>
    </row>
    <row r="109" spans="1:28" s="22" customFormat="1" x14ac:dyDescent="0.25">
      <c r="A109" s="32">
        <v>5</v>
      </c>
      <c r="B109" s="14" t="s">
        <v>7</v>
      </c>
      <c r="C109" s="42"/>
      <c r="D109" s="42"/>
      <c r="E109" s="14"/>
      <c r="F109" s="24"/>
      <c r="G109" s="14"/>
      <c r="I109" s="57"/>
      <c r="J109" s="57"/>
      <c r="K109" s="57"/>
      <c r="L109" s="57"/>
      <c r="M109" s="186"/>
      <c r="N109" s="186"/>
      <c r="O109" s="393"/>
      <c r="P109" s="399"/>
      <c r="Q109" s="399"/>
      <c r="R109" s="393"/>
      <c r="S109" s="395"/>
      <c r="T109" s="393"/>
      <c r="U109" s="186"/>
      <c r="V109" s="186"/>
      <c r="W109" s="186"/>
      <c r="X109" s="186"/>
      <c r="Y109" s="186"/>
      <c r="Z109" s="186"/>
      <c r="AA109" s="186"/>
      <c r="AB109" s="186"/>
    </row>
    <row r="110" spans="1:28" s="22" customFormat="1" x14ac:dyDescent="0.25">
      <c r="A110" s="32">
        <v>6</v>
      </c>
      <c r="B110" s="14" t="s">
        <v>8</v>
      </c>
      <c r="C110" s="25"/>
      <c r="D110" s="25"/>
      <c r="E110" s="14"/>
      <c r="F110" s="23"/>
      <c r="G110" s="21"/>
      <c r="I110" s="57"/>
      <c r="J110" s="57"/>
      <c r="K110" s="57"/>
      <c r="L110" s="57"/>
      <c r="M110" s="186"/>
      <c r="N110" s="186"/>
      <c r="O110" s="393"/>
      <c r="P110" s="394"/>
      <c r="Q110" s="394"/>
      <c r="R110" s="393"/>
      <c r="S110" s="395"/>
      <c r="T110" s="393"/>
      <c r="U110" s="186"/>
      <c r="V110" s="186"/>
      <c r="W110" s="186"/>
      <c r="X110" s="186"/>
      <c r="Y110" s="186"/>
      <c r="Z110" s="186"/>
      <c r="AA110" s="186"/>
      <c r="AB110" s="186"/>
    </row>
    <row r="111" spans="1:28" s="22" customFormat="1" x14ac:dyDescent="0.25">
      <c r="A111" s="15"/>
      <c r="B111" s="13" t="s">
        <v>26</v>
      </c>
      <c r="C111" s="32"/>
      <c r="D111" s="32"/>
      <c r="E111" s="32">
        <v>2</v>
      </c>
      <c r="G111" s="53"/>
      <c r="I111" s="57"/>
      <c r="J111" s="57"/>
      <c r="K111" s="57"/>
      <c r="L111" s="57"/>
      <c r="M111" s="186"/>
      <c r="N111" s="186"/>
      <c r="O111" s="392"/>
      <c r="P111" s="396"/>
      <c r="Q111" s="396"/>
      <c r="R111" s="396"/>
      <c r="S111" s="186"/>
      <c r="T111" s="186"/>
      <c r="U111" s="186"/>
      <c r="V111" s="186"/>
      <c r="W111" s="186"/>
      <c r="X111" s="186"/>
      <c r="Y111" s="186"/>
      <c r="Z111" s="186"/>
      <c r="AA111" s="186"/>
      <c r="AB111" s="186"/>
    </row>
    <row r="112" spans="1:28" s="22" customFormat="1" x14ac:dyDescent="0.25">
      <c r="A112" s="15"/>
      <c r="B112" s="13"/>
      <c r="C112" s="32"/>
      <c r="D112" s="32"/>
      <c r="E112" s="32"/>
      <c r="I112" s="57"/>
      <c r="J112" s="57"/>
      <c r="K112" s="57"/>
      <c r="L112" s="57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6"/>
      <c r="AA112" s="186"/>
      <c r="AB112" s="186"/>
    </row>
    <row r="113" spans="1:28" s="22" customFormat="1" x14ac:dyDescent="0.25">
      <c r="A113" s="15"/>
      <c r="B113" s="15"/>
      <c r="C113" s="15"/>
      <c r="D113" s="15"/>
      <c r="E113" s="15"/>
      <c r="F113" s="15"/>
      <c r="I113" s="57"/>
      <c r="J113" s="57"/>
      <c r="K113" s="57"/>
      <c r="L113" s="57"/>
      <c r="M113" s="186"/>
      <c r="N113" s="186"/>
      <c r="O113" s="186"/>
      <c r="P113" s="186"/>
      <c r="Q113" s="186"/>
      <c r="R113" s="186"/>
      <c r="S113" s="186"/>
      <c r="T113" s="186"/>
      <c r="U113" s="186"/>
      <c r="V113" s="186"/>
      <c r="W113" s="186"/>
      <c r="X113" s="186"/>
      <c r="Y113" s="186"/>
      <c r="Z113" s="186"/>
      <c r="AA113" s="186"/>
      <c r="AB113" s="186"/>
    </row>
    <row r="114" spans="1:28" s="22" customFormat="1" ht="30" x14ac:dyDescent="0.25">
      <c r="A114" s="15"/>
      <c r="B114" s="13" t="s">
        <v>74</v>
      </c>
      <c r="C114" s="13" t="s">
        <v>11</v>
      </c>
      <c r="D114" s="13" t="s">
        <v>12</v>
      </c>
      <c r="E114" s="13" t="s">
        <v>13</v>
      </c>
      <c r="F114" s="13" t="s">
        <v>14</v>
      </c>
      <c r="G114" s="20" t="s">
        <v>0</v>
      </c>
      <c r="H114" s="15"/>
      <c r="I114" s="57"/>
      <c r="J114" s="57"/>
      <c r="K114" s="57"/>
      <c r="L114" s="57"/>
      <c r="M114" s="186"/>
      <c r="N114" s="186"/>
      <c r="O114" s="392"/>
      <c r="P114" s="392"/>
      <c r="Q114" s="392"/>
      <c r="R114" s="392"/>
      <c r="S114" s="392"/>
      <c r="T114" s="392"/>
      <c r="U114" s="186"/>
      <c r="V114" s="186"/>
      <c r="W114" s="186"/>
      <c r="X114" s="186"/>
      <c r="Y114" s="186"/>
      <c r="Z114" s="186"/>
      <c r="AA114" s="186"/>
      <c r="AB114" s="186"/>
    </row>
    <row r="115" spans="1:28" s="22" customFormat="1" x14ac:dyDescent="0.25">
      <c r="A115" s="53">
        <v>7</v>
      </c>
      <c r="B115" s="14" t="s">
        <v>2</v>
      </c>
      <c r="C115" s="25"/>
      <c r="D115" s="25"/>
      <c r="E115" s="14"/>
      <c r="F115" s="24"/>
      <c r="G115" s="14"/>
      <c r="H115" s="15"/>
      <c r="I115" s="57"/>
      <c r="J115" s="57"/>
      <c r="K115" s="57"/>
      <c r="L115" s="57"/>
      <c r="M115" s="186"/>
      <c r="N115" s="186"/>
      <c r="O115" s="393"/>
      <c r="P115" s="397"/>
      <c r="Q115" s="394"/>
      <c r="R115" s="393"/>
      <c r="S115" s="395"/>
      <c r="T115" s="393"/>
      <c r="U115" s="186"/>
      <c r="V115" s="186"/>
      <c r="W115" s="186"/>
      <c r="X115" s="186"/>
      <c r="Y115" s="186"/>
      <c r="Z115" s="186"/>
      <c r="AA115" s="186"/>
      <c r="AB115" s="186"/>
    </row>
    <row r="116" spans="1:28" s="22" customFormat="1" x14ac:dyDescent="0.25">
      <c r="A116" s="32">
        <v>8</v>
      </c>
      <c r="B116" s="14" t="s">
        <v>3</v>
      </c>
      <c r="C116" s="33"/>
      <c r="D116" s="25"/>
      <c r="E116" s="14"/>
      <c r="F116" s="24"/>
      <c r="G116" s="14"/>
      <c r="I116" s="57"/>
      <c r="J116" s="57"/>
      <c r="K116" s="57"/>
      <c r="L116" s="57"/>
      <c r="M116" s="186"/>
      <c r="N116" s="186"/>
      <c r="O116" s="393"/>
      <c r="P116" s="186"/>
      <c r="Q116" s="186"/>
      <c r="R116" s="186"/>
      <c r="S116" s="186"/>
      <c r="T116" s="186"/>
      <c r="U116" s="186"/>
      <c r="V116" s="186"/>
      <c r="W116" s="186"/>
      <c r="X116" s="186"/>
      <c r="Y116" s="186"/>
      <c r="Z116" s="186"/>
      <c r="AA116" s="186"/>
      <c r="AB116" s="186"/>
    </row>
    <row r="117" spans="1:28" s="22" customFormat="1" x14ac:dyDescent="0.25">
      <c r="A117" s="32">
        <v>9</v>
      </c>
      <c r="B117" s="14" t="s">
        <v>4</v>
      </c>
      <c r="C117" s="26">
        <v>0.5625</v>
      </c>
      <c r="D117" s="26">
        <v>0.60416666666666663</v>
      </c>
      <c r="E117" s="15">
        <v>1</v>
      </c>
      <c r="F117" s="15"/>
      <c r="G117" s="15" t="s">
        <v>127</v>
      </c>
      <c r="I117" s="57"/>
      <c r="J117" s="57"/>
      <c r="K117" s="57"/>
      <c r="L117" s="57"/>
      <c r="M117" s="186"/>
      <c r="N117" s="186"/>
      <c r="O117" s="393"/>
      <c r="P117" s="398"/>
      <c r="Q117" s="398"/>
      <c r="R117" s="186"/>
      <c r="S117" s="186"/>
      <c r="T117" s="393"/>
      <c r="U117" s="186"/>
      <c r="V117" s="186"/>
      <c r="W117" s="186"/>
      <c r="X117" s="186"/>
      <c r="Y117" s="186"/>
      <c r="Z117" s="186"/>
      <c r="AA117" s="186"/>
      <c r="AB117" s="186"/>
    </row>
    <row r="118" spans="1:28" s="22" customFormat="1" x14ac:dyDescent="0.25">
      <c r="A118" s="32">
        <v>10</v>
      </c>
      <c r="B118" s="14" t="s">
        <v>5</v>
      </c>
      <c r="C118" s="25"/>
      <c r="D118" s="25"/>
      <c r="E118" s="14"/>
      <c r="F118" s="15"/>
      <c r="G118" s="24"/>
      <c r="I118" s="57"/>
      <c r="J118" s="57"/>
      <c r="K118" s="57"/>
      <c r="L118" s="57"/>
      <c r="M118" s="186"/>
      <c r="N118" s="186"/>
      <c r="O118" s="393"/>
      <c r="P118" s="394"/>
      <c r="Q118" s="394"/>
      <c r="R118" s="393"/>
      <c r="S118" s="395"/>
      <c r="T118" s="393"/>
      <c r="U118" s="186"/>
      <c r="V118" s="186"/>
      <c r="W118" s="186"/>
      <c r="X118" s="186"/>
      <c r="Y118" s="186"/>
      <c r="Z118" s="186"/>
      <c r="AA118" s="186"/>
      <c r="AB118" s="186"/>
    </row>
    <row r="119" spans="1:28" s="22" customFormat="1" x14ac:dyDescent="0.25">
      <c r="A119" s="32">
        <v>11</v>
      </c>
      <c r="B119" s="14" t="s">
        <v>6</v>
      </c>
      <c r="C119" s="42">
        <v>0.41666666666666669</v>
      </c>
      <c r="D119" s="42">
        <v>0.45833333333333331</v>
      </c>
      <c r="E119" s="14">
        <v>1</v>
      </c>
      <c r="F119" s="15"/>
      <c r="G119" s="24" t="s">
        <v>125</v>
      </c>
      <c r="H119" s="15"/>
      <c r="I119" s="57"/>
      <c r="J119" s="57"/>
      <c r="K119" s="57"/>
      <c r="L119" s="57"/>
      <c r="M119" s="186"/>
      <c r="N119" s="186"/>
      <c r="O119" s="393"/>
      <c r="P119" s="399"/>
      <c r="Q119" s="399"/>
      <c r="R119" s="393"/>
      <c r="S119" s="395"/>
      <c r="T119" s="393"/>
      <c r="U119" s="186"/>
      <c r="V119" s="186"/>
      <c r="W119" s="186"/>
      <c r="X119" s="186"/>
      <c r="Y119" s="186"/>
      <c r="Z119" s="186"/>
      <c r="AA119" s="186"/>
      <c r="AB119" s="186"/>
    </row>
    <row r="120" spans="1:28" s="22" customFormat="1" x14ac:dyDescent="0.25">
      <c r="A120" s="32">
        <v>12</v>
      </c>
      <c r="B120" s="14" t="s">
        <v>7</v>
      </c>
      <c r="C120" s="42"/>
      <c r="D120" s="42"/>
      <c r="E120" s="14"/>
      <c r="F120" s="24"/>
      <c r="G120" s="14"/>
      <c r="H120" s="15"/>
      <c r="I120" s="57"/>
      <c r="J120" s="57"/>
      <c r="K120" s="57"/>
      <c r="L120" s="57"/>
      <c r="M120" s="186"/>
      <c r="N120" s="186"/>
      <c r="O120" s="393"/>
      <c r="P120" s="399"/>
      <c r="Q120" s="399"/>
      <c r="R120" s="393"/>
      <c r="S120" s="395"/>
      <c r="T120" s="393"/>
      <c r="U120" s="186"/>
      <c r="V120" s="186"/>
      <c r="W120" s="186"/>
      <c r="X120" s="186"/>
      <c r="Y120" s="186"/>
      <c r="Z120" s="186"/>
      <c r="AA120" s="186"/>
      <c r="AB120" s="186"/>
    </row>
    <row r="121" spans="1:28" s="22" customFormat="1" x14ac:dyDescent="0.25">
      <c r="A121" s="32">
        <v>13</v>
      </c>
      <c r="B121" s="14" t="s">
        <v>8</v>
      </c>
      <c r="C121" s="14"/>
      <c r="D121" s="14"/>
      <c r="E121" s="14"/>
      <c r="F121" s="24"/>
      <c r="G121" s="14"/>
      <c r="H121" s="15"/>
      <c r="I121" s="57"/>
      <c r="J121" s="57"/>
      <c r="K121" s="57"/>
      <c r="L121" s="57"/>
      <c r="M121" s="186"/>
      <c r="N121" s="186"/>
      <c r="O121" s="393"/>
      <c r="P121" s="394"/>
      <c r="Q121" s="394"/>
      <c r="R121" s="393"/>
      <c r="S121" s="395"/>
      <c r="T121" s="393"/>
      <c r="U121" s="186"/>
      <c r="V121" s="186"/>
      <c r="W121" s="186"/>
      <c r="X121" s="186"/>
      <c r="Y121" s="186"/>
      <c r="Z121" s="186"/>
      <c r="AA121" s="186"/>
      <c r="AB121" s="186"/>
    </row>
    <row r="122" spans="1:28" s="22" customFormat="1" x14ac:dyDescent="0.25">
      <c r="A122" s="15"/>
      <c r="B122" s="13" t="s">
        <v>26</v>
      </c>
      <c r="C122" s="32"/>
      <c r="D122" s="32"/>
      <c r="E122" s="32">
        <f>SUM(E115:E121)</f>
        <v>2</v>
      </c>
      <c r="F122" s="115" t="s">
        <v>393</v>
      </c>
      <c r="G122" s="145" t="s">
        <v>397</v>
      </c>
      <c r="H122" s="15"/>
      <c r="I122" s="57"/>
      <c r="J122" s="57"/>
      <c r="K122" s="57"/>
      <c r="L122" s="57"/>
      <c r="M122" s="186"/>
      <c r="N122" s="186"/>
      <c r="O122" s="392"/>
      <c r="P122" s="396"/>
      <c r="Q122" s="396"/>
      <c r="R122" s="39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6"/>
    </row>
    <row r="123" spans="1:28" s="22" customFormat="1" x14ac:dyDescent="0.25">
      <c r="A123" s="144" t="s">
        <v>415</v>
      </c>
      <c r="B123" s="35" t="s">
        <v>227</v>
      </c>
      <c r="C123" s="60"/>
      <c r="D123" s="61"/>
      <c r="E123" s="35">
        <f>SUM(E104:E110,E115:E121)</f>
        <v>4</v>
      </c>
      <c r="F123" s="115">
        <f>SUM(1*[3]Marg_hist!G21)</f>
        <v>10</v>
      </c>
      <c r="G123" s="330">
        <f>SUM(E123 + G101)-F123</f>
        <v>-11</v>
      </c>
      <c r="H123" s="221" t="s">
        <v>416</v>
      </c>
      <c r="I123" s="57"/>
      <c r="J123" s="57"/>
      <c r="K123" s="57"/>
      <c r="L123" s="57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6"/>
    </row>
    <row r="124" spans="1:28" s="22" customFormat="1" x14ac:dyDescent="0.25">
      <c r="A124" s="278">
        <v>43236</v>
      </c>
      <c r="B124" s="20"/>
      <c r="C124" s="146"/>
      <c r="D124" s="147"/>
      <c r="E124" s="20"/>
      <c r="F124" s="20"/>
      <c r="G124" s="53"/>
      <c r="H124" s="158"/>
      <c r="I124" s="57"/>
      <c r="J124" s="57"/>
      <c r="K124" s="57"/>
      <c r="L124" s="57"/>
      <c r="M124" s="186"/>
      <c r="N124" s="186"/>
      <c r="O124" s="186"/>
      <c r="P124" s="186"/>
      <c r="Q124" s="186"/>
      <c r="R124" s="186"/>
      <c r="S124" s="186"/>
      <c r="T124" s="186"/>
      <c r="U124" s="186"/>
      <c r="V124" s="186"/>
      <c r="W124" s="186"/>
      <c r="X124" s="186"/>
      <c r="Y124" s="186"/>
      <c r="Z124" s="186"/>
      <c r="AA124" s="186"/>
      <c r="AB124" s="186"/>
    </row>
    <row r="125" spans="1:28" s="22" customFormat="1" ht="15" customHeight="1" x14ac:dyDescent="0.5">
      <c r="A125" s="530" t="s">
        <v>311</v>
      </c>
      <c r="B125" s="530"/>
      <c r="C125" s="530"/>
      <c r="D125" s="530"/>
      <c r="E125" s="530"/>
      <c r="F125" s="530"/>
      <c r="G125" s="530"/>
      <c r="H125" s="530"/>
      <c r="I125" s="152"/>
      <c r="J125" s="152"/>
      <c r="K125" s="152"/>
      <c r="L125" s="152"/>
      <c r="M125" s="391"/>
      <c r="N125" s="391"/>
      <c r="O125" s="391"/>
      <c r="P125" s="391"/>
      <c r="Q125" s="391"/>
      <c r="R125" s="391"/>
      <c r="S125" s="391"/>
      <c r="T125" s="391"/>
      <c r="U125" s="186"/>
      <c r="V125" s="186"/>
      <c r="W125" s="186"/>
      <c r="X125" s="186"/>
      <c r="Y125" s="186"/>
      <c r="Z125" s="186"/>
      <c r="AA125" s="186"/>
      <c r="AB125" s="186"/>
    </row>
    <row r="126" spans="1:28" s="22" customFormat="1" ht="15" customHeight="1" x14ac:dyDescent="0.5">
      <c r="A126" s="530"/>
      <c r="B126" s="530"/>
      <c r="C126" s="530"/>
      <c r="D126" s="530"/>
      <c r="E126" s="530"/>
      <c r="F126" s="530"/>
      <c r="G126" s="530"/>
      <c r="H126" s="530"/>
      <c r="I126" s="152"/>
      <c r="J126" s="152"/>
      <c r="K126" s="152"/>
      <c r="L126" s="152"/>
      <c r="M126" s="391"/>
      <c r="N126" s="391"/>
      <c r="O126" s="391"/>
      <c r="P126" s="391"/>
      <c r="Q126" s="391"/>
      <c r="R126" s="391"/>
      <c r="S126" s="391"/>
      <c r="T126" s="391"/>
      <c r="U126" s="186"/>
      <c r="V126" s="186"/>
      <c r="W126" s="186"/>
      <c r="X126" s="186"/>
      <c r="Y126" s="186"/>
      <c r="Z126" s="186"/>
      <c r="AA126" s="186"/>
      <c r="AB126" s="186"/>
    </row>
    <row r="127" spans="1:28" s="22" customFormat="1" ht="48.75" x14ac:dyDescent="0.5">
      <c r="A127" s="137" t="s">
        <v>252</v>
      </c>
      <c r="B127" s="13" t="s">
        <v>128</v>
      </c>
      <c r="C127" s="13" t="s">
        <v>11</v>
      </c>
      <c r="D127" s="13" t="s">
        <v>12</v>
      </c>
      <c r="E127" s="13" t="s">
        <v>13</v>
      </c>
      <c r="F127" s="13" t="s">
        <v>14</v>
      </c>
      <c r="G127" s="20" t="s">
        <v>0</v>
      </c>
      <c r="I127" s="187"/>
      <c r="J127" s="187"/>
      <c r="K127" s="57"/>
      <c r="L127" s="57"/>
      <c r="M127" s="186"/>
      <c r="N127" s="186"/>
      <c r="O127" s="392"/>
      <c r="P127" s="392"/>
      <c r="Q127" s="392"/>
      <c r="R127" s="392"/>
      <c r="S127" s="392"/>
      <c r="T127" s="392"/>
      <c r="U127" s="186"/>
      <c r="V127" s="186"/>
      <c r="W127" s="186"/>
      <c r="X127" s="186"/>
      <c r="Y127" s="186"/>
      <c r="Z127" s="186"/>
      <c r="AA127" s="186"/>
      <c r="AB127" s="186"/>
    </row>
    <row r="128" spans="1:28" s="22" customFormat="1" x14ac:dyDescent="0.25">
      <c r="A128" s="32">
        <v>14</v>
      </c>
      <c r="B128" s="21" t="s">
        <v>2</v>
      </c>
      <c r="C128" s="49"/>
      <c r="D128" s="49"/>
      <c r="E128" s="138"/>
      <c r="F128" s="23"/>
      <c r="G128" s="21"/>
      <c r="H128" s="15"/>
      <c r="I128" s="57"/>
      <c r="J128" s="57"/>
      <c r="K128" s="57"/>
      <c r="L128" s="57"/>
      <c r="M128" s="186"/>
      <c r="N128" s="186"/>
      <c r="O128" s="393"/>
      <c r="P128" s="397"/>
      <c r="Q128" s="394"/>
      <c r="R128" s="393"/>
      <c r="S128" s="395"/>
      <c r="T128" s="393"/>
      <c r="U128" s="186"/>
      <c r="V128" s="186"/>
      <c r="W128" s="186"/>
      <c r="X128" s="186"/>
      <c r="Y128" s="186"/>
      <c r="Z128" s="186"/>
      <c r="AA128" s="186"/>
      <c r="AB128" s="186"/>
    </row>
    <row r="129" spans="1:28" s="22" customFormat="1" x14ac:dyDescent="0.25">
      <c r="A129" s="32">
        <v>15</v>
      </c>
      <c r="B129" s="21" t="s">
        <v>3</v>
      </c>
      <c r="C129" s="48"/>
      <c r="D129" s="49"/>
      <c r="E129" s="138"/>
      <c r="F129" s="23"/>
      <c r="G129" s="21"/>
      <c r="I129" s="57"/>
      <c r="J129" s="57"/>
      <c r="K129" s="57"/>
      <c r="L129" s="57"/>
      <c r="M129" s="186"/>
      <c r="N129" s="186"/>
      <c r="O129" s="393"/>
      <c r="P129" s="186"/>
      <c r="Q129" s="186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  <c r="AB129" s="186"/>
    </row>
    <row r="130" spans="1:28" s="22" customFormat="1" x14ac:dyDescent="0.25">
      <c r="A130" s="32">
        <v>16</v>
      </c>
      <c r="B130" s="21" t="s">
        <v>4</v>
      </c>
      <c r="C130" s="51"/>
      <c r="D130" s="51"/>
      <c r="E130" s="138"/>
      <c r="F130" s="23"/>
      <c r="I130" s="57"/>
      <c r="J130" s="57"/>
      <c r="K130" s="57"/>
      <c r="L130" s="57"/>
      <c r="M130" s="186"/>
      <c r="N130" s="186"/>
      <c r="O130" s="393"/>
      <c r="P130" s="398"/>
      <c r="Q130" s="398"/>
      <c r="R130" s="186"/>
      <c r="S130" s="186"/>
      <c r="T130" s="393"/>
      <c r="U130" s="186"/>
      <c r="V130" s="186"/>
      <c r="W130" s="186"/>
      <c r="X130" s="186"/>
      <c r="Y130" s="186"/>
      <c r="Z130" s="186"/>
      <c r="AA130" s="186"/>
      <c r="AB130" s="186"/>
    </row>
    <row r="131" spans="1:28" s="22" customFormat="1" x14ac:dyDescent="0.25">
      <c r="A131" s="32">
        <v>17</v>
      </c>
      <c r="B131" s="14" t="s">
        <v>5</v>
      </c>
      <c r="C131" s="25">
        <v>0.4375</v>
      </c>
      <c r="D131" s="25">
        <v>0.52083333333333337</v>
      </c>
      <c r="E131" s="14">
        <v>2</v>
      </c>
      <c r="F131" s="15"/>
      <c r="G131" s="24" t="s">
        <v>129</v>
      </c>
      <c r="I131" s="57"/>
      <c r="J131" s="57"/>
      <c r="K131" s="57"/>
      <c r="L131" s="57"/>
      <c r="M131" s="186"/>
      <c r="N131" s="186"/>
      <c r="O131" s="393"/>
      <c r="P131" s="394"/>
      <c r="Q131" s="394"/>
      <c r="R131" s="393"/>
      <c r="S131" s="395"/>
      <c r="T131" s="393"/>
      <c r="U131" s="186"/>
      <c r="V131" s="186"/>
      <c r="W131" s="186"/>
      <c r="X131" s="186"/>
      <c r="Y131" s="186"/>
      <c r="Z131" s="186"/>
      <c r="AA131" s="186"/>
      <c r="AB131" s="186"/>
    </row>
    <row r="132" spans="1:28" s="22" customFormat="1" x14ac:dyDescent="0.25">
      <c r="A132" s="32"/>
      <c r="B132" s="15"/>
      <c r="C132" s="26">
        <v>0.52083333333333337</v>
      </c>
      <c r="D132" s="26">
        <v>6.25E-2</v>
      </c>
      <c r="E132" s="15">
        <v>1</v>
      </c>
      <c r="F132" s="15"/>
      <c r="G132" s="15" t="s">
        <v>127</v>
      </c>
      <c r="I132" s="57"/>
      <c r="J132" s="57"/>
      <c r="K132" s="57"/>
      <c r="L132" s="57"/>
      <c r="M132" s="186"/>
      <c r="N132" s="186"/>
      <c r="O132" s="186"/>
      <c r="P132" s="398"/>
      <c r="Q132" s="398"/>
      <c r="R132" s="186"/>
      <c r="S132" s="186"/>
      <c r="T132" s="393"/>
      <c r="U132" s="186"/>
      <c r="V132" s="186"/>
      <c r="W132" s="186"/>
      <c r="X132" s="186"/>
      <c r="Y132" s="186"/>
      <c r="Z132" s="186"/>
      <c r="AA132" s="186"/>
      <c r="AB132" s="186"/>
    </row>
    <row r="133" spans="1:28" s="22" customFormat="1" x14ac:dyDescent="0.25">
      <c r="A133" s="32">
        <v>18</v>
      </c>
      <c r="B133" s="14" t="s">
        <v>6</v>
      </c>
      <c r="C133" s="42">
        <v>0.41666666666666669</v>
      </c>
      <c r="D133" s="42">
        <v>0.45833333333333331</v>
      </c>
      <c r="E133" s="14">
        <v>1</v>
      </c>
      <c r="F133" s="15"/>
      <c r="G133" s="24" t="s">
        <v>125</v>
      </c>
      <c r="I133" s="57"/>
      <c r="J133" s="57"/>
      <c r="K133" s="57"/>
      <c r="L133" s="57"/>
      <c r="M133" s="186"/>
      <c r="N133" s="186"/>
      <c r="O133" s="393"/>
      <c r="P133" s="399"/>
      <c r="Q133" s="399"/>
      <c r="R133" s="393"/>
      <c r="S133" s="395"/>
      <c r="T133" s="393"/>
      <c r="U133" s="186"/>
      <c r="V133" s="186"/>
      <c r="W133" s="186"/>
      <c r="X133" s="186"/>
      <c r="Y133" s="186"/>
      <c r="Z133" s="186"/>
      <c r="AA133" s="186"/>
      <c r="AB133" s="186"/>
    </row>
    <row r="134" spans="1:28" s="22" customFormat="1" x14ac:dyDescent="0.25">
      <c r="A134" s="32">
        <v>19</v>
      </c>
      <c r="B134" s="21" t="s">
        <v>7</v>
      </c>
      <c r="C134" s="51"/>
      <c r="D134" s="51"/>
      <c r="E134" s="138"/>
      <c r="F134" s="23"/>
      <c r="G134" s="21"/>
      <c r="I134" s="57"/>
      <c r="J134" s="57"/>
      <c r="K134" s="57"/>
      <c r="L134" s="57"/>
      <c r="M134" s="186"/>
      <c r="N134" s="186"/>
      <c r="O134" s="393"/>
      <c r="P134" s="399"/>
      <c r="Q134" s="399"/>
      <c r="R134" s="393"/>
      <c r="S134" s="395"/>
      <c r="T134" s="393"/>
      <c r="U134" s="186"/>
      <c r="V134" s="186"/>
      <c r="W134" s="186"/>
      <c r="X134" s="186"/>
      <c r="Y134" s="186"/>
      <c r="Z134" s="186"/>
      <c r="AA134" s="186"/>
      <c r="AB134" s="186"/>
    </row>
    <row r="135" spans="1:28" s="22" customFormat="1" x14ac:dyDescent="0.25">
      <c r="A135" s="32">
        <v>20</v>
      </c>
      <c r="B135" s="21" t="s">
        <v>8</v>
      </c>
      <c r="C135" s="49"/>
      <c r="D135" s="49"/>
      <c r="E135" s="138"/>
      <c r="F135" s="23"/>
      <c r="G135" s="21"/>
      <c r="I135" s="57"/>
      <c r="J135" s="57"/>
      <c r="K135" s="57"/>
      <c r="L135" s="57"/>
      <c r="M135" s="186"/>
      <c r="N135" s="186"/>
      <c r="O135" s="393"/>
      <c r="P135" s="394"/>
      <c r="Q135" s="394"/>
      <c r="R135" s="393"/>
      <c r="S135" s="395"/>
      <c r="T135" s="393"/>
      <c r="U135" s="186"/>
      <c r="V135" s="186"/>
      <c r="W135" s="186"/>
      <c r="X135" s="186"/>
      <c r="Y135" s="186"/>
      <c r="Z135" s="186"/>
      <c r="AA135" s="186"/>
      <c r="AB135" s="186"/>
    </row>
    <row r="136" spans="1:28" s="22" customFormat="1" x14ac:dyDescent="0.25">
      <c r="A136" s="15"/>
      <c r="B136" s="13" t="s">
        <v>26</v>
      </c>
      <c r="C136" s="32"/>
      <c r="D136" s="32"/>
      <c r="E136" s="32">
        <f>SUM(E128:E135)</f>
        <v>4</v>
      </c>
      <c r="F136" s="15"/>
      <c r="G136" s="53"/>
      <c r="I136" s="57"/>
      <c r="J136" s="57"/>
      <c r="K136" s="57"/>
      <c r="L136" s="57"/>
      <c r="M136" s="186"/>
      <c r="N136" s="186"/>
      <c r="O136" s="392"/>
      <c r="P136" s="396"/>
      <c r="Q136" s="396"/>
      <c r="R136" s="396"/>
      <c r="S136" s="186"/>
      <c r="T136" s="186"/>
      <c r="U136" s="186"/>
      <c r="V136" s="186"/>
      <c r="W136" s="186"/>
      <c r="X136" s="186"/>
      <c r="Y136" s="186"/>
      <c r="Z136" s="186"/>
      <c r="AA136" s="186"/>
      <c r="AB136" s="186"/>
    </row>
    <row r="137" spans="1:28" s="22" customFormat="1" x14ac:dyDescent="0.25">
      <c r="A137" s="15"/>
      <c r="B137" s="15"/>
      <c r="C137" s="15"/>
      <c r="D137" s="15"/>
      <c r="E137" s="15"/>
      <c r="F137" s="15"/>
      <c r="I137" s="57"/>
      <c r="J137" s="57"/>
      <c r="K137" s="57"/>
      <c r="L137" s="57"/>
      <c r="M137" s="186"/>
      <c r="N137" s="186"/>
      <c r="O137" s="186"/>
      <c r="P137" s="186"/>
      <c r="Q137" s="186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  <c r="AB137" s="186"/>
    </row>
    <row r="138" spans="1:28" s="22" customFormat="1" ht="30" x14ac:dyDescent="0.25">
      <c r="A138" s="15"/>
      <c r="B138" s="13" t="s">
        <v>130</v>
      </c>
      <c r="C138" s="13" t="s">
        <v>11</v>
      </c>
      <c r="D138" s="13" t="s">
        <v>12</v>
      </c>
      <c r="E138" s="13" t="s">
        <v>13</v>
      </c>
      <c r="F138" s="13" t="s">
        <v>14</v>
      </c>
      <c r="G138" s="20" t="s">
        <v>0</v>
      </c>
      <c r="I138" s="57"/>
      <c r="J138" s="57"/>
      <c r="K138" s="57"/>
      <c r="L138" s="57"/>
      <c r="M138" s="186"/>
      <c r="N138" s="186"/>
      <c r="O138" s="186"/>
      <c r="P138" s="186"/>
      <c r="Q138" s="186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  <c r="AB138" s="186"/>
    </row>
    <row r="139" spans="1:28" s="22" customFormat="1" x14ac:dyDescent="0.25">
      <c r="A139" s="32">
        <v>21</v>
      </c>
      <c r="B139" s="21" t="s">
        <v>2</v>
      </c>
      <c r="C139" s="49"/>
      <c r="D139" s="49"/>
      <c r="E139" s="138"/>
      <c r="F139" s="23"/>
      <c r="G139" s="21"/>
      <c r="I139" s="57"/>
      <c r="J139" s="57"/>
      <c r="K139" s="57"/>
      <c r="L139" s="57"/>
      <c r="M139" s="186"/>
      <c r="N139" s="186"/>
      <c r="O139" s="186"/>
      <c r="P139" s="186"/>
      <c r="Q139" s="186"/>
      <c r="R139" s="186"/>
      <c r="S139" s="186"/>
      <c r="T139" s="186"/>
      <c r="U139" s="186"/>
      <c r="V139" s="186"/>
      <c r="W139" s="186"/>
      <c r="X139" s="186"/>
      <c r="Y139" s="186"/>
      <c r="Z139" s="186"/>
      <c r="AA139" s="186"/>
      <c r="AB139" s="186"/>
    </row>
    <row r="140" spans="1:28" s="22" customFormat="1" x14ac:dyDescent="0.25">
      <c r="A140" s="32">
        <v>22</v>
      </c>
      <c r="B140" s="14" t="s">
        <v>3</v>
      </c>
      <c r="C140" s="26">
        <v>0.47916666666666669</v>
      </c>
      <c r="D140" s="26">
        <v>0.52083333333333337</v>
      </c>
      <c r="E140" s="15">
        <v>1</v>
      </c>
      <c r="F140" s="15"/>
      <c r="G140" s="15" t="s">
        <v>131</v>
      </c>
      <c r="I140" s="57"/>
      <c r="J140" s="57"/>
      <c r="K140" s="57"/>
      <c r="L140" s="57"/>
      <c r="M140" s="186"/>
      <c r="N140" s="186"/>
      <c r="O140" s="392"/>
      <c r="P140" s="392"/>
      <c r="Q140" s="392"/>
      <c r="R140" s="392"/>
      <c r="S140" s="392"/>
      <c r="T140" s="392"/>
      <c r="U140" s="186"/>
      <c r="V140" s="186"/>
      <c r="W140" s="186"/>
      <c r="X140" s="186"/>
      <c r="Y140" s="186"/>
      <c r="Z140" s="186"/>
      <c r="AA140" s="186"/>
      <c r="AB140" s="186"/>
    </row>
    <row r="141" spans="1:28" s="22" customFormat="1" x14ac:dyDescent="0.25">
      <c r="A141" s="32">
        <v>23</v>
      </c>
      <c r="B141" s="14" t="s">
        <v>4</v>
      </c>
      <c r="C141" s="26"/>
      <c r="D141" s="26"/>
      <c r="E141" s="15"/>
      <c r="F141" s="15"/>
      <c r="G141" s="15"/>
      <c r="I141" s="57"/>
      <c r="J141" s="57"/>
      <c r="K141" s="57"/>
      <c r="L141" s="57"/>
      <c r="M141" s="186"/>
      <c r="N141" s="186"/>
      <c r="O141" s="393"/>
      <c r="P141" s="397"/>
      <c r="Q141" s="394"/>
      <c r="R141" s="393"/>
      <c r="S141" s="395"/>
      <c r="T141" s="393"/>
      <c r="U141" s="186"/>
      <c r="V141" s="186"/>
      <c r="W141" s="186"/>
      <c r="X141" s="186"/>
      <c r="Y141" s="186"/>
      <c r="Z141" s="186"/>
      <c r="AA141" s="186"/>
      <c r="AB141" s="186"/>
    </row>
    <row r="142" spans="1:28" s="22" customFormat="1" x14ac:dyDescent="0.25">
      <c r="A142" s="32">
        <v>24</v>
      </c>
      <c r="B142" s="14" t="s">
        <v>5</v>
      </c>
      <c r="C142" s="25">
        <v>0.4375</v>
      </c>
      <c r="D142" s="25">
        <v>0.97916666666666663</v>
      </c>
      <c r="E142" s="14">
        <v>1</v>
      </c>
      <c r="F142" s="15"/>
      <c r="G142" s="24" t="s">
        <v>129</v>
      </c>
      <c r="I142" s="57"/>
      <c r="J142" s="57"/>
      <c r="K142" s="57"/>
      <c r="L142" s="57"/>
      <c r="M142" s="186"/>
      <c r="N142" s="186"/>
      <c r="O142" s="393"/>
      <c r="P142" s="398"/>
      <c r="Q142" s="398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  <c r="AB142" s="186"/>
    </row>
    <row r="143" spans="1:28" s="22" customFormat="1" x14ac:dyDescent="0.25">
      <c r="A143" s="32">
        <v>25</v>
      </c>
      <c r="B143" s="14" t="s">
        <v>6</v>
      </c>
      <c r="C143" s="42">
        <v>0.41666666666666669</v>
      </c>
      <c r="D143" s="42">
        <v>0.45833333333333331</v>
      </c>
      <c r="E143" s="14">
        <v>1</v>
      </c>
      <c r="F143" s="15"/>
      <c r="G143" s="24" t="s">
        <v>125</v>
      </c>
      <c r="I143" s="57"/>
      <c r="J143" s="57"/>
      <c r="K143" s="57"/>
      <c r="L143" s="57"/>
      <c r="M143" s="186"/>
      <c r="N143" s="186"/>
      <c r="O143" s="393"/>
      <c r="P143" s="398"/>
      <c r="Q143" s="398"/>
      <c r="R143" s="186"/>
      <c r="S143" s="186"/>
      <c r="T143" s="393"/>
      <c r="U143" s="186"/>
      <c r="V143" s="186"/>
      <c r="W143" s="186"/>
      <c r="X143" s="186"/>
      <c r="Y143" s="186"/>
      <c r="Z143" s="186"/>
      <c r="AA143" s="186"/>
      <c r="AB143" s="186"/>
    </row>
    <row r="144" spans="1:28" s="22" customFormat="1" x14ac:dyDescent="0.25">
      <c r="A144" s="32">
        <v>26</v>
      </c>
      <c r="B144" s="14" t="s">
        <v>7</v>
      </c>
      <c r="C144" s="42">
        <v>0.79166666666666663</v>
      </c>
      <c r="D144" s="42">
        <v>0.875</v>
      </c>
      <c r="E144" s="14">
        <v>2</v>
      </c>
      <c r="F144" s="15"/>
      <c r="G144" s="24" t="s">
        <v>129</v>
      </c>
      <c r="I144" s="57"/>
      <c r="J144" s="57"/>
      <c r="K144" s="57"/>
      <c r="L144" s="57"/>
      <c r="M144" s="186"/>
      <c r="N144" s="186"/>
      <c r="O144" s="393"/>
      <c r="P144" s="394"/>
      <c r="Q144" s="394"/>
      <c r="R144" s="393"/>
      <c r="S144" s="395"/>
      <c r="T144" s="393"/>
      <c r="U144" s="186"/>
      <c r="V144" s="186"/>
      <c r="W144" s="186"/>
      <c r="X144" s="186"/>
      <c r="Y144" s="186"/>
      <c r="Z144" s="186"/>
      <c r="AA144" s="186"/>
      <c r="AB144" s="186"/>
    </row>
    <row r="145" spans="1:28" s="22" customFormat="1" x14ac:dyDescent="0.25">
      <c r="A145" s="32">
        <v>27</v>
      </c>
      <c r="B145" s="21" t="s">
        <v>8</v>
      </c>
      <c r="C145" s="49"/>
      <c r="D145" s="49"/>
      <c r="E145" s="138"/>
      <c r="F145" s="23"/>
      <c r="G145" s="21"/>
      <c r="I145" s="57"/>
      <c r="J145" s="57"/>
      <c r="K145" s="57"/>
      <c r="L145" s="57"/>
      <c r="M145" s="186"/>
      <c r="N145" s="186"/>
      <c r="O145" s="393"/>
      <c r="P145" s="399"/>
      <c r="Q145" s="399"/>
      <c r="R145" s="393"/>
      <c r="S145" s="395"/>
      <c r="T145" s="393"/>
      <c r="U145" s="186"/>
      <c r="V145" s="186"/>
      <c r="W145" s="186"/>
      <c r="X145" s="186"/>
      <c r="Y145" s="186"/>
      <c r="Z145" s="186"/>
      <c r="AA145" s="186"/>
      <c r="AB145" s="186"/>
    </row>
    <row r="146" spans="1:28" s="22" customFormat="1" x14ac:dyDescent="0.25">
      <c r="A146" s="32"/>
      <c r="B146" s="15"/>
      <c r="C146" s="15"/>
      <c r="D146" s="15"/>
      <c r="E146" s="15"/>
      <c r="F146" s="15"/>
      <c r="G146" s="15"/>
      <c r="I146" s="57"/>
      <c r="J146" s="57"/>
      <c r="K146" s="57"/>
      <c r="L146" s="57"/>
      <c r="M146" s="186"/>
      <c r="N146" s="186"/>
      <c r="O146" s="393"/>
      <c r="P146" s="399"/>
      <c r="Q146" s="399"/>
      <c r="R146" s="393"/>
      <c r="S146" s="395"/>
      <c r="T146" s="393"/>
      <c r="U146" s="186"/>
      <c r="V146" s="186"/>
      <c r="W146" s="186"/>
      <c r="X146" s="186"/>
      <c r="Y146" s="186"/>
      <c r="Z146" s="186"/>
      <c r="AA146" s="186"/>
      <c r="AB146" s="186"/>
    </row>
    <row r="147" spans="1:28" s="22" customFormat="1" x14ac:dyDescent="0.25">
      <c r="A147" s="15"/>
      <c r="B147" s="13" t="s">
        <v>26</v>
      </c>
      <c r="C147" s="32"/>
      <c r="D147" s="32"/>
      <c r="E147" s="32">
        <f>SUM(E140:E146)</f>
        <v>5</v>
      </c>
      <c r="F147" s="115" t="s">
        <v>393</v>
      </c>
      <c r="G147" s="145" t="s">
        <v>397</v>
      </c>
      <c r="H147" s="15"/>
      <c r="I147" s="57"/>
      <c r="J147" s="57"/>
      <c r="K147" s="57"/>
      <c r="L147" s="57"/>
      <c r="M147" s="186"/>
      <c r="N147" s="186"/>
      <c r="O147" s="393"/>
      <c r="P147" s="394"/>
      <c r="Q147" s="394"/>
      <c r="R147" s="393"/>
      <c r="S147" s="395"/>
      <c r="T147" s="393"/>
      <c r="U147" s="186"/>
      <c r="V147" s="186"/>
      <c r="W147" s="186"/>
      <c r="X147" s="186"/>
      <c r="Y147" s="186"/>
      <c r="Z147" s="186"/>
      <c r="AA147" s="186"/>
      <c r="AB147" s="186"/>
    </row>
    <row r="148" spans="1:28" s="22" customFormat="1" x14ac:dyDescent="0.25">
      <c r="A148" s="144" t="s">
        <v>417</v>
      </c>
      <c r="B148" s="35" t="s">
        <v>227</v>
      </c>
      <c r="C148" s="60"/>
      <c r="D148" s="61"/>
      <c r="E148" s="35">
        <f>SUM(E128:E135,E139:E146)</f>
        <v>9</v>
      </c>
      <c r="F148" s="115">
        <f>SUM(1*[3]Marg_hist!G27)</f>
        <v>14</v>
      </c>
      <c r="G148" s="330">
        <f>SUM(E148 + G123)-F148</f>
        <v>-16</v>
      </c>
      <c r="H148" s="221"/>
      <c r="I148" s="57"/>
      <c r="J148" s="57"/>
      <c r="K148" s="57"/>
      <c r="L148" s="57"/>
      <c r="M148" s="186"/>
      <c r="N148" s="186"/>
      <c r="O148" s="392"/>
      <c r="P148" s="396"/>
      <c r="Q148" s="396"/>
      <c r="R148" s="396"/>
      <c r="S148" s="186"/>
      <c r="T148" s="186"/>
      <c r="U148" s="186"/>
      <c r="V148" s="186"/>
      <c r="W148" s="186"/>
      <c r="X148" s="186"/>
      <c r="Y148" s="186"/>
      <c r="Z148" s="186"/>
      <c r="AA148" s="186"/>
      <c r="AB148" s="186"/>
    </row>
    <row r="149" spans="1:28" s="22" customFormat="1" x14ac:dyDescent="0.25">
      <c r="A149" s="278">
        <v>43250</v>
      </c>
      <c r="B149" s="15"/>
      <c r="C149" s="15"/>
      <c r="D149" s="15"/>
      <c r="E149" s="15"/>
      <c r="F149" s="15"/>
      <c r="G149" s="15"/>
      <c r="H149" s="15"/>
      <c r="I149" s="57"/>
      <c r="J149" s="57"/>
      <c r="K149" s="57"/>
      <c r="L149" s="57"/>
      <c r="M149" s="186"/>
      <c r="N149" s="186"/>
      <c r="O149" s="186"/>
      <c r="P149" s="186"/>
      <c r="Q149" s="186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  <c r="AB149" s="186"/>
    </row>
    <row r="150" spans="1:28" s="22" customFormat="1" ht="30" x14ac:dyDescent="0.25">
      <c r="A150" s="299"/>
      <c r="B150" s="13" t="s">
        <v>132</v>
      </c>
      <c r="C150" s="13" t="s">
        <v>11</v>
      </c>
      <c r="D150" s="13" t="s">
        <v>12</v>
      </c>
      <c r="E150" s="13" t="s">
        <v>13</v>
      </c>
      <c r="F150" s="13" t="s">
        <v>14</v>
      </c>
      <c r="G150" s="20" t="s">
        <v>0</v>
      </c>
      <c r="I150" s="57"/>
      <c r="J150" s="57"/>
      <c r="K150" s="57"/>
      <c r="L150" s="57"/>
      <c r="M150" s="186"/>
      <c r="N150" s="186"/>
      <c r="O150" s="392"/>
      <c r="P150" s="392"/>
      <c r="Q150" s="392"/>
      <c r="R150" s="392"/>
      <c r="S150" s="392"/>
      <c r="T150" s="392"/>
      <c r="U150" s="186"/>
      <c r="V150" s="186"/>
      <c r="W150" s="186"/>
      <c r="X150" s="186"/>
      <c r="Y150" s="186"/>
      <c r="Z150" s="186"/>
      <c r="AA150" s="186"/>
      <c r="AB150" s="186"/>
    </row>
    <row r="151" spans="1:28" s="22" customFormat="1" x14ac:dyDescent="0.25">
      <c r="A151" s="32">
        <v>28</v>
      </c>
      <c r="B151" s="21" t="s">
        <v>2</v>
      </c>
      <c r="C151" s="49"/>
      <c r="D151" s="49"/>
      <c r="E151" s="138"/>
      <c r="F151" s="23"/>
      <c r="G151" s="21"/>
      <c r="I151" s="57"/>
      <c r="J151" s="57"/>
      <c r="K151" s="57"/>
      <c r="L151" s="57"/>
      <c r="M151" s="186"/>
      <c r="N151" s="186"/>
      <c r="O151" s="393"/>
      <c r="P151" s="397"/>
      <c r="Q151" s="394"/>
      <c r="R151" s="393"/>
      <c r="S151" s="395"/>
      <c r="T151" s="393"/>
      <c r="U151" s="186"/>
      <c r="V151" s="186"/>
      <c r="W151" s="186"/>
      <c r="X151" s="186"/>
      <c r="Y151" s="186"/>
      <c r="Z151" s="186"/>
      <c r="AA151" s="186"/>
      <c r="AB151" s="186"/>
    </row>
    <row r="152" spans="1:28" s="22" customFormat="1" x14ac:dyDescent="0.25">
      <c r="A152" s="32">
        <v>29</v>
      </c>
      <c r="B152" s="21" t="s">
        <v>3</v>
      </c>
      <c r="C152" s="26">
        <v>0.47916666666666669</v>
      </c>
      <c r="D152" s="26">
        <v>0.52083333333333337</v>
      </c>
      <c r="E152" s="15">
        <v>1</v>
      </c>
      <c r="F152" s="15"/>
      <c r="G152" s="15" t="s">
        <v>131</v>
      </c>
      <c r="H152" s="15"/>
      <c r="I152" s="57"/>
      <c r="J152" s="57"/>
      <c r="K152" s="57"/>
      <c r="L152" s="57"/>
      <c r="M152" s="186"/>
      <c r="N152" s="186"/>
      <c r="O152" s="393"/>
      <c r="P152" s="398"/>
      <c r="Q152" s="398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  <c r="AB152" s="186"/>
    </row>
    <row r="153" spans="1:28" s="22" customFormat="1" x14ac:dyDescent="0.25">
      <c r="A153" s="32">
        <v>30</v>
      </c>
      <c r="B153" s="21" t="s">
        <v>4</v>
      </c>
      <c r="C153" s="26"/>
      <c r="D153" s="26"/>
      <c r="E153" s="15"/>
      <c r="F153" s="15"/>
      <c r="G153" s="15"/>
      <c r="I153" s="57"/>
      <c r="J153" s="57"/>
      <c r="K153" s="57"/>
      <c r="L153" s="57"/>
      <c r="M153" s="186"/>
      <c r="N153" s="186"/>
      <c r="O153" s="393"/>
      <c r="P153" s="398"/>
      <c r="Q153" s="398"/>
      <c r="R153" s="186"/>
      <c r="S153" s="186"/>
      <c r="T153" s="393"/>
      <c r="U153" s="186"/>
      <c r="V153" s="186"/>
      <c r="W153" s="186"/>
      <c r="X153" s="186"/>
      <c r="Y153" s="186"/>
      <c r="Z153" s="186"/>
      <c r="AA153" s="186"/>
      <c r="AB153" s="186"/>
    </row>
    <row r="154" spans="1:28" s="22" customFormat="1" x14ac:dyDescent="0.25">
      <c r="A154" s="32">
        <v>31</v>
      </c>
      <c r="B154" s="21" t="s">
        <v>5</v>
      </c>
      <c r="C154" s="25"/>
      <c r="D154" s="25"/>
      <c r="E154" s="14"/>
      <c r="F154" s="15"/>
      <c r="G154" s="24"/>
      <c r="I154" s="57"/>
      <c r="J154" s="57"/>
      <c r="K154" s="57"/>
      <c r="L154" s="57"/>
      <c r="M154" s="186"/>
      <c r="N154" s="186"/>
      <c r="O154" s="393"/>
      <c r="P154" s="394"/>
      <c r="Q154" s="394"/>
      <c r="R154" s="393"/>
      <c r="S154" s="395"/>
      <c r="T154" s="393"/>
      <c r="U154" s="186"/>
      <c r="V154" s="186"/>
      <c r="W154" s="186"/>
      <c r="X154" s="186"/>
      <c r="Y154" s="186"/>
      <c r="Z154" s="186"/>
      <c r="AA154" s="186"/>
      <c r="AB154" s="186"/>
    </row>
    <row r="155" spans="1:28" s="22" customFormat="1" x14ac:dyDescent="0.25">
      <c r="A155" s="32">
        <v>1</v>
      </c>
      <c r="B155" s="21" t="s">
        <v>6</v>
      </c>
      <c r="C155" s="42">
        <v>0.41666666666666669</v>
      </c>
      <c r="D155" s="42">
        <v>0.45833333333333331</v>
      </c>
      <c r="E155" s="14">
        <v>1</v>
      </c>
      <c r="F155" s="15"/>
      <c r="G155" s="24" t="s">
        <v>125</v>
      </c>
      <c r="I155" s="57"/>
      <c r="J155" s="57"/>
      <c r="K155" s="57"/>
      <c r="L155" s="57"/>
      <c r="M155" s="186"/>
      <c r="N155" s="186"/>
      <c r="O155" s="393"/>
      <c r="P155" s="399"/>
      <c r="Q155" s="399"/>
      <c r="R155" s="393"/>
      <c r="S155" s="395"/>
      <c r="T155" s="393"/>
      <c r="U155" s="186"/>
      <c r="V155" s="186"/>
      <c r="W155" s="186"/>
      <c r="X155" s="186"/>
      <c r="Y155" s="186"/>
      <c r="Z155" s="186"/>
      <c r="AA155" s="186"/>
      <c r="AB155" s="186"/>
    </row>
    <row r="156" spans="1:28" s="22" customFormat="1" x14ac:dyDescent="0.25">
      <c r="A156" s="32">
        <v>2</v>
      </c>
      <c r="B156" s="21" t="s">
        <v>7</v>
      </c>
      <c r="C156" s="42">
        <v>0.79166666666666663</v>
      </c>
      <c r="D156" s="42">
        <v>0.875</v>
      </c>
      <c r="E156" s="14">
        <v>2</v>
      </c>
      <c r="F156" s="15"/>
      <c r="G156" s="24" t="s">
        <v>129</v>
      </c>
      <c r="I156" s="57"/>
      <c r="J156" s="57"/>
      <c r="K156" s="57"/>
      <c r="L156" s="57"/>
      <c r="M156" s="186"/>
      <c r="N156" s="186"/>
      <c r="O156" s="393"/>
      <c r="P156" s="399"/>
      <c r="Q156" s="399"/>
      <c r="R156" s="393"/>
      <c r="S156" s="395"/>
      <c r="T156" s="393"/>
      <c r="U156" s="186"/>
      <c r="V156" s="186"/>
      <c r="W156" s="186"/>
      <c r="X156" s="186"/>
      <c r="Y156" s="186"/>
      <c r="Z156" s="186"/>
      <c r="AA156" s="186"/>
      <c r="AB156" s="186"/>
    </row>
    <row r="157" spans="1:28" s="22" customFormat="1" x14ac:dyDescent="0.25">
      <c r="A157" s="32">
        <v>3</v>
      </c>
      <c r="B157" s="21" t="s">
        <v>8</v>
      </c>
      <c r="C157" s="25"/>
      <c r="D157" s="25"/>
      <c r="E157" s="14"/>
      <c r="G157" s="23"/>
      <c r="I157" s="57"/>
      <c r="J157" s="57"/>
      <c r="K157" s="57"/>
      <c r="L157" s="57"/>
      <c r="M157" s="186"/>
      <c r="N157" s="186"/>
      <c r="O157" s="393"/>
      <c r="P157" s="394"/>
      <c r="Q157" s="394"/>
      <c r="R157" s="393"/>
      <c r="S157" s="395"/>
      <c r="T157" s="393"/>
      <c r="U157" s="186"/>
      <c r="V157" s="186"/>
      <c r="W157" s="186"/>
      <c r="X157" s="186"/>
      <c r="Y157" s="186"/>
      <c r="Z157" s="186"/>
      <c r="AA157" s="186"/>
      <c r="AB157" s="186"/>
    </row>
    <row r="158" spans="1:28" s="22" customFormat="1" x14ac:dyDescent="0.25">
      <c r="A158" s="15"/>
      <c r="B158" s="13" t="s">
        <v>26</v>
      </c>
      <c r="C158" s="32"/>
      <c r="D158" s="32"/>
      <c r="E158" s="32">
        <f>SUM(E151:E157)</f>
        <v>4</v>
      </c>
      <c r="G158" s="53"/>
      <c r="I158" s="57"/>
      <c r="J158" s="57"/>
      <c r="K158" s="57"/>
      <c r="L158" s="57"/>
      <c r="M158" s="186"/>
      <c r="N158" s="186"/>
      <c r="O158" s="392"/>
      <c r="P158" s="396"/>
      <c r="Q158" s="396"/>
      <c r="R158" s="396"/>
      <c r="S158" s="186"/>
      <c r="T158" s="186"/>
      <c r="U158" s="186"/>
      <c r="V158" s="186"/>
      <c r="W158" s="186"/>
      <c r="X158" s="186"/>
      <c r="Y158" s="186"/>
      <c r="Z158" s="186"/>
      <c r="AA158" s="186"/>
      <c r="AB158" s="186"/>
    </row>
    <row r="159" spans="1:28" s="22" customFormat="1" x14ac:dyDescent="0.25">
      <c r="A159" s="15"/>
      <c r="B159" s="15"/>
      <c r="C159" s="15"/>
      <c r="D159" s="15"/>
      <c r="E159" s="15"/>
      <c r="I159" s="57"/>
      <c r="J159" s="57"/>
      <c r="K159" s="57"/>
      <c r="L159" s="57"/>
      <c r="M159" s="186"/>
      <c r="N159" s="186"/>
      <c r="O159" s="186"/>
      <c r="P159" s="186"/>
      <c r="Q159" s="186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  <c r="AB159" s="186"/>
    </row>
    <row r="160" spans="1:28" s="22" customFormat="1" ht="30" x14ac:dyDescent="0.25">
      <c r="A160" s="15"/>
      <c r="B160" s="13" t="s">
        <v>133</v>
      </c>
      <c r="C160" s="13" t="s">
        <v>11</v>
      </c>
      <c r="D160" s="13" t="s">
        <v>12</v>
      </c>
      <c r="E160" s="13" t="s">
        <v>13</v>
      </c>
      <c r="F160" s="13" t="s">
        <v>14</v>
      </c>
      <c r="G160" s="20" t="s">
        <v>0</v>
      </c>
      <c r="I160" s="57"/>
      <c r="J160" s="57"/>
      <c r="K160" s="57"/>
      <c r="L160" s="57"/>
      <c r="M160" s="186"/>
      <c r="N160" s="186"/>
      <c r="O160" s="392"/>
      <c r="P160" s="392"/>
      <c r="Q160" s="392"/>
      <c r="R160" s="392"/>
      <c r="S160" s="392"/>
      <c r="T160" s="392"/>
      <c r="U160" s="186"/>
      <c r="V160" s="186"/>
      <c r="W160" s="186"/>
      <c r="X160" s="186"/>
      <c r="Y160" s="186"/>
      <c r="Z160" s="186"/>
      <c r="AA160" s="186"/>
      <c r="AB160" s="186"/>
    </row>
    <row r="161" spans="1:28" s="22" customFormat="1" x14ac:dyDescent="0.25">
      <c r="A161" s="32">
        <v>4</v>
      </c>
      <c r="B161" s="21" t="s">
        <v>2</v>
      </c>
      <c r="C161" s="33"/>
      <c r="D161" s="25"/>
      <c r="E161" s="14"/>
      <c r="F161" s="24"/>
      <c r="G161" s="14"/>
      <c r="I161" s="57"/>
      <c r="J161" s="57"/>
      <c r="K161" s="57"/>
      <c r="L161" s="57"/>
      <c r="M161" s="186"/>
      <c r="N161" s="186"/>
      <c r="O161" s="393"/>
      <c r="P161" s="397"/>
      <c r="Q161" s="394"/>
      <c r="R161" s="393"/>
      <c r="S161" s="395"/>
      <c r="T161" s="393"/>
      <c r="U161" s="186"/>
      <c r="V161" s="186"/>
      <c r="W161" s="186"/>
      <c r="X161" s="186"/>
      <c r="Y161" s="186"/>
      <c r="Z161" s="186"/>
      <c r="AA161" s="186"/>
      <c r="AB161" s="186"/>
    </row>
    <row r="162" spans="1:28" s="22" customFormat="1" x14ac:dyDescent="0.25">
      <c r="A162" s="32">
        <v>5</v>
      </c>
      <c r="B162" s="21" t="s">
        <v>3</v>
      </c>
      <c r="C162" s="26">
        <v>0.45833333333333331</v>
      </c>
      <c r="D162" s="26">
        <v>0.5</v>
      </c>
      <c r="E162" s="15">
        <v>1</v>
      </c>
      <c r="F162" s="15"/>
      <c r="G162" s="15" t="s">
        <v>134</v>
      </c>
      <c r="I162" s="57"/>
      <c r="J162" s="57"/>
      <c r="K162" s="57"/>
      <c r="L162" s="57"/>
      <c r="M162" s="186"/>
      <c r="N162" s="186"/>
      <c r="O162" s="393"/>
      <c r="P162" s="398"/>
      <c r="Q162" s="398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  <c r="AB162" s="186"/>
    </row>
    <row r="163" spans="1:28" s="22" customFormat="1" x14ac:dyDescent="0.25">
      <c r="A163" s="32">
        <v>6</v>
      </c>
      <c r="B163" s="21" t="s">
        <v>4</v>
      </c>
      <c r="C163" s="26"/>
      <c r="D163" s="26"/>
      <c r="E163" s="15"/>
      <c r="F163" s="15"/>
      <c r="G163" s="14"/>
      <c r="I163" s="57"/>
      <c r="J163" s="57"/>
      <c r="K163" s="57"/>
      <c r="L163" s="57"/>
      <c r="M163" s="186"/>
      <c r="N163" s="186"/>
      <c r="O163" s="393"/>
      <c r="P163" s="398"/>
      <c r="Q163" s="398"/>
      <c r="R163" s="186"/>
      <c r="S163" s="186"/>
      <c r="T163" s="393"/>
      <c r="U163" s="186"/>
      <c r="V163" s="186"/>
      <c r="W163" s="186"/>
      <c r="X163" s="186"/>
      <c r="Y163" s="186"/>
      <c r="Z163" s="186"/>
      <c r="AA163" s="186"/>
      <c r="AB163" s="186"/>
    </row>
    <row r="164" spans="1:28" s="22" customFormat="1" x14ac:dyDescent="0.25">
      <c r="A164" s="32">
        <v>7</v>
      </c>
      <c r="B164" s="21" t="s">
        <v>5</v>
      </c>
      <c r="C164" s="25">
        <v>0.54166666666666663</v>
      </c>
      <c r="D164" s="25">
        <v>0.625</v>
      </c>
      <c r="E164" s="14">
        <v>2</v>
      </c>
      <c r="F164" s="24"/>
      <c r="G164" s="14" t="s">
        <v>135</v>
      </c>
      <c r="I164" s="57"/>
      <c r="J164" s="57"/>
      <c r="K164" s="57"/>
      <c r="L164" s="57"/>
      <c r="M164" s="186"/>
      <c r="N164" s="186"/>
      <c r="O164" s="393"/>
      <c r="P164" s="394"/>
      <c r="Q164" s="394"/>
      <c r="R164" s="393"/>
      <c r="S164" s="395"/>
      <c r="T164" s="393"/>
      <c r="U164" s="186"/>
      <c r="V164" s="186"/>
      <c r="W164" s="186"/>
      <c r="X164" s="186"/>
      <c r="Y164" s="186"/>
      <c r="Z164" s="186"/>
      <c r="AA164" s="186"/>
      <c r="AB164" s="186"/>
    </row>
    <row r="165" spans="1:28" s="22" customFormat="1" x14ac:dyDescent="0.25">
      <c r="A165" s="32">
        <v>8</v>
      </c>
      <c r="B165" s="21" t="s">
        <v>6</v>
      </c>
      <c r="C165" s="42">
        <v>0.41666666666666669</v>
      </c>
      <c r="D165" s="42">
        <v>0.45833333333333331</v>
      </c>
      <c r="E165" s="14">
        <v>1</v>
      </c>
      <c r="F165" s="15"/>
      <c r="G165" s="24" t="s">
        <v>125</v>
      </c>
      <c r="I165" s="57"/>
      <c r="J165" s="57"/>
      <c r="K165" s="57"/>
      <c r="L165" s="57"/>
      <c r="M165" s="186"/>
      <c r="N165" s="186"/>
      <c r="O165" s="393"/>
      <c r="P165" s="399"/>
      <c r="Q165" s="399"/>
      <c r="R165" s="393"/>
      <c r="S165" s="186"/>
      <c r="T165" s="395"/>
      <c r="U165" s="186"/>
      <c r="V165" s="186"/>
      <c r="W165" s="186"/>
      <c r="X165" s="186"/>
      <c r="Y165" s="186"/>
      <c r="Z165" s="186"/>
      <c r="AA165" s="186"/>
      <c r="AB165" s="186"/>
    </row>
    <row r="166" spans="1:28" s="22" customFormat="1" x14ac:dyDescent="0.25">
      <c r="A166" s="32">
        <v>9</v>
      </c>
      <c r="B166" s="21" t="s">
        <v>7</v>
      </c>
      <c r="C166" s="42">
        <v>0.79166666666666663</v>
      </c>
      <c r="D166" s="42">
        <v>0.83333333333333337</v>
      </c>
      <c r="E166" s="14">
        <v>1</v>
      </c>
      <c r="F166" s="24"/>
      <c r="G166" s="14" t="s">
        <v>136</v>
      </c>
      <c r="I166" s="57"/>
      <c r="J166" s="57"/>
      <c r="K166" s="57"/>
      <c r="L166" s="57"/>
      <c r="M166" s="186"/>
      <c r="N166" s="186"/>
      <c r="O166" s="393"/>
      <c r="P166" s="399"/>
      <c r="Q166" s="399"/>
      <c r="R166" s="393"/>
      <c r="S166" s="395"/>
      <c r="T166" s="393"/>
      <c r="U166" s="186"/>
      <c r="V166" s="186"/>
      <c r="W166" s="186"/>
      <c r="X166" s="186"/>
      <c r="Y166" s="186"/>
      <c r="Z166" s="186"/>
      <c r="AA166" s="186"/>
      <c r="AB166" s="186"/>
    </row>
    <row r="167" spans="1:28" s="22" customFormat="1" x14ac:dyDescent="0.25">
      <c r="A167" s="32">
        <v>10</v>
      </c>
      <c r="B167" s="21" t="s">
        <v>8</v>
      </c>
      <c r="C167" s="25"/>
      <c r="D167" s="25"/>
      <c r="E167" s="14"/>
      <c r="F167" s="24"/>
      <c r="G167" s="14"/>
      <c r="I167" s="57"/>
      <c r="J167" s="57"/>
      <c r="K167" s="57"/>
      <c r="L167" s="57"/>
      <c r="M167" s="186"/>
      <c r="N167" s="186"/>
      <c r="O167" s="393"/>
      <c r="P167" s="394"/>
      <c r="Q167" s="394"/>
      <c r="R167" s="393"/>
      <c r="S167" s="395"/>
      <c r="T167" s="393"/>
      <c r="U167" s="186"/>
      <c r="V167" s="186"/>
      <c r="W167" s="186"/>
      <c r="X167" s="186"/>
      <c r="Y167" s="186"/>
      <c r="Z167" s="186"/>
      <c r="AA167" s="186"/>
      <c r="AB167" s="186"/>
    </row>
    <row r="168" spans="1:28" s="22" customFormat="1" x14ac:dyDescent="0.25">
      <c r="A168" s="15"/>
      <c r="B168" s="13" t="s">
        <v>26</v>
      </c>
      <c r="C168" s="32"/>
      <c r="D168" s="32"/>
      <c r="E168" s="32">
        <f>SUM(E161:E167)</f>
        <v>5</v>
      </c>
      <c r="F168" s="115" t="s">
        <v>393</v>
      </c>
      <c r="G168" s="145" t="s">
        <v>397</v>
      </c>
      <c r="H168" s="15"/>
      <c r="I168" s="57"/>
      <c r="J168" s="57"/>
      <c r="K168" s="57"/>
      <c r="L168" s="57"/>
      <c r="M168" s="186"/>
      <c r="N168" s="186"/>
      <c r="O168" s="392"/>
      <c r="P168" s="396"/>
      <c r="Q168" s="396"/>
      <c r="R168" s="39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186"/>
    </row>
    <row r="169" spans="1:28" s="22" customFormat="1" x14ac:dyDescent="0.25">
      <c r="A169" s="144" t="s">
        <v>404</v>
      </c>
      <c r="B169" s="35" t="s">
        <v>227</v>
      </c>
      <c r="C169" s="60"/>
      <c r="D169" s="61"/>
      <c r="E169" s="35">
        <f>SUM(E151:E157,E160:E167)</f>
        <v>9</v>
      </c>
      <c r="F169" s="115">
        <f>SUM(1*[3]Marg_hist!G33)</f>
        <v>14</v>
      </c>
      <c r="G169" s="330">
        <f>SUM(E169 + G148)-F169</f>
        <v>-21</v>
      </c>
      <c r="H169" s="221"/>
      <c r="I169" s="57"/>
      <c r="J169" s="57"/>
      <c r="K169" s="57"/>
      <c r="L169" s="57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186"/>
    </row>
    <row r="170" spans="1:28" s="22" customFormat="1" x14ac:dyDescent="0.25">
      <c r="A170" s="278">
        <v>43264</v>
      </c>
      <c r="B170" s="15"/>
      <c r="C170" s="15"/>
      <c r="D170" s="15"/>
      <c r="E170" s="15"/>
      <c r="F170" s="15"/>
      <c r="G170" s="15"/>
      <c r="I170" s="57"/>
      <c r="J170" s="57"/>
      <c r="K170" s="57"/>
      <c r="L170" s="57"/>
      <c r="M170" s="186"/>
      <c r="N170" s="186"/>
      <c r="O170" s="392"/>
      <c r="P170" s="392"/>
      <c r="Q170" s="392"/>
      <c r="R170" s="392"/>
      <c r="S170" s="392"/>
      <c r="T170" s="392"/>
      <c r="U170" s="403"/>
      <c r="V170" s="186"/>
      <c r="W170" s="186"/>
      <c r="X170" s="186"/>
      <c r="Y170" s="186"/>
      <c r="Z170" s="186"/>
      <c r="AA170" s="186"/>
      <c r="AB170" s="186"/>
    </row>
    <row r="171" spans="1:28" s="22" customFormat="1" ht="30" x14ac:dyDescent="0.25">
      <c r="A171" s="15"/>
      <c r="B171" s="13" t="s">
        <v>138</v>
      </c>
      <c r="C171" s="13" t="s">
        <v>11</v>
      </c>
      <c r="D171" s="13" t="s">
        <v>12</v>
      </c>
      <c r="E171" s="13" t="s">
        <v>13</v>
      </c>
      <c r="F171" s="13" t="s">
        <v>14</v>
      </c>
      <c r="G171" s="20" t="s">
        <v>0</v>
      </c>
      <c r="I171" s="57"/>
      <c r="J171" s="57"/>
      <c r="K171" s="57"/>
      <c r="L171" s="57"/>
      <c r="M171" s="186"/>
      <c r="N171" s="186"/>
      <c r="O171" s="393"/>
      <c r="P171" s="397"/>
      <c r="Q171" s="394"/>
      <c r="R171" s="393"/>
      <c r="S171" s="395"/>
      <c r="T171" s="393"/>
      <c r="U171" s="403"/>
      <c r="V171" s="186"/>
      <c r="W171" s="186"/>
      <c r="X171" s="186"/>
      <c r="Y171" s="186"/>
      <c r="Z171" s="186"/>
      <c r="AA171" s="186"/>
      <c r="AB171" s="186"/>
    </row>
    <row r="172" spans="1:28" s="22" customFormat="1" x14ac:dyDescent="0.25">
      <c r="A172" s="20">
        <v>11</v>
      </c>
      <c r="B172" s="21" t="s">
        <v>2</v>
      </c>
      <c r="C172" s="49"/>
      <c r="D172" s="49"/>
      <c r="E172" s="138"/>
      <c r="F172" s="23"/>
      <c r="G172" s="21"/>
      <c r="I172" s="57"/>
      <c r="J172" s="57"/>
      <c r="K172" s="57"/>
      <c r="L172" s="57"/>
      <c r="M172" s="186"/>
      <c r="N172" s="186"/>
      <c r="O172" s="393"/>
      <c r="P172" s="186"/>
      <c r="Q172" s="186"/>
      <c r="R172" s="186"/>
      <c r="S172" s="186"/>
      <c r="T172" s="186"/>
      <c r="U172" s="403"/>
      <c r="V172" s="186"/>
      <c r="W172" s="186"/>
      <c r="X172" s="186"/>
      <c r="Y172" s="186"/>
      <c r="Z172" s="186"/>
      <c r="AA172" s="186"/>
      <c r="AB172" s="186"/>
    </row>
    <row r="173" spans="1:28" s="22" customFormat="1" x14ac:dyDescent="0.25">
      <c r="A173" s="20">
        <v>12</v>
      </c>
      <c r="B173" s="21" t="s">
        <v>3</v>
      </c>
      <c r="C173" s="48"/>
      <c r="D173" s="49"/>
      <c r="E173" s="138"/>
      <c r="F173" s="23"/>
      <c r="G173" s="21"/>
      <c r="H173" s="15"/>
      <c r="I173" s="57"/>
      <c r="J173" s="57"/>
      <c r="K173" s="57"/>
      <c r="L173" s="57"/>
      <c r="M173" s="186"/>
      <c r="N173" s="186"/>
      <c r="O173" s="393"/>
      <c r="P173" s="398"/>
      <c r="Q173" s="398"/>
      <c r="R173" s="186"/>
      <c r="S173" s="186"/>
      <c r="T173" s="393"/>
      <c r="U173" s="403"/>
      <c r="V173" s="186"/>
      <c r="W173" s="186"/>
      <c r="X173" s="186"/>
      <c r="Y173" s="186"/>
      <c r="Z173" s="186"/>
      <c r="AA173" s="186"/>
      <c r="AB173" s="186"/>
    </row>
    <row r="174" spans="1:28" s="22" customFormat="1" x14ac:dyDescent="0.25">
      <c r="A174" s="32">
        <v>13</v>
      </c>
      <c r="B174" s="21" t="s">
        <v>4</v>
      </c>
      <c r="C174" s="51"/>
      <c r="D174" s="51"/>
      <c r="E174" s="138"/>
      <c r="F174" s="23"/>
      <c r="I174" s="57"/>
      <c r="J174" s="57"/>
      <c r="K174" s="57"/>
      <c r="L174" s="57"/>
      <c r="M174" s="186"/>
      <c r="N174" s="186"/>
      <c r="O174" s="393"/>
      <c r="P174" s="394"/>
      <c r="Q174" s="394"/>
      <c r="R174" s="393"/>
      <c r="S174" s="395"/>
      <c r="T174" s="393"/>
      <c r="U174" s="403"/>
      <c r="V174" s="186"/>
      <c r="W174" s="186"/>
      <c r="X174" s="186"/>
      <c r="Y174" s="186"/>
      <c r="Z174" s="186"/>
      <c r="AA174" s="186"/>
      <c r="AB174" s="186"/>
    </row>
    <row r="175" spans="1:28" s="22" customFormat="1" x14ac:dyDescent="0.25">
      <c r="A175" s="32">
        <v>14</v>
      </c>
      <c r="B175" s="21" t="s">
        <v>5</v>
      </c>
      <c r="C175" s="51"/>
      <c r="D175" s="51"/>
      <c r="I175" s="57"/>
      <c r="J175" s="57"/>
      <c r="K175" s="57"/>
      <c r="L175" s="57"/>
      <c r="M175" s="186"/>
      <c r="N175" s="186"/>
      <c r="O175" s="393"/>
      <c r="P175" s="399"/>
      <c r="Q175" s="399"/>
      <c r="R175" s="393"/>
      <c r="S175" s="186"/>
      <c r="T175" s="395"/>
      <c r="U175" s="403"/>
      <c r="V175" s="186"/>
      <c r="W175" s="186"/>
      <c r="X175" s="186"/>
      <c r="Y175" s="186"/>
      <c r="Z175" s="186"/>
      <c r="AA175" s="186"/>
      <c r="AB175" s="186"/>
    </row>
    <row r="176" spans="1:28" s="22" customFormat="1" x14ac:dyDescent="0.25">
      <c r="A176" s="32">
        <v>15</v>
      </c>
      <c r="B176" s="21" t="s">
        <v>6</v>
      </c>
      <c r="C176" s="42">
        <v>0.41666666666666669</v>
      </c>
      <c r="D176" s="42">
        <v>0.45833333333333331</v>
      </c>
      <c r="E176" s="14">
        <v>1</v>
      </c>
      <c r="F176" s="15"/>
      <c r="G176" s="24" t="s">
        <v>125</v>
      </c>
      <c r="I176" s="57"/>
      <c r="J176" s="57"/>
      <c r="K176" s="57"/>
      <c r="L176" s="57"/>
      <c r="M176" s="186"/>
      <c r="N176" s="186"/>
      <c r="O176" s="393"/>
      <c r="P176" s="399"/>
      <c r="Q176" s="399"/>
      <c r="R176" s="393"/>
      <c r="S176" s="395"/>
      <c r="T176" s="393"/>
      <c r="U176" s="403"/>
      <c r="V176" s="186"/>
      <c r="W176" s="186"/>
      <c r="X176" s="186"/>
      <c r="Y176" s="186"/>
      <c r="Z176" s="186"/>
      <c r="AA176" s="186"/>
      <c r="AB176" s="186"/>
    </row>
    <row r="177" spans="1:28" s="22" customFormat="1" x14ac:dyDescent="0.25">
      <c r="A177" s="32">
        <v>16</v>
      </c>
      <c r="B177" s="21" t="s">
        <v>7</v>
      </c>
      <c r="C177" s="42">
        <v>0.79166666666666663</v>
      </c>
      <c r="D177" s="42">
        <v>0.85416666666666663</v>
      </c>
      <c r="E177" s="14">
        <v>1.5</v>
      </c>
      <c r="F177" s="24"/>
      <c r="G177" s="14" t="s">
        <v>136</v>
      </c>
      <c r="I177" s="57"/>
      <c r="J177" s="57"/>
      <c r="K177" s="57"/>
      <c r="L177" s="57"/>
      <c r="M177" s="186"/>
      <c r="N177" s="186"/>
      <c r="O177" s="393"/>
      <c r="P177" s="394"/>
      <c r="Q177" s="394"/>
      <c r="R177" s="393"/>
      <c r="S177" s="395"/>
      <c r="T177" s="393"/>
      <c r="U177" s="186"/>
      <c r="V177" s="186"/>
      <c r="W177" s="186"/>
      <c r="X177" s="186"/>
      <c r="Y177" s="186"/>
      <c r="Z177" s="186"/>
      <c r="AA177" s="186"/>
      <c r="AB177" s="186"/>
    </row>
    <row r="178" spans="1:28" s="22" customFormat="1" x14ac:dyDescent="0.25">
      <c r="A178" s="32">
        <v>17</v>
      </c>
      <c r="B178" s="21" t="s">
        <v>8</v>
      </c>
      <c r="C178" s="25">
        <v>0.875</v>
      </c>
      <c r="D178" s="25">
        <v>0.89583333333333337</v>
      </c>
      <c r="E178" s="14">
        <v>0.5</v>
      </c>
      <c r="F178" s="24"/>
      <c r="G178" s="14" t="s">
        <v>139</v>
      </c>
      <c r="I178" s="57"/>
      <c r="J178" s="57"/>
      <c r="K178" s="57"/>
      <c r="L178" s="57"/>
      <c r="M178" s="186"/>
      <c r="N178" s="186"/>
      <c r="O178" s="186"/>
      <c r="P178" s="186"/>
      <c r="Q178" s="186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  <c r="AB178" s="186"/>
    </row>
    <row r="179" spans="1:28" s="22" customFormat="1" x14ac:dyDescent="0.25">
      <c r="A179" s="15"/>
      <c r="B179" s="13" t="s">
        <v>26</v>
      </c>
      <c r="C179" s="32"/>
      <c r="D179" s="32"/>
      <c r="E179" s="32">
        <f>SUM(E172:E178)</f>
        <v>3</v>
      </c>
      <c r="F179" s="288"/>
      <c r="G179" s="288"/>
      <c r="I179" s="57"/>
      <c r="J179" s="57"/>
      <c r="K179" s="57"/>
      <c r="L179" s="57"/>
      <c r="M179" s="186"/>
      <c r="N179" s="186"/>
      <c r="O179" s="392"/>
      <c r="P179" s="392"/>
      <c r="Q179" s="392"/>
      <c r="R179" s="392"/>
      <c r="S179" s="392"/>
      <c r="T179" s="392"/>
      <c r="U179" s="404"/>
      <c r="V179" s="186"/>
      <c r="W179" s="186"/>
      <c r="X179" s="186"/>
      <c r="Y179" s="186"/>
      <c r="Z179" s="186"/>
      <c r="AA179" s="186"/>
      <c r="AB179" s="186"/>
    </row>
    <row r="180" spans="1:28" s="22" customFormat="1" x14ac:dyDescent="0.25">
      <c r="A180" s="15"/>
      <c r="B180" s="15"/>
      <c r="C180" s="15"/>
      <c r="D180" s="15"/>
      <c r="E180" s="15"/>
      <c r="F180" s="15"/>
      <c r="G180" s="53"/>
      <c r="H180" s="15"/>
      <c r="I180" s="57"/>
      <c r="J180" s="57"/>
      <c r="K180" s="57"/>
      <c r="L180" s="57"/>
      <c r="M180" s="186"/>
      <c r="N180" s="186"/>
      <c r="O180" s="393"/>
      <c r="P180" s="397"/>
      <c r="Q180" s="394"/>
      <c r="R180" s="393"/>
      <c r="S180" s="395"/>
      <c r="T180" s="393"/>
      <c r="U180" s="404"/>
      <c r="V180" s="405"/>
      <c r="W180" s="186"/>
      <c r="X180" s="186"/>
      <c r="Y180" s="186"/>
      <c r="Z180" s="186"/>
      <c r="AA180" s="186"/>
      <c r="AB180" s="186"/>
    </row>
    <row r="181" spans="1:28" s="22" customFormat="1" ht="30" x14ac:dyDescent="0.25">
      <c r="A181" s="15"/>
      <c r="B181" s="13" t="s">
        <v>140</v>
      </c>
      <c r="C181" s="13" t="s">
        <v>11</v>
      </c>
      <c r="D181" s="13" t="s">
        <v>12</v>
      </c>
      <c r="E181" s="13" t="s">
        <v>13</v>
      </c>
      <c r="F181" s="13" t="s">
        <v>14</v>
      </c>
      <c r="G181" s="13" t="s">
        <v>0</v>
      </c>
      <c r="H181" s="299"/>
      <c r="I181" s="57"/>
      <c r="J181" s="57"/>
      <c r="K181" s="57"/>
      <c r="L181" s="57"/>
      <c r="M181" s="186"/>
      <c r="N181" s="186"/>
      <c r="O181" s="393"/>
      <c r="P181" s="398"/>
      <c r="Q181" s="398"/>
      <c r="R181" s="186"/>
      <c r="S181" s="186"/>
      <c r="T181" s="186"/>
      <c r="U181" s="404"/>
      <c r="V181" s="186"/>
      <c r="W181" s="186"/>
      <c r="X181" s="186"/>
      <c r="Y181" s="186"/>
      <c r="Z181" s="186"/>
      <c r="AA181" s="186"/>
      <c r="AB181" s="186"/>
    </row>
    <row r="182" spans="1:28" s="22" customFormat="1" x14ac:dyDescent="0.25">
      <c r="A182" s="15">
        <v>18</v>
      </c>
      <c r="B182" s="14" t="s">
        <v>2</v>
      </c>
      <c r="C182" s="33"/>
      <c r="D182" s="25"/>
      <c r="E182" s="14"/>
      <c r="F182" s="24"/>
      <c r="G182" s="14"/>
      <c r="H182" s="299"/>
      <c r="I182" s="57"/>
      <c r="J182" s="57"/>
      <c r="K182" s="57"/>
      <c r="L182" s="57"/>
      <c r="M182" s="186"/>
      <c r="N182" s="186"/>
      <c r="O182" s="393"/>
      <c r="P182" s="398"/>
      <c r="Q182" s="398"/>
      <c r="R182" s="186"/>
      <c r="S182" s="186"/>
      <c r="T182" s="393"/>
      <c r="U182" s="404"/>
      <c r="V182" s="186"/>
      <c r="W182" s="186"/>
      <c r="X182" s="186"/>
      <c r="Y182" s="186"/>
      <c r="Z182" s="186"/>
      <c r="AA182" s="186"/>
      <c r="AB182" s="186"/>
    </row>
    <row r="183" spans="1:28" s="22" customFormat="1" x14ac:dyDescent="0.25">
      <c r="A183" s="15">
        <v>19</v>
      </c>
      <c r="B183" s="14" t="s">
        <v>3</v>
      </c>
      <c r="C183" s="26">
        <v>0.40277777777777773</v>
      </c>
      <c r="D183" s="26">
        <v>0.4861111111111111</v>
      </c>
      <c r="E183" s="15">
        <v>2</v>
      </c>
      <c r="F183" s="15"/>
      <c r="G183" s="15" t="s">
        <v>119</v>
      </c>
      <c r="H183" s="299"/>
      <c r="I183" s="57"/>
      <c r="J183" s="57"/>
      <c r="K183" s="57"/>
      <c r="L183" s="57"/>
      <c r="M183" s="186"/>
      <c r="N183" s="186"/>
      <c r="O183" s="393"/>
      <c r="P183" s="394"/>
      <c r="Q183" s="394"/>
      <c r="R183" s="393"/>
      <c r="S183" s="395"/>
      <c r="T183" s="393"/>
      <c r="U183" s="404"/>
      <c r="V183" s="186"/>
      <c r="W183" s="186"/>
      <c r="X183" s="186"/>
      <c r="Y183" s="186"/>
      <c r="Z183" s="186"/>
      <c r="AA183" s="186"/>
      <c r="AB183" s="186"/>
    </row>
    <row r="184" spans="1:28" s="22" customFormat="1" x14ac:dyDescent="0.25">
      <c r="A184" s="15">
        <v>20</v>
      </c>
      <c r="B184" s="14" t="s">
        <v>4</v>
      </c>
      <c r="C184" s="26"/>
      <c r="D184" s="26"/>
      <c r="E184" s="15"/>
      <c r="F184" s="15"/>
      <c r="G184" s="14"/>
      <c r="H184" s="299"/>
      <c r="I184" s="57"/>
      <c r="J184" s="57"/>
      <c r="K184" s="57"/>
      <c r="L184" s="57"/>
      <c r="M184" s="186"/>
      <c r="N184" s="186"/>
      <c r="O184" s="393"/>
      <c r="P184" s="399"/>
      <c r="Q184" s="399"/>
      <c r="R184" s="393"/>
      <c r="S184" s="186"/>
      <c r="T184" s="395"/>
      <c r="U184" s="404"/>
      <c r="V184" s="186"/>
      <c r="W184" s="186"/>
      <c r="X184" s="186"/>
      <c r="Y184" s="186"/>
      <c r="Z184" s="186"/>
      <c r="AA184" s="186"/>
      <c r="AB184" s="186"/>
    </row>
    <row r="185" spans="1:28" s="22" customFormat="1" x14ac:dyDescent="0.25">
      <c r="A185" s="15">
        <v>21</v>
      </c>
      <c r="B185" s="14" t="s">
        <v>5</v>
      </c>
      <c r="C185" s="25">
        <v>0.45833333333333331</v>
      </c>
      <c r="D185" s="25">
        <v>2.0833333333333332E-2</v>
      </c>
      <c r="E185" s="14">
        <v>1</v>
      </c>
      <c r="F185" s="24"/>
      <c r="G185" s="14" t="s">
        <v>141</v>
      </c>
      <c r="H185" s="299"/>
      <c r="I185" s="57"/>
      <c r="J185" s="57"/>
      <c r="K185" s="57"/>
      <c r="L185" s="57"/>
      <c r="M185" s="186"/>
      <c r="N185" s="186"/>
      <c r="O185" s="393"/>
      <c r="P185" s="399"/>
      <c r="Q185" s="399"/>
      <c r="R185" s="393"/>
      <c r="S185" s="395"/>
      <c r="T185" s="393"/>
      <c r="U185" s="186"/>
      <c r="V185" s="186"/>
      <c r="W185" s="186"/>
      <c r="X185" s="186"/>
      <c r="Y185" s="186"/>
      <c r="Z185" s="186"/>
      <c r="AA185" s="186"/>
      <c r="AB185" s="186"/>
    </row>
    <row r="186" spans="1:28" s="22" customFormat="1" x14ac:dyDescent="0.25">
      <c r="A186" s="15">
        <v>22</v>
      </c>
      <c r="B186" s="14" t="s">
        <v>6</v>
      </c>
      <c r="C186" s="42">
        <v>0.41666666666666669</v>
      </c>
      <c r="D186" s="42">
        <v>0.45833333333333331</v>
      </c>
      <c r="E186" s="14">
        <v>1</v>
      </c>
      <c r="F186" s="15"/>
      <c r="G186" s="24" t="s">
        <v>125</v>
      </c>
      <c r="H186" s="299"/>
      <c r="I186" s="57"/>
      <c r="J186" s="57"/>
      <c r="K186" s="57"/>
      <c r="L186" s="57"/>
      <c r="M186" s="186"/>
      <c r="N186" s="186"/>
      <c r="O186" s="393"/>
      <c r="P186" s="394"/>
      <c r="Q186" s="394"/>
      <c r="R186" s="393"/>
      <c r="S186" s="395"/>
      <c r="T186" s="393"/>
      <c r="U186" s="186"/>
      <c r="V186" s="186"/>
      <c r="W186" s="186"/>
      <c r="X186" s="186"/>
      <c r="Y186" s="186"/>
      <c r="Z186" s="186"/>
      <c r="AA186" s="186"/>
      <c r="AB186" s="186"/>
    </row>
    <row r="187" spans="1:28" s="22" customFormat="1" x14ac:dyDescent="0.25">
      <c r="A187" s="15">
        <v>23</v>
      </c>
      <c r="B187" s="14" t="s">
        <v>7</v>
      </c>
      <c r="C187" s="42">
        <v>0.29166666666666669</v>
      </c>
      <c r="D187" s="42">
        <v>0.45833333333333331</v>
      </c>
      <c r="E187" s="14">
        <v>4</v>
      </c>
      <c r="F187" s="24"/>
      <c r="G187" s="14" t="s">
        <v>142</v>
      </c>
      <c r="H187" s="299"/>
      <c r="I187" s="57"/>
      <c r="J187" s="57"/>
      <c r="K187" s="57"/>
      <c r="L187" s="57"/>
      <c r="M187" s="186"/>
      <c r="N187" s="186"/>
      <c r="O187" s="392"/>
      <c r="P187" s="396"/>
      <c r="Q187" s="396"/>
      <c r="R187" s="396"/>
      <c r="S187" s="186"/>
      <c r="T187" s="186"/>
      <c r="U187" s="404"/>
      <c r="V187" s="186"/>
      <c r="W187" s="186"/>
      <c r="X187" s="186"/>
      <c r="Y187" s="186"/>
      <c r="Z187" s="186"/>
      <c r="AA187" s="186"/>
      <c r="AB187" s="186"/>
    </row>
    <row r="188" spans="1:28" s="22" customFormat="1" x14ac:dyDescent="0.25">
      <c r="A188" s="15">
        <v>24</v>
      </c>
      <c r="B188" s="14" t="s">
        <v>8</v>
      </c>
      <c r="C188" s="25"/>
      <c r="D188" s="25"/>
      <c r="E188" s="14"/>
      <c r="F188" s="24"/>
      <c r="G188" s="14"/>
      <c r="H188" s="299"/>
      <c r="I188" s="57"/>
      <c r="J188" s="57"/>
      <c r="K188" s="57"/>
      <c r="L188" s="57"/>
      <c r="M188" s="186"/>
      <c r="N188" s="186"/>
      <c r="O188" s="393"/>
      <c r="P188" s="397"/>
      <c r="Q188" s="394"/>
      <c r="R188" s="393"/>
      <c r="S188" s="395"/>
      <c r="T188" s="393"/>
      <c r="U188" s="404"/>
      <c r="V188" s="186"/>
      <c r="W188" s="186"/>
      <c r="X188" s="186"/>
      <c r="Y188" s="186"/>
      <c r="Z188" s="186"/>
      <c r="AA188" s="186"/>
      <c r="AB188" s="186"/>
    </row>
    <row r="189" spans="1:28" s="22" customFormat="1" x14ac:dyDescent="0.25">
      <c r="A189" s="15"/>
      <c r="B189" s="13" t="s">
        <v>26</v>
      </c>
      <c r="C189" s="32"/>
      <c r="D189" s="32"/>
      <c r="E189" s="32">
        <f>SUM(E182:E188)</f>
        <v>8</v>
      </c>
      <c r="F189" s="115" t="s">
        <v>393</v>
      </c>
      <c r="G189" s="145" t="s">
        <v>397</v>
      </c>
      <c r="H189" s="15"/>
      <c r="I189" s="57"/>
      <c r="J189" s="57"/>
      <c r="K189" s="57"/>
      <c r="L189" s="57"/>
      <c r="M189" s="186"/>
      <c r="N189" s="186"/>
      <c r="O189" s="393"/>
      <c r="P189" s="398"/>
      <c r="Q189" s="398"/>
      <c r="R189" s="186"/>
      <c r="S189" s="186"/>
      <c r="T189" s="186"/>
      <c r="U189" s="404"/>
      <c r="V189" s="186"/>
      <c r="W189" s="186"/>
      <c r="X189" s="186"/>
      <c r="Y189" s="186"/>
      <c r="Z189" s="186"/>
      <c r="AA189" s="186"/>
      <c r="AB189" s="186"/>
    </row>
    <row r="190" spans="1:28" s="22" customFormat="1" x14ac:dyDescent="0.25">
      <c r="A190" s="144" t="s">
        <v>406</v>
      </c>
      <c r="B190" s="35" t="s">
        <v>227</v>
      </c>
      <c r="C190" s="60"/>
      <c r="D190" s="61"/>
      <c r="E190" s="35">
        <f>SUM(E172:E178,E182:E188)</f>
        <v>11</v>
      </c>
      <c r="F190" s="115">
        <f>SUM(1*[3]Marg_hist!G39)</f>
        <v>14</v>
      </c>
      <c r="G190" s="330">
        <f>SUM(E190 + G169)-F190</f>
        <v>-24</v>
      </c>
      <c r="H190" s="221"/>
      <c r="I190" s="57"/>
      <c r="J190" s="57"/>
      <c r="K190" s="57"/>
      <c r="L190" s="57"/>
      <c r="M190" s="186"/>
      <c r="N190" s="186"/>
      <c r="O190" s="392"/>
      <c r="P190" s="392"/>
      <c r="Q190" s="392"/>
      <c r="R190" s="392"/>
      <c r="S190" s="392"/>
      <c r="T190" s="392"/>
      <c r="U190" s="186"/>
      <c r="V190" s="186"/>
      <c r="W190" s="186"/>
      <c r="X190" s="186"/>
      <c r="Y190" s="186"/>
      <c r="Z190" s="186"/>
      <c r="AA190" s="186"/>
      <c r="AB190" s="186"/>
    </row>
    <row r="191" spans="1:28" s="22" customFormat="1" x14ac:dyDescent="0.25">
      <c r="A191" s="278">
        <v>43278</v>
      </c>
      <c r="B191" s="15"/>
      <c r="C191" s="15"/>
      <c r="D191" s="15"/>
      <c r="E191" s="15"/>
      <c r="F191" s="15"/>
      <c r="G191" s="15"/>
      <c r="H191" s="15"/>
      <c r="I191" s="57"/>
      <c r="J191" s="57"/>
      <c r="K191" s="57"/>
      <c r="L191" s="57"/>
      <c r="M191" s="186"/>
      <c r="N191" s="186"/>
      <c r="O191" s="393"/>
      <c r="P191" s="397"/>
      <c r="Q191" s="394"/>
      <c r="R191" s="393"/>
      <c r="S191" s="395"/>
      <c r="T191" s="393"/>
      <c r="U191" s="591"/>
      <c r="V191" s="186"/>
      <c r="W191" s="186"/>
      <c r="X191" s="186"/>
      <c r="Y191" s="186"/>
      <c r="Z191" s="186"/>
      <c r="AA191" s="186"/>
      <c r="AB191" s="186"/>
    </row>
    <row r="192" spans="1:28" s="22" customFormat="1" ht="30" x14ac:dyDescent="0.25">
      <c r="A192" s="15"/>
      <c r="B192" s="13" t="s">
        <v>143</v>
      </c>
      <c r="C192" s="13" t="s">
        <v>11</v>
      </c>
      <c r="D192" s="13" t="s">
        <v>12</v>
      </c>
      <c r="E192" s="13" t="s">
        <v>13</v>
      </c>
      <c r="F192" s="13" t="s">
        <v>14</v>
      </c>
      <c r="G192" s="20" t="s">
        <v>0</v>
      </c>
      <c r="H192" s="15"/>
      <c r="I192" s="57"/>
      <c r="J192" s="57"/>
      <c r="K192" s="57"/>
      <c r="L192" s="57"/>
      <c r="M192" s="186"/>
      <c r="N192" s="186"/>
      <c r="O192" s="393"/>
      <c r="P192" s="398"/>
      <c r="Q192" s="398"/>
      <c r="R192" s="186"/>
      <c r="S192" s="186"/>
      <c r="T192" s="186"/>
      <c r="U192" s="591"/>
      <c r="V192" s="186"/>
      <c r="W192" s="186"/>
      <c r="X192" s="186"/>
      <c r="Y192" s="186"/>
      <c r="Z192" s="186"/>
      <c r="AA192" s="186"/>
      <c r="AB192" s="186"/>
    </row>
    <row r="193" spans="1:28" s="22" customFormat="1" x14ac:dyDescent="0.25">
      <c r="A193" s="32">
        <v>25</v>
      </c>
      <c r="B193" s="21" t="s">
        <v>2</v>
      </c>
      <c r="C193" s="49"/>
      <c r="D193" s="49"/>
      <c r="E193" s="138"/>
      <c r="F193" s="23"/>
      <c r="G193" s="21"/>
      <c r="H193" s="592" t="s">
        <v>144</v>
      </c>
      <c r="I193" s="57"/>
      <c r="J193" s="57"/>
      <c r="K193" s="57"/>
      <c r="L193" s="57"/>
      <c r="M193" s="186"/>
      <c r="N193" s="186"/>
      <c r="O193" s="393"/>
      <c r="P193" s="398"/>
      <c r="Q193" s="398"/>
      <c r="R193" s="186"/>
      <c r="S193" s="186"/>
      <c r="T193" s="393"/>
      <c r="U193" s="591"/>
      <c r="V193" s="186"/>
      <c r="W193" s="186"/>
      <c r="X193" s="186"/>
      <c r="Y193" s="186"/>
      <c r="Z193" s="186"/>
      <c r="AA193" s="186"/>
      <c r="AB193" s="186"/>
    </row>
    <row r="194" spans="1:28" s="22" customFormat="1" x14ac:dyDescent="0.25">
      <c r="A194" s="53">
        <v>26</v>
      </c>
      <c r="B194" s="21" t="s">
        <v>3</v>
      </c>
      <c r="C194" s="48"/>
      <c r="D194" s="49"/>
      <c r="E194" s="138"/>
      <c r="F194" s="23"/>
      <c r="G194" s="21"/>
      <c r="H194" s="592"/>
      <c r="I194" s="57"/>
      <c r="J194" s="57"/>
      <c r="K194" s="57"/>
      <c r="L194" s="57"/>
      <c r="M194" s="186"/>
      <c r="N194" s="186"/>
      <c r="O194" s="393"/>
      <c r="P194" s="394"/>
      <c r="Q194" s="394"/>
      <c r="R194" s="393"/>
      <c r="S194" s="395"/>
      <c r="T194" s="393"/>
      <c r="U194" s="591"/>
      <c r="V194" s="186"/>
      <c r="W194" s="186"/>
      <c r="X194" s="186"/>
      <c r="Y194" s="186"/>
      <c r="Z194" s="186"/>
      <c r="AA194" s="186"/>
      <c r="AB194" s="186"/>
    </row>
    <row r="195" spans="1:28" s="22" customFormat="1" x14ac:dyDescent="0.25">
      <c r="A195" s="32">
        <v>27</v>
      </c>
      <c r="B195" s="21" t="s">
        <v>4</v>
      </c>
      <c r="C195" s="51"/>
      <c r="D195" s="51"/>
      <c r="E195" s="138"/>
      <c r="F195" s="23"/>
      <c r="H195" s="592"/>
      <c r="I195" s="57"/>
      <c r="J195" s="57"/>
      <c r="K195" s="57"/>
      <c r="L195" s="57"/>
      <c r="M195" s="186"/>
      <c r="N195" s="186"/>
      <c r="O195" s="393"/>
      <c r="P195" s="399"/>
      <c r="Q195" s="399"/>
      <c r="R195" s="393"/>
      <c r="S195" s="186"/>
      <c r="T195" s="395"/>
      <c r="U195" s="591"/>
      <c r="V195" s="186"/>
      <c r="W195" s="186"/>
      <c r="X195" s="186"/>
      <c r="Y195" s="186"/>
      <c r="Z195" s="186"/>
      <c r="AA195" s="186"/>
      <c r="AB195" s="186"/>
    </row>
    <row r="196" spans="1:28" s="22" customFormat="1" ht="45" x14ac:dyDescent="0.25">
      <c r="A196" s="53">
        <v>28</v>
      </c>
      <c r="B196" s="21" t="s">
        <v>5</v>
      </c>
      <c r="C196" s="332" t="s">
        <v>418</v>
      </c>
      <c r="D196" s="332" t="s">
        <v>419</v>
      </c>
      <c r="E196" s="333">
        <v>2</v>
      </c>
      <c r="F196" s="333"/>
      <c r="G196" s="333" t="s">
        <v>420</v>
      </c>
      <c r="H196" s="592"/>
      <c r="I196" s="57"/>
      <c r="J196" s="57"/>
      <c r="K196" s="57"/>
      <c r="L196" s="57"/>
      <c r="M196" s="186"/>
      <c r="N196" s="186"/>
      <c r="O196" s="393"/>
      <c r="P196" s="399"/>
      <c r="Q196" s="399"/>
      <c r="R196" s="393"/>
      <c r="S196" s="395"/>
      <c r="T196" s="393"/>
      <c r="U196" s="591"/>
      <c r="V196" s="186"/>
      <c r="W196" s="186"/>
      <c r="X196" s="186"/>
      <c r="Y196" s="186"/>
      <c r="Z196" s="186"/>
      <c r="AA196" s="186"/>
      <c r="AB196" s="186"/>
    </row>
    <row r="197" spans="1:28" s="22" customFormat="1" x14ac:dyDescent="0.25">
      <c r="A197" s="32">
        <v>29</v>
      </c>
      <c r="B197" s="21" t="s">
        <v>6</v>
      </c>
      <c r="C197" s="51"/>
      <c r="D197" s="51"/>
      <c r="E197" s="138"/>
      <c r="F197" s="23"/>
      <c r="G197" s="21"/>
      <c r="H197" s="592"/>
      <c r="I197" s="57"/>
      <c r="J197" s="57"/>
      <c r="K197" s="57"/>
      <c r="L197" s="57"/>
      <c r="M197" s="186"/>
      <c r="N197" s="186"/>
      <c r="O197" s="393"/>
      <c r="P197" s="394"/>
      <c r="Q197" s="394"/>
      <c r="R197" s="393"/>
      <c r="S197" s="395"/>
      <c r="T197" s="393"/>
      <c r="U197" s="591"/>
      <c r="V197" s="186"/>
      <c r="W197" s="186"/>
      <c r="X197" s="186"/>
      <c r="Y197" s="186"/>
      <c r="Z197" s="186"/>
      <c r="AA197" s="186"/>
      <c r="AB197" s="186"/>
    </row>
    <row r="198" spans="1:28" s="22" customFormat="1" x14ac:dyDescent="0.25">
      <c r="A198" s="53">
        <v>30</v>
      </c>
      <c r="B198" s="21" t="s">
        <v>7</v>
      </c>
      <c r="C198" s="51"/>
      <c r="D198" s="51"/>
      <c r="E198" s="138"/>
      <c r="F198" s="23"/>
      <c r="G198" s="21"/>
      <c r="H198" s="592"/>
      <c r="I198" s="57"/>
      <c r="J198" s="57"/>
      <c r="K198" s="57"/>
      <c r="L198" s="57"/>
      <c r="M198" s="186"/>
      <c r="N198" s="186"/>
      <c r="O198" s="392"/>
      <c r="P198" s="396"/>
      <c r="Q198" s="396"/>
      <c r="R198" s="396"/>
      <c r="S198" s="186"/>
      <c r="T198" s="186"/>
      <c r="U198" s="186"/>
      <c r="V198" s="186"/>
      <c r="W198" s="186"/>
      <c r="X198" s="186"/>
      <c r="Y198" s="186"/>
      <c r="Z198" s="186"/>
      <c r="AA198" s="186"/>
      <c r="AB198" s="186"/>
    </row>
    <row r="199" spans="1:28" s="22" customFormat="1" x14ac:dyDescent="0.25">
      <c r="A199" s="32">
        <v>1</v>
      </c>
      <c r="B199" s="14" t="s">
        <v>8</v>
      </c>
      <c r="C199" s="25">
        <v>0.41666666666666669</v>
      </c>
      <c r="D199" s="25">
        <v>0.45833333333333331</v>
      </c>
      <c r="E199" s="14">
        <v>2</v>
      </c>
      <c r="F199" s="24"/>
      <c r="G199" s="14" t="s">
        <v>125</v>
      </c>
      <c r="H199" s="592"/>
      <c r="I199" s="57"/>
      <c r="J199" s="57"/>
      <c r="K199" s="57"/>
      <c r="L199" s="57"/>
      <c r="M199" s="186"/>
      <c r="N199" s="186"/>
      <c r="O199" s="186"/>
      <c r="P199" s="186"/>
      <c r="Q199" s="186"/>
      <c r="R199" s="186"/>
      <c r="S199" s="186"/>
      <c r="T199" s="186"/>
      <c r="U199" s="186"/>
      <c r="V199" s="186"/>
      <c r="W199" s="186"/>
      <c r="X199" s="186"/>
      <c r="Y199" s="186"/>
      <c r="Z199" s="186"/>
      <c r="AA199" s="186"/>
      <c r="AB199" s="186"/>
    </row>
    <row r="200" spans="1:28" s="22" customFormat="1" x14ac:dyDescent="0.25">
      <c r="A200" s="15"/>
      <c r="B200" s="13" t="s">
        <v>26</v>
      </c>
      <c r="C200" s="32"/>
      <c r="D200" s="32"/>
      <c r="E200" s="32">
        <f>SUM(E193:E199)</f>
        <v>4</v>
      </c>
      <c r="G200" s="53"/>
      <c r="I200" s="57"/>
      <c r="J200" s="57"/>
      <c r="K200" s="57"/>
      <c r="L200" s="57"/>
      <c r="M200" s="186"/>
      <c r="N200" s="186"/>
      <c r="O200" s="186"/>
      <c r="P200" s="186"/>
      <c r="Q200" s="186"/>
      <c r="R200" s="186"/>
      <c r="S200" s="186"/>
      <c r="T200" s="186"/>
      <c r="U200" s="186"/>
      <c r="V200" s="186"/>
      <c r="W200" s="186"/>
      <c r="X200" s="186"/>
      <c r="Y200" s="186"/>
      <c r="Z200" s="186"/>
      <c r="AA200" s="186"/>
      <c r="AB200" s="186"/>
    </row>
    <row r="201" spans="1:28" s="22" customFormat="1" x14ac:dyDescent="0.25">
      <c r="A201" s="15"/>
      <c r="B201" s="13"/>
      <c r="C201" s="32"/>
      <c r="D201" s="32"/>
      <c r="E201" s="32"/>
      <c r="G201" s="53"/>
      <c r="I201" s="57"/>
      <c r="J201" s="57"/>
      <c r="K201" s="57"/>
      <c r="L201" s="57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6"/>
      <c r="AA201" s="186"/>
      <c r="AB201" s="186"/>
    </row>
    <row r="202" spans="1:28" s="22" customFormat="1" ht="75" x14ac:dyDescent="0.25">
      <c r="A202" s="299"/>
      <c r="B202" s="20" t="s">
        <v>157</v>
      </c>
      <c r="C202" s="20" t="s">
        <v>11</v>
      </c>
      <c r="D202" s="20" t="s">
        <v>12</v>
      </c>
      <c r="E202" s="20" t="s">
        <v>13</v>
      </c>
      <c r="F202" s="20" t="s">
        <v>14</v>
      </c>
      <c r="G202" s="20" t="s">
        <v>0</v>
      </c>
      <c r="I202" s="57" t="s">
        <v>187</v>
      </c>
      <c r="J202" s="57" t="s">
        <v>186</v>
      </c>
      <c r="K202" s="57"/>
      <c r="L202" s="57"/>
      <c r="M202" s="186"/>
      <c r="N202" s="186"/>
      <c r="O202" s="392"/>
      <c r="P202" s="392"/>
      <c r="Q202" s="392"/>
      <c r="R202" s="392"/>
      <c r="S202" s="392"/>
      <c r="T202" s="392"/>
      <c r="U202" s="186"/>
      <c r="V202" s="186"/>
      <c r="W202" s="186"/>
      <c r="X202" s="186"/>
      <c r="Y202" s="186"/>
      <c r="Z202" s="186"/>
      <c r="AA202" s="186"/>
      <c r="AB202" s="186"/>
    </row>
    <row r="203" spans="1:28" s="22" customFormat="1" x14ac:dyDescent="0.25">
      <c r="A203" s="32">
        <v>2</v>
      </c>
      <c r="B203" s="14" t="s">
        <v>2</v>
      </c>
      <c r="C203" s="33">
        <v>0.45833333333333331</v>
      </c>
      <c r="D203" s="25">
        <v>0.47916666666666669</v>
      </c>
      <c r="E203" s="14">
        <v>0.5</v>
      </c>
      <c r="F203" s="24"/>
      <c r="G203" s="14" t="s">
        <v>277</v>
      </c>
      <c r="I203" s="57"/>
      <c r="J203" s="57"/>
      <c r="K203" s="57"/>
      <c r="L203" s="57"/>
      <c r="M203" s="186"/>
      <c r="N203" s="186"/>
      <c r="O203" s="186"/>
      <c r="P203" s="186"/>
      <c r="Q203" s="186"/>
      <c r="R203" s="186"/>
      <c r="S203" s="186"/>
      <c r="T203" s="186"/>
      <c r="U203" s="404"/>
      <c r="V203" s="186"/>
      <c r="W203" s="186"/>
      <c r="X203" s="186"/>
      <c r="Y203" s="186"/>
      <c r="Z203" s="186"/>
      <c r="AA203" s="186"/>
      <c r="AB203" s="186"/>
    </row>
    <row r="204" spans="1:28" s="22" customFormat="1" x14ac:dyDescent="0.25">
      <c r="A204" s="32">
        <v>3</v>
      </c>
      <c r="B204" s="14" t="s">
        <v>3</v>
      </c>
      <c r="C204" s="26">
        <v>0.45833333333333331</v>
      </c>
      <c r="D204" s="26">
        <v>0.52083333333333337</v>
      </c>
      <c r="E204" s="15">
        <v>1.5</v>
      </c>
      <c r="F204" s="15"/>
      <c r="G204" s="15" t="s">
        <v>278</v>
      </c>
      <c r="I204" s="57"/>
      <c r="J204" s="57"/>
      <c r="K204" s="57"/>
      <c r="L204" s="57"/>
      <c r="M204" s="186"/>
      <c r="N204" s="186"/>
      <c r="O204" s="186"/>
      <c r="P204" s="186"/>
      <c r="Q204" s="186"/>
      <c r="R204" s="186"/>
      <c r="S204" s="186"/>
      <c r="T204" s="186"/>
      <c r="U204" s="404"/>
      <c r="V204" s="186"/>
      <c r="W204" s="186"/>
      <c r="X204" s="186"/>
      <c r="Y204" s="186"/>
      <c r="Z204" s="186"/>
      <c r="AA204" s="186"/>
      <c r="AB204" s="186"/>
    </row>
    <row r="205" spans="1:28" s="22" customFormat="1" x14ac:dyDescent="0.25">
      <c r="A205" s="32">
        <v>4</v>
      </c>
      <c r="B205" s="14" t="s">
        <v>4</v>
      </c>
      <c r="C205" s="26">
        <v>0.4375</v>
      </c>
      <c r="D205" s="26">
        <v>0.47916666666666669</v>
      </c>
      <c r="E205" s="15">
        <v>1</v>
      </c>
      <c r="F205" s="15"/>
      <c r="G205" s="14" t="s">
        <v>279</v>
      </c>
      <c r="H205" s="15"/>
      <c r="I205" s="57"/>
      <c r="J205" s="57"/>
      <c r="K205" s="57"/>
      <c r="L205" s="57"/>
      <c r="M205" s="186"/>
      <c r="N205" s="186"/>
      <c r="O205" s="392"/>
      <c r="P205" s="392"/>
      <c r="Q205" s="392"/>
      <c r="R205" s="392"/>
      <c r="S205" s="392"/>
      <c r="T205" s="392"/>
      <c r="U205" s="404"/>
      <c r="V205" s="186"/>
      <c r="W205" s="186"/>
      <c r="X205" s="186"/>
      <c r="Y205" s="186"/>
      <c r="Z205" s="186"/>
      <c r="AA205" s="186"/>
      <c r="AB205" s="186"/>
    </row>
    <row r="206" spans="1:28" s="22" customFormat="1" x14ac:dyDescent="0.25">
      <c r="A206" s="15"/>
      <c r="B206" s="14"/>
      <c r="C206" s="26">
        <v>0.29166666666666669</v>
      </c>
      <c r="D206" s="26">
        <v>0.41666666666666669</v>
      </c>
      <c r="E206" s="15">
        <v>3</v>
      </c>
      <c r="F206" s="15"/>
      <c r="G206" s="14" t="s">
        <v>280</v>
      </c>
      <c r="I206" s="57"/>
      <c r="J206" s="57"/>
      <c r="K206" s="57"/>
      <c r="L206" s="57"/>
      <c r="M206" s="186"/>
      <c r="N206" s="186"/>
      <c r="O206" s="393"/>
      <c r="P206" s="397"/>
      <c r="Q206" s="394"/>
      <c r="R206" s="393"/>
      <c r="S206" s="395"/>
      <c r="T206" s="393"/>
      <c r="U206" s="404"/>
      <c r="V206" s="186"/>
      <c r="W206" s="186"/>
      <c r="X206" s="186"/>
      <c r="Y206" s="186"/>
      <c r="Z206" s="186"/>
      <c r="AA206" s="186"/>
      <c r="AB206" s="186"/>
    </row>
    <row r="207" spans="1:28" s="22" customFormat="1" x14ac:dyDescent="0.25">
      <c r="A207" s="32">
        <v>5</v>
      </c>
      <c r="B207" s="14" t="s">
        <v>5</v>
      </c>
      <c r="C207" s="25">
        <v>0.41666666666666669</v>
      </c>
      <c r="D207" s="25">
        <v>0.45833333333333331</v>
      </c>
      <c r="E207" s="14">
        <v>1</v>
      </c>
      <c r="F207" s="24"/>
      <c r="G207" s="14" t="s">
        <v>281</v>
      </c>
      <c r="H207" s="15"/>
      <c r="I207" s="57"/>
      <c r="J207" s="57"/>
      <c r="K207" s="57"/>
      <c r="L207" s="57"/>
      <c r="M207" s="186"/>
      <c r="N207" s="186"/>
      <c r="O207" s="393"/>
      <c r="P207" s="398"/>
      <c r="Q207" s="398"/>
      <c r="R207" s="186"/>
      <c r="S207" s="186"/>
      <c r="T207" s="186"/>
      <c r="U207" s="404"/>
      <c r="V207" s="405"/>
      <c r="W207" s="186"/>
      <c r="X207" s="186"/>
      <c r="Y207" s="186"/>
      <c r="Z207" s="186"/>
      <c r="AA207" s="186"/>
      <c r="AB207" s="186"/>
    </row>
    <row r="208" spans="1:28" s="22" customFormat="1" ht="30" x14ac:dyDescent="0.25">
      <c r="A208" s="32"/>
      <c r="B208" s="14"/>
      <c r="C208" s="51">
        <v>0.4375</v>
      </c>
      <c r="D208" s="51">
        <v>0.47916666666666669</v>
      </c>
      <c r="E208" s="22">
        <v>1</v>
      </c>
      <c r="G208" s="22" t="s">
        <v>254</v>
      </c>
      <c r="H208" s="15"/>
      <c r="I208" s="57"/>
      <c r="J208" s="57"/>
      <c r="K208" s="57"/>
      <c r="L208" s="57"/>
      <c r="M208" s="186"/>
      <c r="N208" s="186"/>
      <c r="O208" s="393"/>
      <c r="P208" s="398"/>
      <c r="Q208" s="398"/>
      <c r="R208" s="186"/>
      <c r="S208" s="186"/>
      <c r="T208" s="393"/>
      <c r="U208" s="404"/>
      <c r="V208" s="186"/>
      <c r="W208" s="186"/>
      <c r="X208" s="186"/>
      <c r="Y208" s="186"/>
      <c r="Z208" s="186"/>
      <c r="AA208" s="186"/>
      <c r="AB208" s="186"/>
    </row>
    <row r="209" spans="1:28" s="22" customFormat="1" x14ac:dyDescent="0.25">
      <c r="A209" s="32"/>
      <c r="B209" s="14"/>
      <c r="C209" s="139">
        <v>4.1666666666666664E-2</v>
      </c>
      <c r="D209" s="139">
        <v>0.125</v>
      </c>
      <c r="E209" s="140">
        <v>2</v>
      </c>
      <c r="F209" s="135"/>
      <c r="G209" s="141" t="s">
        <v>24</v>
      </c>
      <c r="H209" s="15"/>
      <c r="I209" s="57"/>
      <c r="J209" s="57"/>
      <c r="K209" s="57"/>
      <c r="L209" s="57"/>
      <c r="M209" s="186"/>
      <c r="N209" s="186"/>
      <c r="O209" s="393"/>
      <c r="P209" s="398"/>
      <c r="Q209" s="398"/>
      <c r="R209" s="186"/>
      <c r="S209" s="186"/>
      <c r="T209" s="393"/>
      <c r="U209" s="404"/>
      <c r="V209" s="186"/>
      <c r="W209" s="186"/>
      <c r="X209" s="186"/>
      <c r="Y209" s="186"/>
      <c r="Z209" s="186"/>
      <c r="AA209" s="186"/>
      <c r="AB209" s="186"/>
    </row>
    <row r="210" spans="1:28" s="22" customFormat="1" x14ac:dyDescent="0.25">
      <c r="A210" s="32">
        <v>6</v>
      </c>
      <c r="B210" s="14" t="s">
        <v>6</v>
      </c>
      <c r="C210" s="42">
        <v>0.45833333333333331</v>
      </c>
      <c r="D210" s="42">
        <v>0.5</v>
      </c>
      <c r="E210" s="14">
        <v>1</v>
      </c>
      <c r="F210" s="15"/>
      <c r="G210" s="24" t="s">
        <v>282</v>
      </c>
      <c r="I210" s="57"/>
      <c r="J210" s="57"/>
      <c r="K210" s="57"/>
      <c r="L210" s="57"/>
      <c r="M210" s="186"/>
      <c r="N210" s="186"/>
      <c r="O210" s="393"/>
      <c r="P210" s="394"/>
      <c r="Q210" s="394"/>
      <c r="R210" s="393"/>
      <c r="S210" s="395"/>
      <c r="T210" s="393"/>
      <c r="U210" s="186"/>
      <c r="V210" s="186"/>
      <c r="W210" s="186"/>
      <c r="X210" s="186"/>
      <c r="Y210" s="186"/>
      <c r="Z210" s="186"/>
      <c r="AA210" s="186"/>
      <c r="AB210" s="186"/>
    </row>
    <row r="211" spans="1:28" s="22" customFormat="1" x14ac:dyDescent="0.25">
      <c r="A211" s="32">
        <v>7</v>
      </c>
      <c r="B211" s="14" t="s">
        <v>7</v>
      </c>
      <c r="C211" s="42">
        <v>0.41666666666666669</v>
      </c>
      <c r="D211" s="42">
        <v>0.54166666666666663</v>
      </c>
      <c r="E211" s="14">
        <v>3</v>
      </c>
      <c r="F211" s="24"/>
      <c r="G211" s="14" t="s">
        <v>283</v>
      </c>
      <c r="I211" s="57"/>
      <c r="J211" s="57"/>
      <c r="K211" s="57"/>
      <c r="L211" s="57"/>
      <c r="M211" s="186"/>
      <c r="N211" s="186"/>
      <c r="O211" s="393"/>
      <c r="P211" s="399"/>
      <c r="Q211" s="399"/>
      <c r="R211" s="393"/>
      <c r="S211" s="186"/>
      <c r="T211" s="395"/>
      <c r="U211" s="186"/>
      <c r="V211" s="186"/>
      <c r="W211" s="186"/>
      <c r="X211" s="186"/>
      <c r="Y211" s="186"/>
      <c r="Z211" s="186"/>
      <c r="AA211" s="186"/>
      <c r="AB211" s="186"/>
    </row>
    <row r="212" spans="1:28" s="22" customFormat="1" x14ac:dyDescent="0.25">
      <c r="A212" s="32"/>
      <c r="B212" s="14"/>
      <c r="C212" s="51">
        <v>0.4375</v>
      </c>
      <c r="D212" s="51">
        <v>0.5625</v>
      </c>
      <c r="E212" s="138">
        <v>2</v>
      </c>
      <c r="F212" s="23"/>
      <c r="G212" s="21" t="s">
        <v>255</v>
      </c>
      <c r="I212" s="57"/>
      <c r="J212" s="57"/>
      <c r="K212" s="57"/>
      <c r="L212" s="57"/>
      <c r="M212" s="186"/>
      <c r="N212" s="186"/>
      <c r="O212" s="393"/>
      <c r="P212" s="399"/>
      <c r="Q212" s="399"/>
      <c r="R212" s="393"/>
      <c r="S212" s="395"/>
      <c r="T212" s="393"/>
      <c r="U212" s="186"/>
      <c r="V212" s="186"/>
      <c r="W212" s="186"/>
      <c r="X212" s="186"/>
      <c r="Y212" s="186"/>
      <c r="Z212" s="186"/>
      <c r="AA212" s="186"/>
      <c r="AB212" s="186"/>
    </row>
    <row r="213" spans="1:28" s="22" customFormat="1" x14ac:dyDescent="0.25">
      <c r="A213" s="32">
        <v>8</v>
      </c>
      <c r="B213" s="14" t="s">
        <v>8</v>
      </c>
      <c r="C213" s="25"/>
      <c r="D213" s="25"/>
      <c r="E213" s="14"/>
      <c r="F213" s="24"/>
      <c r="G213" s="14"/>
      <c r="I213" s="57"/>
      <c r="J213" s="57"/>
      <c r="K213" s="57"/>
      <c r="L213" s="57"/>
      <c r="M213" s="186"/>
      <c r="N213" s="186"/>
      <c r="O213" s="393"/>
      <c r="P213" s="394"/>
      <c r="Q213" s="394"/>
      <c r="R213" s="393"/>
      <c r="S213" s="395"/>
      <c r="T213" s="393"/>
      <c r="U213" s="404"/>
      <c r="V213" s="186"/>
      <c r="W213" s="186"/>
      <c r="X213" s="186"/>
      <c r="Y213" s="186"/>
      <c r="Z213" s="186"/>
      <c r="AA213" s="186"/>
      <c r="AB213" s="186"/>
    </row>
    <row r="214" spans="1:28" s="22" customFormat="1" ht="18" customHeight="1" x14ac:dyDescent="0.25">
      <c r="A214" s="15"/>
      <c r="B214" s="13" t="s">
        <v>26</v>
      </c>
      <c r="C214" s="32"/>
      <c r="D214" s="32"/>
      <c r="E214" s="32">
        <f>SUM(E203:E213)</f>
        <v>16</v>
      </c>
      <c r="F214" s="115" t="s">
        <v>393</v>
      </c>
      <c r="G214" s="145" t="s">
        <v>397</v>
      </c>
      <c r="H214" s="15"/>
      <c r="I214" s="57"/>
      <c r="J214" s="57"/>
      <c r="K214" s="57"/>
      <c r="L214" s="57"/>
      <c r="M214" s="186"/>
      <c r="N214" s="186"/>
      <c r="O214" s="392"/>
      <c r="P214" s="396"/>
      <c r="Q214" s="396"/>
      <c r="R214" s="396"/>
      <c r="S214" s="186"/>
      <c r="T214" s="186"/>
      <c r="U214" s="404"/>
      <c r="V214" s="186"/>
      <c r="W214" s="186"/>
      <c r="X214" s="186"/>
      <c r="Y214" s="186"/>
      <c r="Z214" s="186"/>
      <c r="AA214" s="186"/>
      <c r="AB214" s="186"/>
    </row>
    <row r="215" spans="1:28" s="22" customFormat="1" ht="71.25" customHeight="1" x14ac:dyDescent="0.25">
      <c r="A215" s="144" t="s">
        <v>407</v>
      </c>
      <c r="B215" s="35" t="s">
        <v>227</v>
      </c>
      <c r="C215" s="60"/>
      <c r="D215" s="61"/>
      <c r="E215" s="35">
        <f>SUM(E193:E199,E203:E213)</f>
        <v>20</v>
      </c>
      <c r="F215" s="115">
        <f>SUM(1*[3]Marg_hist!G45)</f>
        <v>7</v>
      </c>
      <c r="G215" s="330">
        <f>SUM(E215 + G190)-F215</f>
        <v>-11</v>
      </c>
      <c r="H215" s="221"/>
      <c r="I215" s="57"/>
      <c r="J215" s="57"/>
      <c r="K215" s="57"/>
      <c r="L215" s="57"/>
      <c r="M215" s="186"/>
      <c r="N215" s="186"/>
      <c r="O215" s="392"/>
      <c r="P215" s="396"/>
      <c r="Q215" s="396"/>
      <c r="R215" s="396"/>
      <c r="S215" s="186"/>
      <c r="T215" s="186"/>
      <c r="U215" s="404"/>
      <c r="V215" s="186"/>
      <c r="W215" s="186"/>
      <c r="X215" s="186"/>
      <c r="Y215" s="186"/>
      <c r="Z215" s="186"/>
      <c r="AA215" s="186"/>
      <c r="AB215" s="186"/>
    </row>
    <row r="216" spans="1:28" s="22" customFormat="1" ht="67.5" customHeight="1" x14ac:dyDescent="0.25">
      <c r="A216" s="278">
        <v>43292</v>
      </c>
      <c r="B216" s="20"/>
      <c r="C216" s="146"/>
      <c r="D216" s="147"/>
      <c r="E216" s="20"/>
      <c r="F216" s="20"/>
      <c r="G216" s="53"/>
      <c r="H216" s="158"/>
      <c r="I216" s="57"/>
      <c r="J216" s="57"/>
      <c r="K216" s="57"/>
      <c r="L216" s="57"/>
      <c r="M216" s="186"/>
      <c r="N216" s="186"/>
      <c r="O216" s="392"/>
      <c r="P216" s="396"/>
      <c r="Q216" s="396"/>
      <c r="R216" s="396"/>
      <c r="S216" s="186"/>
      <c r="T216" s="186"/>
      <c r="U216" s="404"/>
      <c r="V216" s="186"/>
      <c r="W216" s="186"/>
      <c r="X216" s="186"/>
      <c r="Y216" s="186"/>
      <c r="Z216" s="186"/>
      <c r="AA216" s="186"/>
      <c r="AB216" s="186"/>
    </row>
    <row r="217" spans="1:28" s="22" customFormat="1" ht="30" customHeight="1" x14ac:dyDescent="0.25">
      <c r="A217" s="15"/>
      <c r="B217" s="15"/>
      <c r="C217" s="15"/>
      <c r="D217" s="15"/>
      <c r="E217" s="15"/>
      <c r="F217" s="15"/>
      <c r="G217" s="15"/>
      <c r="H217" s="15"/>
      <c r="I217" s="57"/>
      <c r="J217" s="57"/>
      <c r="K217" s="57"/>
      <c r="L217" s="57"/>
      <c r="M217" s="186"/>
      <c r="N217" s="186"/>
      <c r="O217" s="392"/>
      <c r="P217" s="396"/>
      <c r="Q217" s="396"/>
      <c r="R217" s="396"/>
      <c r="S217" s="186"/>
      <c r="T217" s="186"/>
      <c r="U217" s="404"/>
      <c r="V217" s="186"/>
      <c r="W217" s="186"/>
      <c r="X217" s="186"/>
      <c r="Y217" s="186"/>
      <c r="Z217" s="186"/>
      <c r="AA217" s="186"/>
      <c r="AB217" s="186"/>
    </row>
    <row r="218" spans="1:28" s="22" customFormat="1" ht="90" customHeight="1" x14ac:dyDescent="0.9">
      <c r="A218" s="587" t="s">
        <v>433</v>
      </c>
      <c r="B218" s="587"/>
      <c r="C218" s="587"/>
      <c r="D218" s="587"/>
      <c r="E218" s="587"/>
      <c r="F218" s="587"/>
      <c r="G218" s="587"/>
      <c r="H218" s="587"/>
      <c r="I218" s="406"/>
      <c r="J218" s="406"/>
      <c r="K218" s="406"/>
      <c r="L218" s="406"/>
      <c r="M218" s="407"/>
      <c r="N218" s="407"/>
      <c r="O218" s="407"/>
      <c r="P218" s="407"/>
      <c r="Q218" s="407"/>
      <c r="R218" s="407"/>
      <c r="S218" s="407"/>
      <c r="T218" s="407"/>
      <c r="U218" s="407"/>
      <c r="V218" s="186"/>
      <c r="W218" s="186"/>
      <c r="X218" s="186"/>
      <c r="Y218" s="186"/>
      <c r="Z218" s="186"/>
      <c r="AA218" s="186"/>
      <c r="AB218" s="186"/>
    </row>
    <row r="219" spans="1:28" s="22" customFormat="1" ht="67.5" customHeight="1" x14ac:dyDescent="0.5">
      <c r="A219" s="341" t="s">
        <v>425</v>
      </c>
      <c r="B219" s="341" t="s">
        <v>426</v>
      </c>
      <c r="C219" s="343" t="s">
        <v>430</v>
      </c>
      <c r="D219" s="588" t="s">
        <v>471</v>
      </c>
      <c r="E219" s="588"/>
      <c r="F219" s="588"/>
      <c r="G219" s="588"/>
      <c r="H219" s="588"/>
      <c r="I219" s="57"/>
      <c r="J219" s="57"/>
      <c r="K219" s="57"/>
      <c r="L219" s="15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</row>
    <row r="220" spans="1:28" s="22" customFormat="1" ht="30" customHeight="1" x14ac:dyDescent="0.25">
      <c r="A220" s="338" t="s">
        <v>434</v>
      </c>
      <c r="B220" s="310">
        <f>SUM([3]Marg_hist!G48)</f>
        <v>87</v>
      </c>
      <c r="C220" s="338" t="s">
        <v>431</v>
      </c>
      <c r="D220" s="588"/>
      <c r="E220" s="588"/>
      <c r="F220" s="588"/>
      <c r="G220" s="588"/>
      <c r="H220" s="588"/>
      <c r="I220" s="57"/>
      <c r="J220" s="57"/>
      <c r="K220" s="57"/>
      <c r="L220" s="15"/>
      <c r="M220" s="186"/>
      <c r="N220" s="186"/>
      <c r="O220" s="392"/>
      <c r="P220" s="392"/>
      <c r="Q220" s="392"/>
      <c r="R220" s="392"/>
      <c r="S220" s="392"/>
      <c r="T220" s="186"/>
      <c r="U220" s="186"/>
      <c r="V220" s="186"/>
      <c r="W220" s="186"/>
      <c r="X220" s="186"/>
      <c r="Y220" s="186"/>
      <c r="Z220" s="186"/>
      <c r="AA220" s="186"/>
      <c r="AB220" s="186"/>
    </row>
    <row r="221" spans="1:28" s="22" customFormat="1" ht="90" customHeight="1" x14ac:dyDescent="0.25">
      <c r="A221" s="44" t="s">
        <v>429</v>
      </c>
      <c r="B221" s="44">
        <f>SUM(E214,E200,E189,E168,E158,E147,E136,E122,E100,E89,E63,E42,E52,E30,E111,E20,E179,E77)</f>
        <v>76</v>
      </c>
      <c r="C221" s="44" t="s">
        <v>432</v>
      </c>
      <c r="D221" s="588"/>
      <c r="E221" s="588"/>
      <c r="F221" s="588"/>
      <c r="G221" s="588"/>
      <c r="H221" s="588"/>
      <c r="I221" s="57"/>
      <c r="J221" s="57"/>
      <c r="K221" s="57"/>
      <c r="L221" s="27" t="s">
        <v>253</v>
      </c>
      <c r="M221" s="186"/>
      <c r="N221" s="186"/>
      <c r="O221" s="393"/>
      <c r="P221" s="394"/>
      <c r="Q221" s="394"/>
      <c r="R221" s="408"/>
      <c r="S221" s="395"/>
      <c r="T221" s="186"/>
      <c r="U221" s="393"/>
      <c r="V221" s="186"/>
      <c r="W221" s="186"/>
      <c r="X221" s="186"/>
      <c r="Y221" s="186"/>
      <c r="Z221" s="186"/>
      <c r="AA221" s="186"/>
      <c r="AB221" s="186"/>
    </row>
    <row r="222" spans="1:28" ht="61.5" customHeight="1" x14ac:dyDescent="0.5">
      <c r="A222" s="409" t="s">
        <v>427</v>
      </c>
      <c r="B222" s="410">
        <f>SUM(B220-B221)</f>
        <v>11</v>
      </c>
      <c r="D222" s="588"/>
      <c r="E222" s="588"/>
      <c r="F222" s="588"/>
      <c r="G222" s="588"/>
      <c r="H222" s="588"/>
      <c r="I222" s="57"/>
      <c r="J222" s="57"/>
      <c r="K222" s="57"/>
      <c r="L222" s="15">
        <v>2</v>
      </c>
      <c r="M222" s="186"/>
      <c r="N222" s="186"/>
      <c r="O222" s="393"/>
      <c r="P222" s="397"/>
      <c r="Q222" s="394"/>
      <c r="R222" s="408"/>
      <c r="S222" s="395"/>
      <c r="T222" s="186"/>
      <c r="U222" s="393"/>
      <c r="V222" s="186"/>
      <c r="W222" s="186"/>
      <c r="X222" s="186"/>
      <c r="Y222" s="186"/>
      <c r="Z222" s="186"/>
      <c r="AA222" s="186"/>
      <c r="AB222" s="186"/>
    </row>
    <row r="223" spans="1:28" ht="61.5" customHeight="1" x14ac:dyDescent="0.25">
      <c r="A223" s="15" t="s">
        <v>472</v>
      </c>
      <c r="B223" s="287">
        <v>0</v>
      </c>
      <c r="I223" s="57"/>
      <c r="J223" s="57"/>
      <c r="K223" s="57"/>
      <c r="L223" s="15">
        <v>3</v>
      </c>
      <c r="M223" s="186"/>
      <c r="N223" s="186"/>
      <c r="O223" s="393"/>
      <c r="P223" s="398"/>
      <c r="Q223" s="398"/>
      <c r="R223" s="408"/>
      <c r="S223" s="395"/>
      <c r="T223" s="186"/>
      <c r="U223" s="186"/>
      <c r="V223" s="186"/>
      <c r="W223" s="186"/>
      <c r="X223" s="186"/>
      <c r="Y223" s="186"/>
      <c r="Z223" s="186"/>
      <c r="AA223" s="186"/>
      <c r="AB223" s="186"/>
    </row>
    <row r="224" spans="1:28" x14ac:dyDescent="0.25">
      <c r="I224" s="57"/>
      <c r="J224" s="57"/>
      <c r="K224" s="57"/>
      <c r="L224" s="15">
        <v>4</v>
      </c>
      <c r="M224" s="186"/>
      <c r="N224" s="186"/>
      <c r="O224" s="393"/>
      <c r="P224" s="398"/>
      <c r="Q224" s="398"/>
      <c r="R224" s="186"/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 spans="1:28" s="22" customFormat="1" ht="61.5" x14ac:dyDescent="0.9">
      <c r="A225" s="578" t="s">
        <v>252</v>
      </c>
      <c r="B225" s="578"/>
      <c r="C225" s="578"/>
      <c r="D225" s="578"/>
      <c r="E225" s="578"/>
      <c r="F225" s="578"/>
      <c r="G225" s="578"/>
      <c r="H225" s="578"/>
      <c r="I225" s="57"/>
      <c r="J225" s="57"/>
      <c r="K225" s="57"/>
      <c r="L225" s="15">
        <v>5</v>
      </c>
      <c r="M225" s="186"/>
      <c r="N225" s="186"/>
      <c r="O225" s="393"/>
      <c r="P225" s="411"/>
      <c r="Q225" s="411"/>
      <c r="R225" s="412"/>
      <c r="S225" s="413"/>
      <c r="T225" s="186"/>
      <c r="U225" s="414"/>
      <c r="V225" s="186"/>
      <c r="W225" s="186"/>
      <c r="X225" s="186"/>
      <c r="Y225" s="186"/>
      <c r="Z225" s="186"/>
      <c r="AA225" s="186"/>
      <c r="AB225" s="186"/>
    </row>
    <row r="226" spans="1:28" ht="30" x14ac:dyDescent="0.25">
      <c r="B226" s="13" t="s">
        <v>158</v>
      </c>
      <c r="C226" s="13" t="s">
        <v>11</v>
      </c>
      <c r="D226" s="13" t="s">
        <v>12</v>
      </c>
      <c r="E226" s="13" t="s">
        <v>13</v>
      </c>
      <c r="F226" s="13" t="s">
        <v>14</v>
      </c>
      <c r="G226" s="20" t="s">
        <v>0</v>
      </c>
      <c r="H226" s="22"/>
      <c r="I226" s="57"/>
      <c r="J226" s="57"/>
      <c r="K226" s="57"/>
      <c r="M226" s="186"/>
      <c r="N226" s="186"/>
      <c r="O226" s="393"/>
      <c r="P226" s="398"/>
      <c r="Q226" s="398"/>
      <c r="R226" s="408"/>
      <c r="S226" s="395"/>
      <c r="T226" s="186"/>
      <c r="U226" s="393"/>
      <c r="V226" s="186"/>
      <c r="W226" s="186"/>
      <c r="X226" s="186"/>
      <c r="Y226" s="186"/>
      <c r="Z226" s="186"/>
      <c r="AA226" s="186"/>
      <c r="AB226" s="186"/>
    </row>
    <row r="227" spans="1:28" x14ac:dyDescent="0.25">
      <c r="A227" s="32">
        <v>9</v>
      </c>
      <c r="B227" s="21" t="s">
        <v>2</v>
      </c>
      <c r="C227" s="49"/>
      <c r="D227" s="49"/>
      <c r="E227" s="138"/>
      <c r="F227" s="23"/>
      <c r="G227" s="21"/>
      <c r="H227" s="22"/>
      <c r="I227" s="57"/>
      <c r="J227" s="57"/>
      <c r="K227" s="57"/>
      <c r="L227" s="15">
        <v>6</v>
      </c>
      <c r="M227" s="186"/>
      <c r="N227" s="186"/>
      <c r="O227" s="393"/>
      <c r="P227" s="398"/>
      <c r="Q227" s="398"/>
      <c r="R227" s="408"/>
      <c r="S227" s="395"/>
      <c r="T227" s="186"/>
      <c r="U227" s="393"/>
      <c r="V227" s="186"/>
      <c r="W227" s="186"/>
      <c r="X227" s="186"/>
      <c r="Y227" s="186"/>
      <c r="Z227" s="186"/>
      <c r="AA227" s="186"/>
      <c r="AB227" s="186"/>
    </row>
    <row r="228" spans="1:28" x14ac:dyDescent="0.25">
      <c r="A228" s="32">
        <v>10</v>
      </c>
      <c r="B228" s="21" t="s">
        <v>3</v>
      </c>
      <c r="C228" s="48"/>
      <c r="D228" s="49"/>
      <c r="E228" s="138"/>
      <c r="F228" s="23"/>
      <c r="G228" s="21"/>
      <c r="H228" s="22"/>
      <c r="I228" s="57"/>
      <c r="J228" s="57"/>
      <c r="K228" s="57"/>
      <c r="L228" s="15">
        <v>7</v>
      </c>
      <c r="M228" s="186"/>
      <c r="N228" s="186"/>
      <c r="O228" s="393"/>
      <c r="P228" s="394"/>
      <c r="Q228" s="394"/>
      <c r="R228" s="408"/>
      <c r="S228" s="395"/>
      <c r="T228" s="186"/>
      <c r="U228" s="393"/>
      <c r="V228" s="186"/>
      <c r="W228" s="186"/>
      <c r="X228" s="186"/>
      <c r="Y228" s="186"/>
      <c r="Z228" s="186"/>
      <c r="AA228" s="186"/>
      <c r="AB228" s="186"/>
    </row>
    <row r="229" spans="1:28" x14ac:dyDescent="0.25">
      <c r="A229" s="32">
        <v>11</v>
      </c>
      <c r="B229" s="21" t="s">
        <v>4</v>
      </c>
      <c r="C229" s="51"/>
      <c r="D229" s="51"/>
      <c r="E229" s="138"/>
      <c r="F229" s="23"/>
      <c r="G229" s="22"/>
      <c r="H229" s="22"/>
      <c r="I229" s="57"/>
      <c r="J229" s="57"/>
      <c r="K229" s="57"/>
      <c r="L229" s="15">
        <v>8</v>
      </c>
      <c r="M229" s="186"/>
      <c r="N229" s="186"/>
      <c r="O229" s="393"/>
      <c r="P229" s="394"/>
      <c r="Q229" s="394"/>
      <c r="R229" s="408"/>
      <c r="S229" s="395"/>
      <c r="T229" s="186"/>
      <c r="U229" s="393"/>
      <c r="V229" s="186"/>
      <c r="W229" s="186"/>
      <c r="X229" s="186"/>
      <c r="Y229" s="186"/>
      <c r="Z229" s="186"/>
      <c r="AA229" s="186"/>
      <c r="AB229" s="186"/>
    </row>
    <row r="230" spans="1:28" ht="30" x14ac:dyDescent="0.25">
      <c r="A230" s="32">
        <v>12</v>
      </c>
      <c r="B230" s="21" t="s">
        <v>5</v>
      </c>
      <c r="C230" s="51">
        <v>0.16666666666666666</v>
      </c>
      <c r="D230" s="51">
        <v>0.25</v>
      </c>
      <c r="E230" s="22">
        <v>2</v>
      </c>
      <c r="F230" s="22"/>
      <c r="G230" s="22" t="s">
        <v>256</v>
      </c>
      <c r="H230" s="22"/>
      <c r="I230" s="57"/>
      <c r="J230" s="57"/>
      <c r="K230" s="57"/>
      <c r="M230" s="186"/>
      <c r="N230" s="186"/>
      <c r="O230" s="186"/>
      <c r="P230" s="186"/>
      <c r="Q230" s="186"/>
      <c r="R230" s="186"/>
      <c r="S230" s="186"/>
      <c r="T230" s="186"/>
      <c r="U230" s="186"/>
      <c r="V230" s="186"/>
      <c r="W230" s="186"/>
      <c r="X230" s="186"/>
      <c r="Y230" s="186"/>
      <c r="Z230" s="186"/>
      <c r="AA230" s="186"/>
      <c r="AB230" s="186"/>
    </row>
    <row r="231" spans="1:28" x14ac:dyDescent="0.25">
      <c r="A231" s="32">
        <v>13</v>
      </c>
      <c r="B231" s="21" t="s">
        <v>6</v>
      </c>
      <c r="C231" s="51"/>
      <c r="D231" s="51"/>
      <c r="E231" s="138"/>
      <c r="F231" s="23"/>
      <c r="G231" s="21"/>
      <c r="H231" s="22"/>
      <c r="I231" s="57"/>
      <c r="J231" s="57"/>
      <c r="K231" s="57"/>
      <c r="M231" s="186"/>
      <c r="N231" s="186"/>
      <c r="O231" s="392"/>
      <c r="P231" s="392"/>
      <c r="Q231" s="392"/>
      <c r="R231" s="392"/>
      <c r="S231" s="392"/>
      <c r="T231" s="186"/>
      <c r="U231" s="186"/>
      <c r="V231" s="186"/>
      <c r="W231" s="186"/>
      <c r="X231" s="186"/>
      <c r="Y231" s="186"/>
      <c r="Z231" s="186"/>
      <c r="AA231" s="186"/>
      <c r="AB231" s="186"/>
    </row>
    <row r="232" spans="1:28" ht="45" x14ac:dyDescent="0.25">
      <c r="A232" s="32">
        <v>14</v>
      </c>
      <c r="B232" s="21" t="s">
        <v>7</v>
      </c>
      <c r="C232" s="51"/>
      <c r="D232" s="51"/>
      <c r="E232" s="138"/>
      <c r="F232" s="23"/>
      <c r="G232" s="21"/>
      <c r="H232" s="22"/>
      <c r="I232" s="57"/>
      <c r="J232" s="57"/>
      <c r="K232" s="57"/>
      <c r="L232" s="27" t="s">
        <v>249</v>
      </c>
      <c r="M232" s="186"/>
      <c r="N232" s="186"/>
      <c r="O232" s="393"/>
      <c r="P232" s="394"/>
      <c r="Q232" s="394"/>
      <c r="R232" s="408"/>
      <c r="S232" s="395"/>
      <c r="T232" s="186"/>
      <c r="U232" s="393"/>
      <c r="V232" s="186"/>
      <c r="W232" s="186"/>
      <c r="X232" s="186"/>
      <c r="Y232" s="186"/>
      <c r="Z232" s="186"/>
      <c r="AA232" s="186"/>
      <c r="AB232" s="186"/>
    </row>
    <row r="233" spans="1:28" x14ac:dyDescent="0.25">
      <c r="A233" s="32">
        <v>15</v>
      </c>
      <c r="B233" s="21" t="s">
        <v>8</v>
      </c>
      <c r="C233" s="49"/>
      <c r="D233" s="49"/>
      <c r="E233" s="138"/>
      <c r="F233" s="23"/>
      <c r="G233" s="21"/>
      <c r="H233" s="22"/>
      <c r="I233" s="57"/>
      <c r="J233" s="57"/>
      <c r="K233" s="57"/>
      <c r="L233" s="15">
        <v>9</v>
      </c>
      <c r="M233" s="186"/>
      <c r="N233" s="186"/>
      <c r="O233" s="393"/>
      <c r="P233" s="397"/>
      <c r="Q233" s="394"/>
      <c r="R233" s="408"/>
      <c r="S233" s="395"/>
      <c r="T233" s="186"/>
      <c r="U233" s="393"/>
      <c r="V233" s="186"/>
      <c r="W233" s="186"/>
      <c r="X233" s="186"/>
      <c r="Y233" s="186"/>
      <c r="Z233" s="186"/>
      <c r="AA233" s="186"/>
      <c r="AB233" s="186"/>
    </row>
    <row r="234" spans="1:28" x14ac:dyDescent="0.25">
      <c r="B234" s="13" t="s">
        <v>26</v>
      </c>
      <c r="C234" s="32"/>
      <c r="D234" s="32"/>
      <c r="E234" s="32">
        <f>SUM(E226:E233)</f>
        <v>2</v>
      </c>
      <c r="G234" s="22"/>
      <c r="H234" s="22"/>
      <c r="I234" s="57"/>
      <c r="J234" s="57"/>
      <c r="K234" s="57"/>
      <c r="L234" s="15">
        <v>10</v>
      </c>
      <c r="M234" s="186"/>
      <c r="N234" s="186"/>
      <c r="O234" s="393"/>
      <c r="P234" s="398"/>
      <c r="Q234" s="398"/>
      <c r="R234" s="408"/>
      <c r="S234" s="395"/>
      <c r="T234" s="186"/>
      <c r="U234" s="186"/>
      <c r="V234" s="186"/>
      <c r="W234" s="186"/>
      <c r="X234" s="186"/>
      <c r="Y234" s="186"/>
      <c r="Z234" s="186"/>
      <c r="AA234" s="186"/>
      <c r="AB234" s="186"/>
    </row>
    <row r="235" spans="1:28" x14ac:dyDescent="0.25">
      <c r="G235" s="22"/>
      <c r="H235" s="22"/>
      <c r="I235" s="57"/>
      <c r="J235" s="57"/>
      <c r="K235" s="57"/>
      <c r="L235" s="15">
        <v>11</v>
      </c>
      <c r="M235" s="186"/>
      <c r="N235" s="186"/>
      <c r="O235" s="393"/>
      <c r="P235" s="398"/>
      <c r="Q235" s="398"/>
      <c r="R235" s="186"/>
      <c r="S235" s="186"/>
      <c r="T235" s="186"/>
      <c r="U235" s="186"/>
      <c r="V235" s="186"/>
      <c r="W235" s="186"/>
      <c r="X235" s="186"/>
      <c r="Y235" s="186"/>
      <c r="Z235" s="186"/>
      <c r="AA235" s="186"/>
      <c r="AB235" s="186"/>
    </row>
    <row r="236" spans="1:28" ht="30" x14ac:dyDescent="0.25">
      <c r="B236" s="13" t="s">
        <v>159</v>
      </c>
      <c r="C236" s="13" t="s">
        <v>11</v>
      </c>
      <c r="D236" s="13" t="s">
        <v>12</v>
      </c>
      <c r="E236" s="13" t="s">
        <v>13</v>
      </c>
      <c r="F236" s="13" t="s">
        <v>14</v>
      </c>
      <c r="G236" s="20" t="s">
        <v>0</v>
      </c>
      <c r="H236" s="22"/>
      <c r="I236" s="57"/>
      <c r="J236" s="57"/>
      <c r="K236" s="57"/>
      <c r="L236" s="15">
        <v>12</v>
      </c>
      <c r="M236" s="186"/>
      <c r="N236" s="186"/>
      <c r="O236" s="393"/>
      <c r="P236" s="398"/>
      <c r="Q236" s="398"/>
      <c r="R236" s="408"/>
      <c r="S236" s="395"/>
      <c r="T236" s="186"/>
      <c r="U236" s="393"/>
      <c r="V236" s="186"/>
      <c r="W236" s="186"/>
      <c r="X236" s="186"/>
      <c r="Y236" s="186"/>
      <c r="Z236" s="186"/>
      <c r="AA236" s="186"/>
      <c r="AB236" s="186"/>
    </row>
    <row r="237" spans="1:28" x14ac:dyDescent="0.25">
      <c r="B237" s="14" t="s">
        <v>2</v>
      </c>
      <c r="C237" s="33"/>
      <c r="D237" s="25"/>
      <c r="E237" s="14"/>
      <c r="F237" s="24"/>
      <c r="G237" s="21"/>
      <c r="H237" s="22"/>
      <c r="I237" s="57"/>
      <c r="J237" s="57"/>
      <c r="K237" s="57"/>
      <c r="L237" s="15">
        <v>13</v>
      </c>
      <c r="M237" s="186"/>
      <c r="N237" s="186"/>
      <c r="O237" s="393"/>
      <c r="P237" s="398"/>
      <c r="Q237" s="398"/>
      <c r="R237" s="408"/>
      <c r="S237" s="395"/>
      <c r="T237" s="186"/>
      <c r="U237" s="393"/>
      <c r="V237" s="186"/>
      <c r="W237" s="186"/>
      <c r="X237" s="186"/>
      <c r="Y237" s="186"/>
      <c r="Z237" s="186"/>
      <c r="AA237" s="186"/>
      <c r="AB237" s="186"/>
    </row>
    <row r="238" spans="1:28" x14ac:dyDescent="0.25">
      <c r="B238" s="14" t="s">
        <v>3</v>
      </c>
      <c r="C238" s="26"/>
      <c r="D238" s="26"/>
      <c r="G238" s="22"/>
      <c r="H238" s="22"/>
      <c r="I238" s="57"/>
      <c r="J238" s="57"/>
      <c r="K238" s="57"/>
      <c r="L238" s="15">
        <v>14</v>
      </c>
      <c r="M238" s="186"/>
      <c r="N238" s="186"/>
      <c r="O238" s="393"/>
      <c r="P238" s="394"/>
      <c r="Q238" s="394"/>
      <c r="R238" s="408"/>
      <c r="S238" s="395"/>
      <c r="T238" s="186"/>
      <c r="U238" s="393"/>
      <c r="V238" s="186"/>
      <c r="W238" s="186"/>
      <c r="X238" s="186"/>
      <c r="Y238" s="186"/>
      <c r="Z238" s="186"/>
      <c r="AA238" s="186"/>
      <c r="AB238" s="186"/>
    </row>
    <row r="239" spans="1:28" x14ac:dyDescent="0.25">
      <c r="B239" s="14" t="s">
        <v>4</v>
      </c>
      <c r="C239" s="26"/>
      <c r="D239" s="26"/>
      <c r="G239" s="21"/>
      <c r="H239" s="22"/>
      <c r="I239" s="57"/>
      <c r="J239" s="57"/>
      <c r="K239" s="57"/>
      <c r="L239" s="15">
        <v>15</v>
      </c>
      <c r="M239" s="186"/>
      <c r="N239" s="186"/>
      <c r="O239" s="186"/>
      <c r="P239" s="186"/>
      <c r="Q239" s="186"/>
      <c r="R239" s="186"/>
      <c r="S239" s="186"/>
      <c r="T239" s="186"/>
      <c r="U239" s="186"/>
      <c r="V239" s="186"/>
      <c r="W239" s="186"/>
      <c r="X239" s="186"/>
      <c r="Y239" s="186"/>
      <c r="Z239" s="186"/>
      <c r="AA239" s="186"/>
      <c r="AB239" s="186"/>
    </row>
    <row r="240" spans="1:28" x14ac:dyDescent="0.25">
      <c r="B240" s="14" t="s">
        <v>5</v>
      </c>
      <c r="C240" s="25"/>
      <c r="D240" s="25"/>
      <c r="E240" s="14"/>
      <c r="F240" s="24"/>
      <c r="G240" s="21"/>
      <c r="H240" s="22"/>
      <c r="I240" s="57"/>
      <c r="J240" s="57"/>
      <c r="K240" s="57"/>
      <c r="M240" s="186"/>
      <c r="N240" s="186"/>
      <c r="O240" s="186"/>
      <c r="P240" s="186"/>
      <c r="Q240" s="186"/>
      <c r="R240" s="186"/>
      <c r="S240" s="186"/>
      <c r="T240" s="186"/>
      <c r="U240" s="186"/>
      <c r="V240" s="186"/>
      <c r="W240" s="186"/>
      <c r="X240" s="186"/>
      <c r="Y240" s="186"/>
      <c r="Z240" s="186"/>
      <c r="AA240" s="186"/>
      <c r="AB240" s="186"/>
    </row>
    <row r="241" spans="1:28" x14ac:dyDescent="0.25">
      <c r="B241" s="14" t="s">
        <v>6</v>
      </c>
      <c r="C241" s="42"/>
      <c r="D241" s="42"/>
      <c r="E241" s="14"/>
      <c r="G241" s="23"/>
      <c r="H241" s="22"/>
      <c r="I241" s="57"/>
      <c r="J241" s="57"/>
      <c r="K241" s="57"/>
      <c r="M241" s="186"/>
      <c r="N241" s="186"/>
      <c r="O241" s="392"/>
      <c r="P241" s="392"/>
      <c r="Q241" s="392"/>
      <c r="R241" s="392"/>
      <c r="S241" s="392"/>
      <c r="T241" s="186"/>
      <c r="U241" s="186"/>
      <c r="V241" s="186"/>
      <c r="W241" s="186"/>
      <c r="X241" s="186"/>
      <c r="Y241" s="186"/>
      <c r="Z241" s="186"/>
      <c r="AA241" s="186"/>
      <c r="AB241" s="186"/>
    </row>
    <row r="242" spans="1:28" ht="45" x14ac:dyDescent="0.25">
      <c r="B242" s="14" t="s">
        <v>7</v>
      </c>
      <c r="C242" s="42"/>
      <c r="D242" s="42"/>
      <c r="E242" s="14"/>
      <c r="F242" s="24"/>
      <c r="G242" s="21"/>
      <c r="H242" s="22"/>
      <c r="I242" s="57"/>
      <c r="J242" s="57"/>
      <c r="K242" s="57"/>
      <c r="L242" s="27" t="s">
        <v>249</v>
      </c>
      <c r="M242" s="186"/>
      <c r="N242" s="186"/>
      <c r="O242" s="393"/>
      <c r="P242" s="394"/>
      <c r="Q242" s="394"/>
      <c r="R242" s="408"/>
      <c r="S242" s="395"/>
      <c r="T242" s="186"/>
      <c r="U242" s="186"/>
      <c r="V242" s="186"/>
      <c r="W242" s="186"/>
      <c r="X242" s="186"/>
      <c r="Y242" s="186"/>
      <c r="Z242" s="186"/>
      <c r="AA242" s="186"/>
      <c r="AB242" s="186"/>
    </row>
    <row r="243" spans="1:28" x14ac:dyDescent="0.25">
      <c r="A243" s="21"/>
      <c r="B243" s="14" t="s">
        <v>8</v>
      </c>
      <c r="C243" s="25"/>
      <c r="D243" s="25"/>
      <c r="E243" s="14"/>
      <c r="F243" s="24"/>
      <c r="G243" s="21"/>
      <c r="H243" s="22"/>
      <c r="I243" s="57"/>
      <c r="J243" s="57"/>
      <c r="K243" s="57"/>
      <c r="L243" s="15">
        <v>16</v>
      </c>
      <c r="M243" s="186"/>
      <c r="N243" s="186"/>
      <c r="O243" s="393"/>
      <c r="P243" s="397"/>
      <c r="Q243" s="394"/>
      <c r="R243" s="408"/>
      <c r="S243" s="395"/>
      <c r="T243" s="186"/>
      <c r="U243" s="186"/>
      <c r="V243" s="186"/>
      <c r="W243" s="186"/>
      <c r="X243" s="186"/>
      <c r="Y243" s="186"/>
      <c r="Z243" s="186"/>
      <c r="AA243" s="186"/>
      <c r="AB243" s="186"/>
    </row>
    <row r="244" spans="1:28" x14ac:dyDescent="0.25">
      <c r="A244" s="61" t="s">
        <v>396</v>
      </c>
      <c r="B244" s="13" t="s">
        <v>26</v>
      </c>
      <c r="C244" s="32"/>
      <c r="D244" s="32"/>
      <c r="E244" s="415">
        <v>10</v>
      </c>
      <c r="F244" s="115" t="s">
        <v>393</v>
      </c>
      <c r="G244" s="145" t="s">
        <v>397</v>
      </c>
      <c r="H244" s="22"/>
      <c r="I244" s="57"/>
      <c r="J244" s="57"/>
      <c r="K244" s="57"/>
      <c r="L244" s="15">
        <v>17</v>
      </c>
      <c r="M244" s="186"/>
      <c r="N244" s="186"/>
      <c r="O244" s="393"/>
      <c r="P244" s="398"/>
      <c r="Q244" s="398"/>
      <c r="R244" s="408"/>
      <c r="S244" s="395"/>
      <c r="T244" s="186"/>
      <c r="U244" s="186"/>
      <c r="V244" s="186"/>
      <c r="W244" s="186"/>
      <c r="X244" s="186"/>
      <c r="Y244" s="186"/>
      <c r="Z244" s="186"/>
      <c r="AA244" s="186"/>
      <c r="AB244" s="186"/>
    </row>
    <row r="245" spans="1:28" x14ac:dyDescent="0.25">
      <c r="A245" s="144"/>
      <c r="B245" s="35" t="s">
        <v>227</v>
      </c>
      <c r="C245" s="60"/>
      <c r="D245" s="61" t="s">
        <v>396</v>
      </c>
      <c r="E245" s="35">
        <f>SUM(E244,E234)</f>
        <v>12</v>
      </c>
      <c r="F245" s="115"/>
      <c r="G245" s="330">
        <f>SUM(E245+G215)-F245</f>
        <v>1</v>
      </c>
      <c r="H245" s="43"/>
      <c r="I245" s="57"/>
      <c r="J245" s="57"/>
      <c r="K245" s="57"/>
      <c r="L245" s="15">
        <v>18</v>
      </c>
      <c r="M245" s="186"/>
      <c r="N245" s="186"/>
      <c r="O245" s="393"/>
      <c r="P245" s="398"/>
      <c r="Q245" s="398"/>
      <c r="R245" s="186"/>
      <c r="S245" s="186"/>
      <c r="T245" s="186"/>
      <c r="U245" s="186"/>
      <c r="V245" s="186"/>
      <c r="W245" s="186"/>
      <c r="X245" s="186"/>
      <c r="Y245" s="186"/>
      <c r="Z245" s="186"/>
      <c r="AA245" s="186"/>
      <c r="AB245" s="186"/>
    </row>
    <row r="246" spans="1:28" x14ac:dyDescent="0.25">
      <c r="H246" s="22"/>
      <c r="I246" s="57"/>
      <c r="J246" s="57"/>
      <c r="K246" s="57"/>
      <c r="L246" s="15">
        <v>19</v>
      </c>
      <c r="M246" s="186"/>
      <c r="N246" s="186"/>
      <c r="O246" s="393"/>
      <c r="P246" s="398"/>
      <c r="Q246" s="398"/>
      <c r="R246" s="408"/>
      <c r="S246" s="395"/>
      <c r="T246" s="186"/>
      <c r="U246" s="186"/>
      <c r="V246" s="186"/>
      <c r="W246" s="186"/>
      <c r="X246" s="186"/>
      <c r="Y246" s="186"/>
      <c r="Z246" s="186"/>
      <c r="AA246" s="186"/>
      <c r="AB246" s="186"/>
    </row>
    <row r="247" spans="1:28" ht="30" x14ac:dyDescent="0.25">
      <c r="B247" s="13" t="s">
        <v>160</v>
      </c>
      <c r="C247" s="13" t="s">
        <v>11</v>
      </c>
      <c r="D247" s="13" t="s">
        <v>12</v>
      </c>
      <c r="E247" s="13" t="s">
        <v>13</v>
      </c>
      <c r="F247" s="13" t="s">
        <v>14</v>
      </c>
      <c r="G247" s="13" t="s">
        <v>0</v>
      </c>
      <c r="H247" s="22"/>
      <c r="I247" s="57"/>
      <c r="J247" s="57"/>
      <c r="K247" s="57"/>
      <c r="L247" s="15">
        <v>20</v>
      </c>
      <c r="M247" s="186"/>
      <c r="N247" s="186"/>
      <c r="O247" s="393"/>
      <c r="P247" s="398"/>
      <c r="Q247" s="398"/>
      <c r="R247" s="408"/>
      <c r="S247" s="395"/>
      <c r="T247" s="186"/>
      <c r="U247" s="186"/>
      <c r="V247" s="186"/>
      <c r="W247" s="186"/>
      <c r="X247" s="186"/>
      <c r="Y247" s="186"/>
      <c r="Z247" s="186"/>
      <c r="AA247" s="186"/>
      <c r="AB247" s="186"/>
    </row>
    <row r="248" spans="1:28" x14ac:dyDescent="0.25">
      <c r="B248" s="14" t="s">
        <v>2</v>
      </c>
      <c r="C248" s="33"/>
      <c r="D248" s="25"/>
      <c r="E248" s="14"/>
      <c r="F248" s="24"/>
      <c r="G248" s="14"/>
      <c r="H248" s="22"/>
      <c r="I248" s="57"/>
      <c r="J248" s="57"/>
      <c r="K248" s="57"/>
      <c r="L248" s="15">
        <v>21</v>
      </c>
      <c r="M248" s="186"/>
      <c r="N248" s="186"/>
      <c r="O248" s="393"/>
      <c r="P248" s="394"/>
      <c r="Q248" s="394"/>
      <c r="R248" s="408"/>
      <c r="S248" s="395"/>
      <c r="T248" s="186"/>
      <c r="U248" s="186"/>
      <c r="V248" s="186"/>
      <c r="W248" s="186"/>
      <c r="X248" s="186"/>
      <c r="Y248" s="186"/>
      <c r="Z248" s="186"/>
      <c r="AA248" s="186"/>
      <c r="AB248" s="186"/>
    </row>
    <row r="249" spans="1:28" x14ac:dyDescent="0.25">
      <c r="B249" s="14" t="s">
        <v>3</v>
      </c>
      <c r="C249" s="26"/>
      <c r="D249" s="26"/>
      <c r="H249" s="22"/>
      <c r="I249" s="57"/>
      <c r="J249" s="57"/>
      <c r="K249" s="57"/>
      <c r="L249" s="15">
        <v>22</v>
      </c>
      <c r="M249" s="186"/>
      <c r="N249" s="186"/>
      <c r="O249" s="186"/>
      <c r="P249" s="186"/>
      <c r="Q249" s="186"/>
      <c r="R249" s="186"/>
      <c r="S249" s="186"/>
      <c r="T249" s="186"/>
      <c r="U249" s="186"/>
      <c r="V249" s="186"/>
      <c r="W249" s="186"/>
      <c r="X249" s="186"/>
      <c r="Y249" s="186"/>
      <c r="Z249" s="186"/>
      <c r="AA249" s="186"/>
      <c r="AB249" s="186"/>
    </row>
    <row r="250" spans="1:28" x14ac:dyDescent="0.25">
      <c r="B250" s="14" t="s">
        <v>4</v>
      </c>
      <c r="C250" s="26"/>
      <c r="D250" s="26"/>
      <c r="G250" s="14"/>
      <c r="H250" s="22"/>
      <c r="I250" s="57"/>
      <c r="J250" s="57"/>
      <c r="K250" s="57"/>
      <c r="M250" s="186"/>
      <c r="N250" s="186"/>
      <c r="O250" s="186"/>
      <c r="P250" s="186"/>
      <c r="Q250" s="186"/>
      <c r="R250" s="186"/>
      <c r="S250" s="186"/>
      <c r="T250" s="186"/>
      <c r="U250" s="186"/>
      <c r="V250" s="186"/>
      <c r="W250" s="186"/>
      <c r="X250" s="186"/>
      <c r="Y250" s="186"/>
      <c r="Z250" s="186"/>
      <c r="AA250" s="186"/>
      <c r="AB250" s="186"/>
    </row>
    <row r="251" spans="1:28" x14ac:dyDescent="0.25">
      <c r="B251" s="14" t="s">
        <v>5</v>
      </c>
      <c r="C251" s="25"/>
      <c r="D251" s="25"/>
      <c r="E251" s="14"/>
      <c r="F251" s="24"/>
      <c r="G251" s="14"/>
      <c r="H251" s="22"/>
      <c r="I251" s="57"/>
      <c r="J251" s="57"/>
      <c r="K251" s="57"/>
      <c r="M251" s="186"/>
      <c r="N251" s="186"/>
      <c r="O251" s="186"/>
      <c r="P251" s="186"/>
      <c r="Q251" s="186"/>
      <c r="R251" s="186"/>
      <c r="S251" s="186"/>
      <c r="T251" s="186"/>
      <c r="U251" s="186"/>
      <c r="V251" s="186"/>
      <c r="W251" s="186"/>
      <c r="X251" s="186"/>
      <c r="Y251" s="186"/>
      <c r="Z251" s="186"/>
      <c r="AA251" s="186"/>
      <c r="AB251" s="186"/>
    </row>
    <row r="252" spans="1:28" x14ac:dyDescent="0.25">
      <c r="B252" s="14" t="s">
        <v>6</v>
      </c>
      <c r="C252" s="42"/>
      <c r="D252" s="42"/>
      <c r="E252" s="14"/>
      <c r="G252" s="24"/>
      <c r="H252" s="22"/>
      <c r="I252" s="57"/>
      <c r="J252" s="57"/>
      <c r="K252" s="57"/>
      <c r="M252" s="186"/>
      <c r="N252" s="186"/>
      <c r="O252" s="186"/>
      <c r="P252" s="186"/>
      <c r="Q252" s="186"/>
      <c r="R252" s="186"/>
      <c r="S252" s="186"/>
      <c r="T252" s="186"/>
      <c r="U252" s="186"/>
      <c r="V252" s="186"/>
      <c r="W252" s="186"/>
      <c r="X252" s="186"/>
      <c r="Y252" s="186"/>
      <c r="Z252" s="186"/>
      <c r="AA252" s="186"/>
      <c r="AB252" s="186"/>
    </row>
    <row r="253" spans="1:28" x14ac:dyDescent="0.25">
      <c r="B253" s="14" t="s">
        <v>7</v>
      </c>
      <c r="C253" s="42"/>
      <c r="D253" s="42"/>
      <c r="E253" s="14"/>
      <c r="F253" s="24"/>
      <c r="G253" s="14"/>
      <c r="H253" s="22"/>
      <c r="I253" s="57"/>
      <c r="J253" s="57"/>
      <c r="K253" s="57"/>
      <c r="M253" s="186"/>
      <c r="N253" s="186"/>
      <c r="O253" s="186"/>
      <c r="P253" s="186"/>
      <c r="Q253" s="186"/>
      <c r="R253" s="186"/>
      <c r="S253" s="186"/>
      <c r="T253" s="186"/>
      <c r="U253" s="186"/>
      <c r="V253" s="186"/>
      <c r="W253" s="186"/>
      <c r="X253" s="186"/>
      <c r="Y253" s="186"/>
      <c r="Z253" s="186"/>
      <c r="AA253" s="186"/>
      <c r="AB253" s="186"/>
    </row>
    <row r="254" spans="1:28" x14ac:dyDescent="0.25">
      <c r="B254" s="14" t="s">
        <v>8</v>
      </c>
      <c r="C254" s="25"/>
      <c r="D254" s="25"/>
      <c r="E254" s="14"/>
      <c r="F254" s="24"/>
      <c r="G254" s="14"/>
      <c r="H254" s="22"/>
      <c r="I254" s="57"/>
      <c r="J254" s="57"/>
      <c r="K254" s="57"/>
      <c r="M254" s="186"/>
      <c r="N254" s="186"/>
      <c r="O254" s="186"/>
      <c r="P254" s="186"/>
      <c r="Q254" s="186"/>
      <c r="R254" s="186"/>
      <c r="S254" s="186"/>
      <c r="T254" s="186"/>
      <c r="U254" s="186"/>
      <c r="V254" s="186"/>
      <c r="W254" s="186"/>
      <c r="X254" s="186"/>
      <c r="Y254" s="186"/>
      <c r="Z254" s="186"/>
      <c r="AA254" s="186"/>
      <c r="AB254" s="186"/>
    </row>
    <row r="255" spans="1:28" x14ac:dyDescent="0.25">
      <c r="B255" s="13" t="s">
        <v>26</v>
      </c>
      <c r="C255" s="32"/>
      <c r="D255" s="32"/>
      <c r="E255" s="415">
        <v>2</v>
      </c>
      <c r="H255" s="22"/>
      <c r="I255" s="57"/>
      <c r="J255" s="57"/>
      <c r="K255" s="57"/>
      <c r="M255" s="186"/>
      <c r="N255" s="186"/>
      <c r="O255" s="186"/>
      <c r="P255" s="186"/>
      <c r="Q255" s="186"/>
      <c r="R255" s="186"/>
      <c r="S255" s="186"/>
      <c r="T255" s="186"/>
      <c r="U255" s="186"/>
      <c r="V255" s="186"/>
      <c r="W255" s="186"/>
      <c r="X255" s="186"/>
      <c r="Y255" s="186"/>
      <c r="Z255" s="186"/>
      <c r="AA255" s="186"/>
      <c r="AB255" s="186"/>
    </row>
    <row r="256" spans="1:28" x14ac:dyDescent="0.25">
      <c r="H256" s="22"/>
      <c r="I256" s="57"/>
      <c r="J256" s="57"/>
      <c r="K256" s="57"/>
      <c r="M256" s="186"/>
      <c r="N256" s="186"/>
      <c r="O256" s="186"/>
      <c r="P256" s="186"/>
      <c r="Q256" s="186"/>
      <c r="R256" s="186"/>
      <c r="S256" s="186"/>
      <c r="T256" s="186"/>
      <c r="U256" s="186"/>
      <c r="V256" s="186"/>
      <c r="W256" s="186"/>
      <c r="X256" s="186"/>
      <c r="Y256" s="186"/>
      <c r="Z256" s="186"/>
      <c r="AA256" s="186"/>
      <c r="AB256" s="186"/>
    </row>
    <row r="257" spans="1:28" ht="30" x14ac:dyDescent="0.25">
      <c r="B257" s="13" t="s">
        <v>162</v>
      </c>
      <c r="C257" s="13" t="s">
        <v>11</v>
      </c>
      <c r="D257" s="13" t="s">
        <v>12</v>
      </c>
      <c r="E257" s="13" t="s">
        <v>13</v>
      </c>
      <c r="F257" s="13" t="s">
        <v>14</v>
      </c>
      <c r="G257" s="13" t="s">
        <v>0</v>
      </c>
      <c r="H257" s="22"/>
      <c r="I257" s="57"/>
      <c r="J257" s="57"/>
      <c r="K257" s="57"/>
      <c r="M257" s="186"/>
      <c r="N257" s="186"/>
      <c r="O257" s="186"/>
      <c r="P257" s="186"/>
      <c r="Q257" s="186"/>
      <c r="R257" s="186"/>
      <c r="S257" s="186"/>
      <c r="T257" s="186"/>
      <c r="U257" s="186"/>
      <c r="V257" s="186"/>
      <c r="W257" s="186"/>
      <c r="X257" s="186"/>
      <c r="Y257" s="186"/>
      <c r="Z257" s="186"/>
      <c r="AA257" s="186"/>
      <c r="AB257" s="186"/>
    </row>
    <row r="258" spans="1:28" x14ac:dyDescent="0.25">
      <c r="B258" s="14" t="s">
        <v>2</v>
      </c>
      <c r="C258" s="33"/>
      <c r="D258" s="25"/>
      <c r="E258" s="14"/>
      <c r="F258" s="24"/>
      <c r="G258" s="14"/>
      <c r="H258" s="22"/>
      <c r="I258" s="57"/>
      <c r="J258" s="57"/>
      <c r="K258" s="57"/>
      <c r="M258" s="186"/>
      <c r="N258" s="186"/>
      <c r="O258" s="186"/>
      <c r="P258" s="186"/>
      <c r="Q258" s="186"/>
      <c r="R258" s="186"/>
      <c r="S258" s="186"/>
      <c r="T258" s="186"/>
      <c r="U258" s="186"/>
      <c r="V258" s="186"/>
      <c r="W258" s="186"/>
      <c r="X258" s="186"/>
      <c r="Y258" s="186"/>
      <c r="Z258" s="186"/>
      <c r="AA258" s="186"/>
      <c r="AB258" s="186"/>
    </row>
    <row r="259" spans="1:28" ht="30" x14ac:dyDescent="0.25">
      <c r="A259" s="43" t="s">
        <v>422</v>
      </c>
      <c r="B259" s="14" t="s">
        <v>3</v>
      </c>
      <c r="C259" s="26"/>
      <c r="D259" s="26"/>
      <c r="H259" s="22"/>
      <c r="I259" s="57"/>
      <c r="J259" s="57"/>
      <c r="K259" s="57"/>
      <c r="M259" s="186"/>
      <c r="N259" s="186"/>
      <c r="O259" s="186"/>
      <c r="P259" s="186"/>
      <c r="Q259" s="186"/>
      <c r="R259" s="186"/>
      <c r="S259" s="186"/>
      <c r="T259" s="186"/>
      <c r="U259" s="186"/>
      <c r="V259" s="186"/>
      <c r="W259" s="186"/>
      <c r="X259" s="186"/>
      <c r="Y259" s="186"/>
      <c r="Z259" s="186"/>
      <c r="AA259" s="186"/>
      <c r="AB259" s="186"/>
    </row>
    <row r="260" spans="1:28" x14ac:dyDescent="0.25">
      <c r="B260" s="14" t="s">
        <v>4</v>
      </c>
      <c r="C260" s="26"/>
      <c r="D260" s="26"/>
      <c r="G260" s="14"/>
      <c r="H260" s="22"/>
      <c r="I260" s="57"/>
      <c r="J260" s="57"/>
      <c r="K260" s="57"/>
      <c r="M260" s="186"/>
      <c r="N260" s="186"/>
      <c r="O260" s="186"/>
      <c r="P260" s="186"/>
      <c r="Q260" s="186"/>
      <c r="R260" s="186"/>
      <c r="S260" s="186"/>
      <c r="T260" s="186"/>
      <c r="U260" s="186"/>
      <c r="V260" s="186"/>
      <c r="W260" s="186"/>
      <c r="X260" s="186"/>
      <c r="Y260" s="186"/>
      <c r="Z260" s="186"/>
      <c r="AA260" s="186"/>
      <c r="AB260" s="186"/>
    </row>
    <row r="261" spans="1:28" x14ac:dyDescent="0.25">
      <c r="B261" s="14" t="s">
        <v>5</v>
      </c>
      <c r="C261" s="25"/>
      <c r="D261" s="25"/>
      <c r="E261" s="14"/>
      <c r="F261" s="24"/>
      <c r="G261" s="14"/>
      <c r="H261" s="22"/>
      <c r="I261" s="57"/>
      <c r="J261" s="57"/>
      <c r="K261" s="57"/>
      <c r="M261" s="186"/>
      <c r="N261" s="186"/>
      <c r="O261" s="186"/>
      <c r="P261" s="186"/>
      <c r="Q261" s="186"/>
      <c r="R261" s="186"/>
      <c r="S261" s="186"/>
      <c r="T261" s="186"/>
      <c r="U261" s="186"/>
      <c r="V261" s="186"/>
      <c r="W261" s="186"/>
      <c r="X261" s="186"/>
      <c r="Y261" s="186"/>
      <c r="Z261" s="186"/>
      <c r="AA261" s="186"/>
      <c r="AB261" s="186"/>
    </row>
    <row r="262" spans="1:28" x14ac:dyDescent="0.25">
      <c r="B262" s="14" t="s">
        <v>6</v>
      </c>
      <c r="C262" s="42"/>
      <c r="D262" s="42"/>
      <c r="E262" s="14"/>
      <c r="G262" s="24"/>
      <c r="H262" s="22"/>
      <c r="I262" s="57"/>
      <c r="J262" s="57"/>
      <c r="K262" s="57"/>
      <c r="M262" s="186"/>
      <c r="N262" s="186"/>
      <c r="O262" s="186"/>
      <c r="P262" s="186"/>
      <c r="Q262" s="186"/>
      <c r="R262" s="186"/>
      <c r="S262" s="186"/>
      <c r="T262" s="186"/>
      <c r="U262" s="186"/>
      <c r="V262" s="186"/>
      <c r="W262" s="186"/>
      <c r="X262" s="186"/>
      <c r="Y262" s="186"/>
      <c r="Z262" s="186"/>
      <c r="AA262" s="186"/>
      <c r="AB262" s="186"/>
    </row>
    <row r="263" spans="1:28" x14ac:dyDescent="0.25">
      <c r="B263" s="14" t="s">
        <v>7</v>
      </c>
      <c r="C263" s="42"/>
      <c r="D263" s="42"/>
      <c r="E263" s="14"/>
      <c r="F263" s="24"/>
      <c r="G263" s="14"/>
      <c r="H263" s="22"/>
      <c r="I263" s="57"/>
      <c r="J263" s="57"/>
      <c r="K263" s="57"/>
      <c r="M263" s="186"/>
      <c r="N263" s="186"/>
      <c r="O263" s="186"/>
      <c r="P263" s="186"/>
      <c r="Q263" s="186"/>
      <c r="R263" s="186"/>
      <c r="S263" s="186"/>
      <c r="T263" s="186"/>
      <c r="U263" s="186"/>
      <c r="V263" s="186"/>
      <c r="W263" s="186"/>
      <c r="X263" s="186"/>
      <c r="Y263" s="186"/>
      <c r="Z263" s="186"/>
      <c r="AA263" s="186"/>
      <c r="AB263" s="186"/>
    </row>
    <row r="264" spans="1:28" x14ac:dyDescent="0.25">
      <c r="A264" s="21"/>
      <c r="B264" s="14" t="s">
        <v>8</v>
      </c>
      <c r="C264" s="25"/>
      <c r="D264" s="25"/>
      <c r="E264" s="14"/>
      <c r="F264" s="24"/>
      <c r="G264" s="14"/>
      <c r="H264" s="22"/>
      <c r="I264" s="57"/>
      <c r="J264" s="57"/>
      <c r="K264" s="57"/>
      <c r="M264" s="186"/>
      <c r="N264" s="186"/>
      <c r="O264" s="186"/>
      <c r="P264" s="186"/>
      <c r="Q264" s="186"/>
      <c r="R264" s="186"/>
      <c r="S264" s="186"/>
      <c r="T264" s="186"/>
      <c r="U264" s="186"/>
      <c r="V264" s="186"/>
      <c r="W264" s="186"/>
      <c r="X264" s="186"/>
      <c r="Y264" s="186"/>
      <c r="Z264" s="186"/>
      <c r="AA264" s="186"/>
      <c r="AB264" s="186"/>
    </row>
    <row r="265" spans="1:28" x14ac:dyDescent="0.25">
      <c r="B265" s="13" t="s">
        <v>26</v>
      </c>
      <c r="C265" s="32"/>
      <c r="D265" s="32"/>
      <c r="E265" s="415">
        <v>7</v>
      </c>
      <c r="F265" s="115" t="s">
        <v>393</v>
      </c>
      <c r="G265" s="145" t="s">
        <v>397</v>
      </c>
      <c r="H265" s="22"/>
      <c r="I265" s="57"/>
      <c r="J265" s="57"/>
      <c r="K265" s="57"/>
      <c r="M265" s="186"/>
      <c r="N265" s="186"/>
      <c r="O265" s="186"/>
      <c r="P265" s="186"/>
      <c r="Q265" s="186"/>
      <c r="R265" s="186"/>
      <c r="S265" s="186"/>
      <c r="T265" s="186"/>
      <c r="U265" s="186"/>
      <c r="V265" s="186"/>
      <c r="W265" s="186"/>
      <c r="X265" s="186"/>
      <c r="Y265" s="186"/>
      <c r="Z265" s="186"/>
      <c r="AA265" s="186"/>
      <c r="AB265" s="186"/>
    </row>
    <row r="266" spans="1:28" x14ac:dyDescent="0.25">
      <c r="A266" s="313" t="s">
        <v>334</v>
      </c>
      <c r="B266" s="35" t="s">
        <v>227</v>
      </c>
      <c r="C266" s="40"/>
      <c r="D266" s="41"/>
      <c r="E266" s="18">
        <f>SUM(E265+E255)</f>
        <v>9</v>
      </c>
      <c r="F266" s="416">
        <v>10</v>
      </c>
      <c r="G266" s="417">
        <f>SUM(E266+G245)-F266</f>
        <v>0</v>
      </c>
      <c r="H266" s="43" t="s">
        <v>422</v>
      </c>
      <c r="I266" s="57"/>
      <c r="J266" s="57"/>
      <c r="K266" s="57"/>
      <c r="M266" s="186"/>
      <c r="N266" s="186"/>
      <c r="O266" s="186"/>
      <c r="P266" s="186"/>
      <c r="Q266" s="186"/>
      <c r="R266" s="186"/>
      <c r="S266" s="186"/>
      <c r="T266" s="186"/>
      <c r="U266" s="186"/>
      <c r="V266" s="186"/>
      <c r="W266" s="186"/>
      <c r="X266" s="186"/>
      <c r="Y266" s="186"/>
      <c r="Z266" s="186"/>
      <c r="AA266" s="186"/>
      <c r="AB266" s="186"/>
    </row>
    <row r="267" spans="1:28" x14ac:dyDescent="0.25">
      <c r="H267" s="22"/>
      <c r="I267" s="57"/>
      <c r="J267" s="57"/>
      <c r="K267" s="57"/>
      <c r="M267" s="186"/>
      <c r="N267" s="186"/>
      <c r="O267" s="186"/>
      <c r="P267" s="186"/>
      <c r="Q267" s="186"/>
      <c r="R267" s="186"/>
      <c r="S267" s="186"/>
      <c r="T267" s="186"/>
      <c r="U267" s="186"/>
      <c r="V267" s="186"/>
      <c r="W267" s="186"/>
      <c r="X267" s="186"/>
      <c r="Y267" s="186"/>
      <c r="Z267" s="186"/>
      <c r="AA267" s="186"/>
      <c r="AB267" s="186"/>
    </row>
    <row r="268" spans="1:28" ht="30" x14ac:dyDescent="0.25">
      <c r="B268" s="13" t="s">
        <v>161</v>
      </c>
      <c r="C268" s="13" t="s">
        <v>11</v>
      </c>
      <c r="D268" s="13" t="s">
        <v>12</v>
      </c>
      <c r="E268" s="13" t="s">
        <v>13</v>
      </c>
      <c r="F268" s="13" t="s">
        <v>14</v>
      </c>
      <c r="G268" s="13" t="s">
        <v>0</v>
      </c>
      <c r="H268" s="22"/>
      <c r="I268" s="57"/>
      <c r="J268" s="57"/>
      <c r="K268" s="57"/>
      <c r="M268" s="186"/>
      <c r="N268" s="186"/>
      <c r="O268" s="186"/>
      <c r="P268" s="186"/>
      <c r="Q268" s="186"/>
      <c r="R268" s="186"/>
      <c r="S268" s="186"/>
      <c r="T268" s="186"/>
      <c r="U268" s="186"/>
      <c r="V268" s="186"/>
      <c r="W268" s="186"/>
      <c r="X268" s="186"/>
      <c r="Y268" s="186"/>
      <c r="Z268" s="186"/>
      <c r="AA268" s="186"/>
      <c r="AB268" s="186"/>
    </row>
    <row r="269" spans="1:28" x14ac:dyDescent="0.25">
      <c r="B269" s="14" t="s">
        <v>2</v>
      </c>
      <c r="C269" s="33"/>
      <c r="D269" s="25"/>
      <c r="E269" s="14"/>
      <c r="F269" s="24"/>
      <c r="G269" s="14"/>
      <c r="H269" s="22"/>
      <c r="I269" s="57"/>
      <c r="J269" s="57"/>
      <c r="K269" s="57"/>
      <c r="M269" s="186"/>
      <c r="N269" s="186"/>
      <c r="O269" s="186"/>
      <c r="P269" s="186"/>
      <c r="Q269" s="186"/>
      <c r="R269" s="186"/>
      <c r="S269" s="186"/>
      <c r="T269" s="186"/>
      <c r="U269" s="186"/>
      <c r="V269" s="186"/>
      <c r="W269" s="186"/>
      <c r="X269" s="186"/>
      <c r="Y269" s="186"/>
      <c r="Z269" s="186"/>
      <c r="AA269" s="186"/>
      <c r="AB269" s="186"/>
    </row>
    <row r="270" spans="1:28" x14ac:dyDescent="0.25">
      <c r="B270" s="14" t="s">
        <v>3</v>
      </c>
      <c r="C270" s="26"/>
      <c r="D270" s="26"/>
      <c r="H270" s="22"/>
      <c r="I270" s="57"/>
      <c r="J270" s="57"/>
      <c r="K270" s="57"/>
      <c r="M270" s="186"/>
      <c r="N270" s="186"/>
      <c r="O270" s="186"/>
      <c r="P270" s="186"/>
      <c r="Q270" s="186"/>
      <c r="R270" s="186"/>
      <c r="S270" s="186"/>
      <c r="T270" s="186"/>
      <c r="U270" s="186"/>
      <c r="V270" s="186"/>
      <c r="W270" s="186"/>
      <c r="X270" s="186"/>
      <c r="Y270" s="186"/>
      <c r="Z270" s="186"/>
      <c r="AA270" s="186"/>
      <c r="AB270" s="186"/>
    </row>
    <row r="271" spans="1:28" x14ac:dyDescent="0.25">
      <c r="B271" s="14" t="s">
        <v>4</v>
      </c>
      <c r="C271" s="26"/>
      <c r="D271" s="26"/>
      <c r="G271" s="14"/>
      <c r="H271" s="22"/>
      <c r="I271" s="57"/>
      <c r="J271" s="57"/>
      <c r="K271" s="57"/>
      <c r="M271" s="186"/>
      <c r="N271" s="186"/>
      <c r="O271" s="186"/>
      <c r="P271" s="186"/>
      <c r="Q271" s="186"/>
      <c r="R271" s="186"/>
      <c r="S271" s="186"/>
      <c r="T271" s="186"/>
      <c r="U271" s="186"/>
      <c r="V271" s="186"/>
      <c r="W271" s="186"/>
      <c r="X271" s="186"/>
      <c r="Y271" s="186"/>
      <c r="Z271" s="186"/>
      <c r="AA271" s="186"/>
      <c r="AB271" s="186"/>
    </row>
    <row r="272" spans="1:28" x14ac:dyDescent="0.25">
      <c r="B272" s="14" t="s">
        <v>5</v>
      </c>
      <c r="C272" s="25"/>
      <c r="D272" s="25"/>
      <c r="E272" s="14"/>
      <c r="F272" s="24"/>
      <c r="G272" s="14"/>
      <c r="H272" s="22"/>
      <c r="I272" s="57"/>
      <c r="J272" s="57"/>
      <c r="K272" s="57"/>
      <c r="M272" s="186"/>
      <c r="N272" s="186"/>
      <c r="O272" s="186"/>
      <c r="P272" s="186"/>
      <c r="Q272" s="186"/>
      <c r="R272" s="186"/>
      <c r="S272" s="186"/>
      <c r="T272" s="186"/>
      <c r="U272" s="186"/>
      <c r="V272" s="186"/>
      <c r="W272" s="186"/>
      <c r="X272" s="186"/>
      <c r="Y272" s="186"/>
      <c r="Z272" s="186"/>
      <c r="AA272" s="186"/>
      <c r="AB272" s="186"/>
    </row>
    <row r="273" spans="1:28" x14ac:dyDescent="0.25">
      <c r="B273" s="14" t="s">
        <v>6</v>
      </c>
      <c r="C273" s="42"/>
      <c r="D273" s="42"/>
      <c r="E273" s="14"/>
      <c r="G273" s="24"/>
      <c r="H273" s="22"/>
      <c r="I273" s="57"/>
      <c r="J273" s="57"/>
      <c r="K273" s="57"/>
      <c r="M273" s="186"/>
      <c r="N273" s="186"/>
      <c r="O273" s="186"/>
      <c r="P273" s="186"/>
      <c r="Q273" s="186"/>
      <c r="R273" s="186"/>
      <c r="S273" s="186"/>
      <c r="T273" s="186"/>
      <c r="U273" s="186"/>
      <c r="V273" s="186"/>
      <c r="W273" s="186"/>
      <c r="X273" s="186"/>
      <c r="Y273" s="186"/>
      <c r="Z273" s="186"/>
      <c r="AA273" s="186"/>
      <c r="AB273" s="186"/>
    </row>
    <row r="274" spans="1:28" x14ac:dyDescent="0.25">
      <c r="B274" s="14" t="s">
        <v>7</v>
      </c>
      <c r="C274" s="42"/>
      <c r="D274" s="42"/>
      <c r="E274" s="14"/>
      <c r="F274" s="24"/>
      <c r="G274" s="14"/>
      <c r="H274" s="22"/>
      <c r="I274" s="57"/>
      <c r="J274" s="57"/>
      <c r="K274" s="57"/>
      <c r="M274" s="186"/>
      <c r="N274" s="186"/>
      <c r="O274" s="186"/>
      <c r="P274" s="186"/>
      <c r="Q274" s="186"/>
      <c r="R274" s="186"/>
      <c r="S274" s="186"/>
      <c r="T274" s="186"/>
      <c r="U274" s="186"/>
      <c r="V274" s="186"/>
      <c r="W274" s="186"/>
      <c r="X274" s="186"/>
      <c r="Y274" s="186"/>
      <c r="Z274" s="186"/>
      <c r="AA274" s="186"/>
      <c r="AB274" s="186"/>
    </row>
    <row r="275" spans="1:28" x14ac:dyDescent="0.25">
      <c r="B275" s="14" t="s">
        <v>8</v>
      </c>
      <c r="C275" s="25"/>
      <c r="D275" s="25"/>
      <c r="E275" s="14"/>
      <c r="F275" s="24"/>
      <c r="G275" s="14"/>
      <c r="H275" s="22"/>
      <c r="I275" s="57"/>
      <c r="J275" s="57"/>
      <c r="K275" s="57"/>
      <c r="M275" s="186"/>
      <c r="N275" s="186"/>
      <c r="O275" s="186"/>
      <c r="P275" s="186"/>
      <c r="Q275" s="186"/>
      <c r="R275" s="186"/>
      <c r="S275" s="186"/>
      <c r="T275" s="186"/>
      <c r="U275" s="186"/>
      <c r="V275" s="186"/>
      <c r="W275" s="186"/>
      <c r="X275" s="186"/>
      <c r="Y275" s="186"/>
      <c r="Z275" s="186"/>
      <c r="AA275" s="186"/>
      <c r="AB275" s="186"/>
    </row>
    <row r="276" spans="1:28" x14ac:dyDescent="0.25">
      <c r="B276" s="13" t="s">
        <v>26</v>
      </c>
      <c r="C276" s="32"/>
      <c r="D276" s="32"/>
      <c r="E276" s="415">
        <v>15</v>
      </c>
      <c r="H276" s="22"/>
      <c r="I276" s="57"/>
      <c r="J276" s="57"/>
      <c r="K276" s="57"/>
      <c r="M276" s="186"/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86"/>
      <c r="AA276" s="186"/>
      <c r="AB276" s="186"/>
    </row>
    <row r="277" spans="1:28" x14ac:dyDescent="0.25">
      <c r="H277" s="22"/>
      <c r="I277" s="57"/>
      <c r="J277" s="57"/>
      <c r="K277" s="57"/>
      <c r="M277" s="186"/>
      <c r="N277" s="186"/>
      <c r="O277" s="186"/>
      <c r="P277" s="186"/>
      <c r="Q277" s="186"/>
      <c r="R277" s="186"/>
      <c r="S277" s="186"/>
      <c r="T277" s="186"/>
      <c r="U277" s="186"/>
      <c r="V277" s="186"/>
      <c r="W277" s="186"/>
      <c r="X277" s="186"/>
      <c r="Y277" s="186"/>
      <c r="Z277" s="186"/>
      <c r="AA277" s="186"/>
      <c r="AB277" s="186"/>
    </row>
    <row r="278" spans="1:28" ht="30" x14ac:dyDescent="0.25">
      <c r="B278" s="13" t="s">
        <v>163</v>
      </c>
      <c r="C278" s="13" t="s">
        <v>11</v>
      </c>
      <c r="D278" s="13" t="s">
        <v>12</v>
      </c>
      <c r="E278" s="13" t="s">
        <v>13</v>
      </c>
      <c r="F278" s="13" t="s">
        <v>14</v>
      </c>
      <c r="G278" s="13" t="s">
        <v>0</v>
      </c>
      <c r="H278" s="22"/>
      <c r="I278" s="57"/>
      <c r="J278" s="57"/>
      <c r="K278" s="57"/>
      <c r="M278" s="186"/>
      <c r="N278" s="186"/>
      <c r="O278" s="186"/>
      <c r="P278" s="186"/>
      <c r="Q278" s="186"/>
      <c r="R278" s="186"/>
      <c r="S278" s="186"/>
      <c r="T278" s="186"/>
      <c r="U278" s="186"/>
      <c r="V278" s="186"/>
      <c r="W278" s="186"/>
      <c r="X278" s="186"/>
      <c r="Y278" s="186"/>
      <c r="Z278" s="186"/>
      <c r="AA278" s="186"/>
      <c r="AB278" s="186"/>
    </row>
    <row r="279" spans="1:28" x14ac:dyDescent="0.25">
      <c r="B279" s="14" t="s">
        <v>2</v>
      </c>
      <c r="C279" s="33"/>
      <c r="D279" s="25"/>
      <c r="E279" s="14"/>
      <c r="F279" s="24"/>
      <c r="G279" s="14"/>
      <c r="H279" s="22"/>
      <c r="I279" s="57"/>
      <c r="J279" s="57"/>
      <c r="K279" s="57"/>
      <c r="M279" s="186"/>
      <c r="N279" s="186"/>
      <c r="O279" s="186"/>
      <c r="P279" s="186"/>
      <c r="Q279" s="186"/>
      <c r="R279" s="186"/>
      <c r="S279" s="186"/>
      <c r="T279" s="186"/>
      <c r="U279" s="186"/>
      <c r="V279" s="186"/>
      <c r="W279" s="186"/>
      <c r="X279" s="186"/>
      <c r="Y279" s="186"/>
      <c r="Z279" s="186"/>
      <c r="AA279" s="186"/>
      <c r="AB279" s="186"/>
    </row>
    <row r="280" spans="1:28" x14ac:dyDescent="0.25">
      <c r="B280" s="14" t="s">
        <v>3</v>
      </c>
      <c r="C280" s="26"/>
      <c r="D280" s="26"/>
      <c r="H280" s="22"/>
      <c r="I280" s="57"/>
      <c r="J280" s="57"/>
      <c r="K280" s="57"/>
      <c r="M280" s="186"/>
      <c r="N280" s="186"/>
      <c r="O280" s="186"/>
      <c r="P280" s="186"/>
      <c r="Q280" s="186"/>
      <c r="R280" s="186"/>
      <c r="S280" s="186"/>
      <c r="T280" s="186"/>
      <c r="U280" s="186"/>
      <c r="V280" s="186"/>
      <c r="W280" s="186"/>
      <c r="X280" s="186"/>
      <c r="Y280" s="186"/>
      <c r="Z280" s="186"/>
      <c r="AA280" s="186"/>
      <c r="AB280" s="186"/>
    </row>
    <row r="281" spans="1:28" x14ac:dyDescent="0.25">
      <c r="B281" s="14" t="s">
        <v>4</v>
      </c>
      <c r="C281" s="26"/>
      <c r="D281" s="26"/>
      <c r="G281" s="14"/>
      <c r="H281" s="22"/>
      <c r="I281" s="57"/>
      <c r="J281" s="57"/>
      <c r="K281" s="57"/>
      <c r="M281" s="186"/>
      <c r="N281" s="186"/>
      <c r="O281" s="186"/>
      <c r="P281" s="186"/>
      <c r="Q281" s="186"/>
      <c r="R281" s="186"/>
      <c r="S281" s="186"/>
      <c r="T281" s="186"/>
      <c r="U281" s="186"/>
      <c r="V281" s="186"/>
      <c r="W281" s="186"/>
      <c r="X281" s="186"/>
      <c r="Y281" s="186"/>
      <c r="Z281" s="186"/>
      <c r="AA281" s="186"/>
      <c r="AB281" s="186"/>
    </row>
    <row r="282" spans="1:28" x14ac:dyDescent="0.25">
      <c r="B282" s="14" t="s">
        <v>5</v>
      </c>
      <c r="C282" s="25"/>
      <c r="D282" s="25"/>
      <c r="E282" s="14"/>
      <c r="F282" s="24"/>
      <c r="G282" s="14"/>
      <c r="H282" s="22"/>
      <c r="I282" s="57"/>
      <c r="J282" s="57"/>
      <c r="K282" s="57"/>
      <c r="M282" s="186"/>
      <c r="N282" s="186"/>
      <c r="O282" s="186"/>
      <c r="P282" s="186"/>
      <c r="Q282" s="186"/>
      <c r="R282" s="186"/>
      <c r="S282" s="186"/>
      <c r="T282" s="186"/>
      <c r="U282" s="186"/>
      <c r="V282" s="186"/>
      <c r="W282" s="186"/>
      <c r="X282" s="186"/>
      <c r="Y282" s="186"/>
      <c r="Z282" s="186"/>
      <c r="AA282" s="186"/>
      <c r="AB282" s="186"/>
    </row>
    <row r="283" spans="1:28" x14ac:dyDescent="0.25">
      <c r="B283" s="14" t="s">
        <v>6</v>
      </c>
      <c r="C283" s="42"/>
      <c r="D283" s="42"/>
      <c r="E283" s="14"/>
      <c r="G283" s="24"/>
      <c r="H283" s="22"/>
      <c r="I283" s="57"/>
      <c r="J283" s="57"/>
      <c r="K283" s="57"/>
      <c r="M283" s="186"/>
      <c r="N283" s="186"/>
      <c r="O283" s="186"/>
      <c r="P283" s="186"/>
      <c r="Q283" s="186"/>
      <c r="R283" s="186"/>
      <c r="S283" s="186"/>
      <c r="T283" s="186"/>
      <c r="U283" s="186"/>
      <c r="V283" s="186"/>
      <c r="W283" s="186"/>
      <c r="X283" s="186"/>
      <c r="Y283" s="186"/>
      <c r="Z283" s="186"/>
      <c r="AA283" s="186"/>
      <c r="AB283" s="186"/>
    </row>
    <row r="284" spans="1:28" x14ac:dyDescent="0.25">
      <c r="B284" s="14" t="s">
        <v>7</v>
      </c>
      <c r="C284" s="42"/>
      <c r="D284" s="42"/>
      <c r="E284" s="14"/>
      <c r="F284" s="24"/>
      <c r="G284" s="14"/>
      <c r="H284" s="22"/>
      <c r="I284" s="57"/>
      <c r="J284" s="57"/>
      <c r="K284" s="57"/>
      <c r="M284" s="186"/>
      <c r="N284" s="186"/>
      <c r="O284" s="186"/>
      <c r="P284" s="186"/>
      <c r="Q284" s="186"/>
      <c r="R284" s="186"/>
      <c r="S284" s="186"/>
      <c r="T284" s="186"/>
      <c r="U284" s="186"/>
      <c r="V284" s="186"/>
      <c r="W284" s="186"/>
      <c r="X284" s="186"/>
      <c r="Y284" s="186"/>
      <c r="Z284" s="186"/>
      <c r="AA284" s="186"/>
      <c r="AB284" s="186"/>
    </row>
    <row r="285" spans="1:28" x14ac:dyDescent="0.25">
      <c r="A285" s="21"/>
      <c r="B285" s="14" t="s">
        <v>8</v>
      </c>
      <c r="C285" s="25"/>
      <c r="D285" s="25"/>
      <c r="E285" s="14"/>
      <c r="F285" s="24"/>
      <c r="G285" s="14"/>
      <c r="H285" s="22"/>
      <c r="I285" s="57"/>
      <c r="J285" s="57"/>
      <c r="K285" s="57"/>
      <c r="M285" s="186"/>
      <c r="N285" s="186"/>
      <c r="O285" s="186"/>
      <c r="P285" s="186"/>
      <c r="Q285" s="186"/>
      <c r="R285" s="186"/>
      <c r="S285" s="186"/>
      <c r="T285" s="186"/>
      <c r="U285" s="186"/>
      <c r="V285" s="186"/>
      <c r="W285" s="186"/>
      <c r="X285" s="186"/>
      <c r="Y285" s="186"/>
      <c r="Z285" s="186"/>
      <c r="AA285" s="186"/>
      <c r="AB285" s="186"/>
    </row>
    <row r="286" spans="1:28" x14ac:dyDescent="0.25">
      <c r="B286" s="13" t="s">
        <v>26</v>
      </c>
      <c r="C286" s="32"/>
      <c r="D286" s="32"/>
      <c r="E286" s="415">
        <v>15</v>
      </c>
      <c r="F286" s="115" t="s">
        <v>393</v>
      </c>
      <c r="G286" s="145" t="s">
        <v>397</v>
      </c>
      <c r="H286" s="22"/>
      <c r="I286" s="57"/>
      <c r="J286" s="57"/>
      <c r="K286" s="57"/>
      <c r="M286" s="186"/>
      <c r="N286" s="186"/>
      <c r="O286" s="186"/>
      <c r="P286" s="186"/>
      <c r="Q286" s="186"/>
      <c r="R286" s="186"/>
      <c r="S286" s="186"/>
      <c r="T286" s="186"/>
      <c r="U286" s="186"/>
      <c r="V286" s="186"/>
      <c r="W286" s="186"/>
      <c r="X286" s="186"/>
      <c r="Y286" s="186"/>
      <c r="Z286" s="186"/>
      <c r="AA286" s="186"/>
      <c r="AB286" s="186"/>
    </row>
    <row r="287" spans="1:28" x14ac:dyDescent="0.25">
      <c r="A287" s="313" t="s">
        <v>335</v>
      </c>
      <c r="B287" s="35" t="s">
        <v>227</v>
      </c>
      <c r="C287" s="40"/>
      <c r="D287" s="41"/>
      <c r="E287" s="18">
        <f>SUM(E286+E276)</f>
        <v>30</v>
      </c>
      <c r="F287" s="416">
        <v>30</v>
      </c>
      <c r="G287" s="417">
        <f>SUM(E287+G266)-F287</f>
        <v>0</v>
      </c>
      <c r="H287" s="43" t="s">
        <v>422</v>
      </c>
      <c r="I287" s="57"/>
      <c r="J287" s="57"/>
      <c r="K287" s="57"/>
      <c r="M287" s="186"/>
      <c r="N287" s="186"/>
      <c r="O287" s="186"/>
      <c r="P287" s="186"/>
      <c r="Q287" s="186"/>
      <c r="R287" s="186"/>
      <c r="S287" s="186"/>
      <c r="T287" s="186"/>
      <c r="U287" s="186"/>
      <c r="V287" s="186"/>
      <c r="W287" s="186"/>
      <c r="X287" s="186"/>
      <c r="Y287" s="186"/>
      <c r="Z287" s="186"/>
      <c r="AA287" s="186"/>
      <c r="AB287" s="186"/>
    </row>
    <row r="288" spans="1:28" x14ac:dyDescent="0.25">
      <c r="H288" s="22"/>
      <c r="I288" s="57"/>
      <c r="J288" s="57"/>
      <c r="K288" s="57"/>
      <c r="M288" s="186"/>
      <c r="N288" s="186"/>
      <c r="O288" s="186"/>
      <c r="P288" s="186"/>
      <c r="Q288" s="186"/>
      <c r="R288" s="186"/>
      <c r="S288" s="186"/>
      <c r="T288" s="186"/>
      <c r="U288" s="186"/>
      <c r="V288" s="186"/>
      <c r="W288" s="186"/>
      <c r="X288" s="186"/>
      <c r="Y288" s="186"/>
      <c r="Z288" s="186"/>
      <c r="AA288" s="186"/>
      <c r="AB288" s="186"/>
    </row>
    <row r="289" spans="2:28" ht="30" x14ac:dyDescent="0.25">
      <c r="B289" s="13" t="s">
        <v>164</v>
      </c>
      <c r="C289" s="13" t="s">
        <v>11</v>
      </c>
      <c r="D289" s="13" t="s">
        <v>12</v>
      </c>
      <c r="E289" s="13" t="s">
        <v>13</v>
      </c>
      <c r="F289" s="13" t="s">
        <v>14</v>
      </c>
      <c r="G289" s="13" t="s">
        <v>0</v>
      </c>
      <c r="H289" s="22"/>
      <c r="I289" s="57"/>
      <c r="J289" s="57"/>
      <c r="K289" s="57"/>
      <c r="M289" s="186"/>
      <c r="N289" s="186"/>
      <c r="O289" s="186"/>
      <c r="P289" s="186"/>
      <c r="Q289" s="186"/>
      <c r="R289" s="186"/>
      <c r="S289" s="186"/>
      <c r="T289" s="186"/>
      <c r="U289" s="186"/>
      <c r="V289" s="186"/>
      <c r="W289" s="186"/>
      <c r="X289" s="186"/>
      <c r="Y289" s="186"/>
      <c r="Z289" s="186"/>
      <c r="AA289" s="186"/>
      <c r="AB289" s="186"/>
    </row>
    <row r="290" spans="2:28" x14ac:dyDescent="0.25">
      <c r="B290" s="14" t="s">
        <v>2</v>
      </c>
      <c r="C290" s="33"/>
      <c r="D290" s="25"/>
      <c r="E290" s="14"/>
      <c r="F290" s="24"/>
      <c r="G290" s="14"/>
      <c r="H290" s="22"/>
      <c r="I290" s="57"/>
      <c r="J290" s="57"/>
      <c r="K290" s="57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  <c r="AA290" s="186"/>
      <c r="AB290" s="186"/>
    </row>
    <row r="291" spans="2:28" x14ac:dyDescent="0.25">
      <c r="B291" s="14" t="s">
        <v>3</v>
      </c>
      <c r="C291" s="26"/>
      <c r="D291" s="26"/>
      <c r="H291" s="22"/>
      <c r="I291" s="57"/>
      <c r="J291" s="57"/>
      <c r="K291" s="57"/>
      <c r="M291" s="186"/>
      <c r="N291" s="186"/>
      <c r="O291" s="186"/>
      <c r="P291" s="186"/>
      <c r="Q291" s="186"/>
      <c r="R291" s="186"/>
      <c r="S291" s="186"/>
      <c r="T291" s="186"/>
      <c r="U291" s="186"/>
      <c r="V291" s="186"/>
      <c r="W291" s="186"/>
      <c r="X291" s="186"/>
      <c r="Y291" s="186"/>
      <c r="Z291" s="186"/>
      <c r="AA291" s="186"/>
      <c r="AB291" s="186"/>
    </row>
    <row r="292" spans="2:28" x14ac:dyDescent="0.25">
      <c r="B292" s="14" t="s">
        <v>4</v>
      </c>
      <c r="C292" s="26"/>
      <c r="D292" s="26"/>
      <c r="G292" s="14"/>
      <c r="H292" s="22"/>
      <c r="I292" s="57"/>
      <c r="J292" s="57"/>
      <c r="K292" s="57"/>
      <c r="M292" s="186"/>
      <c r="N292" s="186"/>
      <c r="O292" s="186"/>
      <c r="P292" s="186"/>
      <c r="Q292" s="186"/>
      <c r="R292" s="186"/>
      <c r="S292" s="186"/>
      <c r="T292" s="186"/>
      <c r="U292" s="186"/>
      <c r="V292" s="186"/>
      <c r="W292" s="186"/>
      <c r="X292" s="186"/>
      <c r="Y292" s="186"/>
      <c r="Z292" s="186"/>
      <c r="AA292" s="186"/>
      <c r="AB292" s="186"/>
    </row>
    <row r="293" spans="2:28" x14ac:dyDescent="0.25">
      <c r="B293" s="14" t="s">
        <v>5</v>
      </c>
      <c r="C293" s="25"/>
      <c r="D293" s="25"/>
      <c r="E293" s="14"/>
      <c r="F293" s="24"/>
      <c r="G293" s="14"/>
      <c r="H293" s="22"/>
      <c r="I293" s="57"/>
      <c r="J293" s="57"/>
      <c r="K293" s="57"/>
      <c r="M293" s="186"/>
      <c r="N293" s="186"/>
      <c r="O293" s="186"/>
      <c r="P293" s="186"/>
      <c r="Q293" s="186"/>
      <c r="R293" s="186"/>
      <c r="S293" s="186"/>
      <c r="T293" s="186"/>
      <c r="U293" s="186"/>
      <c r="V293" s="186"/>
      <c r="W293" s="186"/>
      <c r="X293" s="186"/>
      <c r="Y293" s="186"/>
      <c r="Z293" s="186"/>
      <c r="AA293" s="186"/>
      <c r="AB293" s="186"/>
    </row>
    <row r="294" spans="2:28" x14ac:dyDescent="0.25">
      <c r="B294" s="14" t="s">
        <v>6</v>
      </c>
      <c r="C294" s="42"/>
      <c r="D294" s="42"/>
      <c r="E294" s="14"/>
      <c r="G294" s="24"/>
      <c r="H294" s="22"/>
      <c r="I294" s="57"/>
      <c r="J294" s="57"/>
      <c r="K294" s="57"/>
      <c r="M294" s="186"/>
      <c r="N294" s="186"/>
      <c r="O294" s="186"/>
      <c r="P294" s="186"/>
      <c r="Q294" s="186"/>
      <c r="R294" s="186"/>
      <c r="S294" s="186"/>
      <c r="T294" s="186"/>
      <c r="U294" s="186"/>
      <c r="V294" s="186"/>
      <c r="W294" s="186"/>
      <c r="X294" s="186"/>
      <c r="Y294" s="186"/>
      <c r="Z294" s="186"/>
      <c r="AA294" s="186"/>
      <c r="AB294" s="186"/>
    </row>
    <row r="295" spans="2:28" x14ac:dyDescent="0.25">
      <c r="B295" s="14" t="s">
        <v>7</v>
      </c>
      <c r="C295" s="42"/>
      <c r="D295" s="42"/>
      <c r="E295" s="14"/>
      <c r="F295" s="24"/>
      <c r="G295" s="14"/>
      <c r="H295" s="22"/>
      <c r="I295" s="57"/>
      <c r="J295" s="57"/>
      <c r="K295" s="57"/>
      <c r="M295" s="186"/>
      <c r="N295" s="186"/>
      <c r="O295" s="186"/>
      <c r="P295" s="186"/>
      <c r="Q295" s="186"/>
      <c r="R295" s="186"/>
      <c r="S295" s="186"/>
      <c r="T295" s="186"/>
      <c r="U295" s="186"/>
      <c r="V295" s="186"/>
      <c r="W295" s="186"/>
      <c r="X295" s="186"/>
      <c r="Y295" s="186"/>
      <c r="Z295" s="186"/>
      <c r="AA295" s="186"/>
      <c r="AB295" s="186"/>
    </row>
    <row r="296" spans="2:28" x14ac:dyDescent="0.25">
      <c r="B296" s="14" t="s">
        <v>8</v>
      </c>
      <c r="C296" s="25"/>
      <c r="D296" s="25"/>
      <c r="E296" s="14"/>
      <c r="F296" s="24"/>
      <c r="G296" s="14"/>
      <c r="H296" s="22"/>
      <c r="I296" s="57"/>
      <c r="J296" s="57"/>
      <c r="K296" s="57"/>
      <c r="M296" s="186"/>
      <c r="N296" s="186"/>
      <c r="O296" s="186"/>
      <c r="P296" s="186"/>
      <c r="Q296" s="186"/>
      <c r="R296" s="186"/>
      <c r="S296" s="186"/>
      <c r="T296" s="186"/>
      <c r="U296" s="186"/>
      <c r="V296" s="186"/>
      <c r="W296" s="186"/>
      <c r="X296" s="186"/>
      <c r="Y296" s="186"/>
      <c r="Z296" s="186"/>
      <c r="AA296" s="186"/>
      <c r="AB296" s="186"/>
    </row>
    <row r="297" spans="2:28" x14ac:dyDescent="0.25">
      <c r="B297" s="13" t="s">
        <v>26</v>
      </c>
      <c r="C297" s="32"/>
      <c r="D297" s="32"/>
      <c r="E297" s="415">
        <v>15</v>
      </c>
      <c r="H297" s="22"/>
      <c r="I297" s="57"/>
      <c r="J297" s="57"/>
      <c r="K297" s="57"/>
      <c r="M297" s="186"/>
      <c r="N297" s="186"/>
      <c r="O297" s="186"/>
      <c r="P297" s="186"/>
      <c r="Q297" s="186"/>
      <c r="R297" s="186"/>
      <c r="S297" s="186"/>
      <c r="T297" s="186"/>
      <c r="U297" s="186"/>
      <c r="V297" s="186"/>
      <c r="W297" s="186"/>
      <c r="X297" s="186"/>
      <c r="Y297" s="186"/>
      <c r="Z297" s="186"/>
      <c r="AA297" s="186"/>
      <c r="AB297" s="186"/>
    </row>
    <row r="298" spans="2:28" x14ac:dyDescent="0.25">
      <c r="H298" s="22"/>
      <c r="I298" s="57"/>
      <c r="J298" s="57"/>
      <c r="K298" s="57"/>
      <c r="M298" s="186"/>
      <c r="N298" s="186"/>
      <c r="O298" s="186"/>
      <c r="P298" s="186"/>
      <c r="Q298" s="186"/>
      <c r="R298" s="186"/>
      <c r="S298" s="186"/>
      <c r="T298" s="186"/>
      <c r="U298" s="186"/>
      <c r="V298" s="186"/>
      <c r="W298" s="186"/>
      <c r="X298" s="186"/>
      <c r="Y298" s="186"/>
      <c r="Z298" s="186"/>
      <c r="AA298" s="186"/>
      <c r="AB298" s="186"/>
    </row>
    <row r="299" spans="2:28" ht="30" x14ac:dyDescent="0.25">
      <c r="B299" s="13" t="s">
        <v>165</v>
      </c>
      <c r="C299" s="13" t="s">
        <v>11</v>
      </c>
      <c r="D299" s="13" t="s">
        <v>12</v>
      </c>
      <c r="E299" s="13" t="s">
        <v>13</v>
      </c>
      <c r="F299" s="13" t="s">
        <v>14</v>
      </c>
      <c r="G299" s="13" t="s">
        <v>0</v>
      </c>
      <c r="H299" s="22"/>
      <c r="I299" s="57"/>
      <c r="J299" s="57"/>
      <c r="K299" s="57"/>
      <c r="M299" s="186"/>
      <c r="N299" s="186"/>
      <c r="O299" s="186"/>
      <c r="P299" s="186"/>
      <c r="Q299" s="186"/>
      <c r="R299" s="186"/>
      <c r="S299" s="186"/>
      <c r="T299" s="186"/>
      <c r="U299" s="186"/>
      <c r="V299" s="186"/>
      <c r="W299" s="186"/>
      <c r="X299" s="186"/>
      <c r="Y299" s="186"/>
      <c r="Z299" s="186"/>
      <c r="AA299" s="186"/>
      <c r="AB299" s="186"/>
    </row>
    <row r="300" spans="2:28" x14ac:dyDescent="0.25">
      <c r="B300" s="14" t="s">
        <v>2</v>
      </c>
      <c r="C300" s="33"/>
      <c r="D300" s="25"/>
      <c r="E300" s="14"/>
      <c r="F300" s="24"/>
      <c r="G300" s="14"/>
      <c r="H300" s="22"/>
      <c r="I300" s="57"/>
      <c r="J300" s="57"/>
      <c r="K300" s="57"/>
      <c r="M300" s="186"/>
      <c r="N300" s="186"/>
      <c r="O300" s="186"/>
      <c r="P300" s="186"/>
      <c r="Q300" s="186"/>
      <c r="R300" s="186"/>
      <c r="S300" s="186"/>
      <c r="T300" s="186"/>
      <c r="U300" s="186"/>
      <c r="V300" s="186"/>
      <c r="W300" s="186"/>
      <c r="X300" s="186"/>
      <c r="Y300" s="186"/>
      <c r="Z300" s="186"/>
      <c r="AA300" s="186"/>
      <c r="AB300" s="186"/>
    </row>
    <row r="301" spans="2:28" x14ac:dyDescent="0.25">
      <c r="B301" s="14" t="s">
        <v>3</v>
      </c>
      <c r="C301" s="26"/>
      <c r="D301" s="26"/>
      <c r="H301" s="22"/>
      <c r="I301" s="57"/>
      <c r="J301" s="57"/>
      <c r="K301" s="57"/>
      <c r="M301" s="186"/>
      <c r="N301" s="186"/>
      <c r="O301" s="186"/>
      <c r="P301" s="186"/>
      <c r="Q301" s="186"/>
      <c r="R301" s="186"/>
      <c r="S301" s="186"/>
      <c r="T301" s="186"/>
      <c r="U301" s="186"/>
      <c r="V301" s="186"/>
      <c r="W301" s="186"/>
      <c r="X301" s="186"/>
      <c r="Y301" s="186"/>
      <c r="Z301" s="186"/>
      <c r="AA301" s="186"/>
      <c r="AB301" s="186"/>
    </row>
    <row r="302" spans="2:28" x14ac:dyDescent="0.25">
      <c r="B302" s="14" t="s">
        <v>4</v>
      </c>
      <c r="C302" s="26"/>
      <c r="D302" s="26"/>
      <c r="G302" s="14"/>
      <c r="H302" s="22"/>
      <c r="I302" s="57"/>
      <c r="J302" s="57"/>
      <c r="K302" s="57"/>
      <c r="M302" s="186"/>
      <c r="N302" s="186"/>
      <c r="O302" s="186"/>
      <c r="P302" s="186"/>
      <c r="Q302" s="186"/>
      <c r="R302" s="186"/>
      <c r="S302" s="186"/>
      <c r="T302" s="186"/>
      <c r="U302" s="186"/>
      <c r="V302" s="186"/>
      <c r="W302" s="186"/>
      <c r="X302" s="186"/>
      <c r="Y302" s="186"/>
      <c r="Z302" s="186"/>
      <c r="AA302" s="186"/>
      <c r="AB302" s="186"/>
    </row>
    <row r="303" spans="2:28" x14ac:dyDescent="0.25">
      <c r="B303" s="14" t="s">
        <v>5</v>
      </c>
      <c r="C303" s="25"/>
      <c r="D303" s="25"/>
      <c r="E303" s="14"/>
      <c r="F303" s="24"/>
      <c r="G303" s="14"/>
      <c r="H303" s="22"/>
      <c r="I303" s="57"/>
      <c r="J303" s="57"/>
      <c r="K303" s="57"/>
      <c r="M303" s="186"/>
      <c r="N303" s="186"/>
      <c r="O303" s="186"/>
      <c r="P303" s="186"/>
      <c r="Q303" s="186"/>
      <c r="R303" s="186"/>
      <c r="S303" s="186"/>
      <c r="T303" s="186"/>
      <c r="U303" s="186"/>
      <c r="V303" s="186"/>
      <c r="W303" s="186"/>
      <c r="X303" s="186"/>
      <c r="Y303" s="186"/>
      <c r="Z303" s="186"/>
      <c r="AA303" s="186"/>
      <c r="AB303" s="186"/>
    </row>
    <row r="304" spans="2:28" x14ac:dyDescent="0.25">
      <c r="B304" s="14" t="s">
        <v>6</v>
      </c>
      <c r="C304" s="42"/>
      <c r="D304" s="42"/>
      <c r="E304" s="14"/>
      <c r="G304" s="24"/>
      <c r="H304" s="22"/>
      <c r="I304" s="57"/>
      <c r="J304" s="57"/>
      <c r="K304" s="57"/>
      <c r="M304" s="186"/>
      <c r="N304" s="186"/>
      <c r="O304" s="186"/>
      <c r="P304" s="186"/>
      <c r="Q304" s="186"/>
      <c r="R304" s="186"/>
      <c r="S304" s="186"/>
      <c r="T304" s="186"/>
      <c r="U304" s="186"/>
      <c r="V304" s="186"/>
      <c r="W304" s="186"/>
      <c r="X304" s="186"/>
      <c r="Y304" s="186"/>
      <c r="Z304" s="186"/>
      <c r="AA304" s="186"/>
      <c r="AB304" s="186"/>
    </row>
    <row r="305" spans="1:28" x14ac:dyDescent="0.25">
      <c r="B305" s="14" t="s">
        <v>7</v>
      </c>
      <c r="C305" s="42"/>
      <c r="D305" s="42"/>
      <c r="E305" s="14"/>
      <c r="F305" s="24"/>
      <c r="G305" s="14"/>
      <c r="H305" s="22"/>
      <c r="I305" s="57"/>
      <c r="J305" s="57"/>
      <c r="K305" s="57"/>
      <c r="M305" s="186"/>
      <c r="N305" s="186"/>
      <c r="O305" s="186"/>
      <c r="P305" s="186"/>
      <c r="Q305" s="186"/>
      <c r="R305" s="186"/>
      <c r="S305" s="186"/>
      <c r="T305" s="186"/>
      <c r="U305" s="186"/>
      <c r="V305" s="186"/>
      <c r="W305" s="186"/>
      <c r="X305" s="186"/>
      <c r="Y305" s="186"/>
      <c r="Z305" s="186"/>
      <c r="AA305" s="186"/>
      <c r="AB305" s="186"/>
    </row>
    <row r="306" spans="1:28" x14ac:dyDescent="0.25">
      <c r="A306" s="21"/>
      <c r="B306" s="14" t="s">
        <v>8</v>
      </c>
      <c r="C306" s="25"/>
      <c r="D306" s="25"/>
      <c r="E306" s="14"/>
      <c r="F306" s="24"/>
      <c r="G306" s="14"/>
      <c r="H306" s="22"/>
      <c r="I306" s="57"/>
      <c r="J306" s="57"/>
      <c r="K306" s="57"/>
      <c r="M306" s="186"/>
      <c r="N306" s="186"/>
      <c r="O306" s="186"/>
      <c r="P306" s="186"/>
      <c r="Q306" s="186"/>
      <c r="R306" s="186"/>
      <c r="S306" s="186"/>
      <c r="T306" s="186"/>
      <c r="U306" s="186"/>
      <c r="V306" s="186"/>
      <c r="W306" s="186"/>
      <c r="X306" s="186"/>
      <c r="Y306" s="186"/>
      <c r="Z306" s="186"/>
      <c r="AA306" s="186"/>
      <c r="AB306" s="186"/>
    </row>
    <row r="307" spans="1:28" x14ac:dyDescent="0.25">
      <c r="B307" s="13" t="s">
        <v>26</v>
      </c>
      <c r="C307" s="32"/>
      <c r="D307" s="32"/>
      <c r="E307" s="415">
        <v>15</v>
      </c>
      <c r="F307" s="115" t="s">
        <v>393</v>
      </c>
      <c r="G307" s="145" t="s">
        <v>397</v>
      </c>
      <c r="H307" s="22"/>
      <c r="I307" s="57"/>
      <c r="J307" s="57"/>
      <c r="K307" s="57"/>
      <c r="M307" s="186"/>
      <c r="N307" s="186"/>
      <c r="O307" s="186"/>
      <c r="P307" s="186"/>
      <c r="Q307" s="186"/>
      <c r="R307" s="186"/>
      <c r="S307" s="186"/>
      <c r="T307" s="186"/>
      <c r="U307" s="186"/>
      <c r="V307" s="186"/>
      <c r="W307" s="186"/>
      <c r="X307" s="186"/>
      <c r="Y307" s="186"/>
      <c r="Z307" s="186"/>
      <c r="AA307" s="186"/>
      <c r="AB307" s="186"/>
    </row>
    <row r="308" spans="1:28" ht="30" x14ac:dyDescent="0.25">
      <c r="A308" s="313" t="s">
        <v>336</v>
      </c>
      <c r="B308" s="35" t="s">
        <v>227</v>
      </c>
      <c r="C308" s="40"/>
      <c r="D308" s="41"/>
      <c r="E308" s="18">
        <f>SUM(E307+E297)</f>
        <v>30</v>
      </c>
      <c r="F308" s="416">
        <v>30</v>
      </c>
      <c r="G308" s="417">
        <f>SUM(E308+G287)-F308</f>
        <v>0</v>
      </c>
      <c r="H308" s="43" t="s">
        <v>422</v>
      </c>
      <c r="I308" s="57"/>
      <c r="J308" s="57"/>
      <c r="K308" s="57"/>
      <c r="M308" s="186"/>
      <c r="N308" s="186"/>
      <c r="O308" s="186"/>
      <c r="P308" s="186"/>
      <c r="Q308" s="186"/>
      <c r="R308" s="186"/>
      <c r="S308" s="186"/>
      <c r="T308" s="186"/>
      <c r="U308" s="186"/>
      <c r="V308" s="186"/>
      <c r="W308" s="186"/>
      <c r="X308" s="186"/>
      <c r="Y308" s="186"/>
      <c r="Z308" s="186"/>
      <c r="AA308" s="186"/>
      <c r="AB308" s="186"/>
    </row>
    <row r="309" spans="1:28" x14ac:dyDescent="0.25">
      <c r="H309" s="22"/>
      <c r="I309" s="57"/>
      <c r="J309" s="57"/>
      <c r="K309" s="57"/>
      <c r="M309" s="186"/>
      <c r="N309" s="186"/>
      <c r="O309" s="186"/>
      <c r="P309" s="186"/>
      <c r="Q309" s="186"/>
      <c r="R309" s="186"/>
      <c r="S309" s="186"/>
      <c r="T309" s="186"/>
      <c r="U309" s="186"/>
      <c r="V309" s="186"/>
    </row>
    <row r="310" spans="1:28" x14ac:dyDescent="0.25">
      <c r="I310" s="57"/>
      <c r="J310" s="57"/>
      <c r="K310" s="57"/>
      <c r="M310" s="186"/>
      <c r="N310" s="186"/>
      <c r="O310" s="186"/>
      <c r="P310" s="186"/>
      <c r="Q310" s="186"/>
      <c r="R310" s="186"/>
      <c r="S310" s="186"/>
      <c r="T310" s="186"/>
      <c r="U310" s="186"/>
      <c r="V310" s="186"/>
    </row>
    <row r="311" spans="1:28" x14ac:dyDescent="0.25">
      <c r="I311" s="57"/>
      <c r="J311" s="57"/>
      <c r="K311" s="57"/>
      <c r="M311" s="186"/>
      <c r="N311" s="186"/>
      <c r="O311" s="186"/>
      <c r="P311" s="186"/>
      <c r="Q311" s="186"/>
      <c r="R311" s="186"/>
      <c r="S311" s="186"/>
      <c r="T311" s="186"/>
      <c r="U311" s="186"/>
      <c r="V311" s="186"/>
    </row>
    <row r="312" spans="1:28" ht="61.5" customHeight="1" x14ac:dyDescent="0.9">
      <c r="A312" s="578" t="s">
        <v>252</v>
      </c>
      <c r="B312" s="578"/>
      <c r="C312" s="578"/>
      <c r="D312" s="578"/>
      <c r="E312" s="578"/>
      <c r="F312" s="578"/>
      <c r="G312" s="578"/>
      <c r="H312" s="578"/>
      <c r="I312" s="578"/>
      <c r="J312" s="578"/>
      <c r="K312" s="406"/>
      <c r="L312" s="406"/>
      <c r="M312" s="407"/>
      <c r="N312" s="407"/>
      <c r="O312" s="407"/>
      <c r="P312" s="407"/>
      <c r="Q312" s="407"/>
      <c r="R312" s="407"/>
      <c r="S312" s="407"/>
      <c r="T312" s="407"/>
      <c r="U312" s="407"/>
      <c r="V312" s="186"/>
    </row>
    <row r="313" spans="1:28" x14ac:dyDescent="0.25">
      <c r="M313" s="186"/>
      <c r="N313" s="186"/>
      <c r="O313" s="186"/>
      <c r="P313" s="186"/>
      <c r="Q313" s="186"/>
      <c r="R313" s="186"/>
      <c r="S313" s="186"/>
      <c r="T313" s="186"/>
      <c r="U313" s="186"/>
      <c r="V313" s="186"/>
    </row>
    <row r="314" spans="1:28" x14ac:dyDescent="0.25">
      <c r="M314" s="186"/>
      <c r="N314" s="186"/>
      <c r="O314" s="186"/>
      <c r="P314" s="186"/>
      <c r="Q314" s="186"/>
      <c r="R314" s="186"/>
      <c r="S314" s="186"/>
      <c r="T314" s="186"/>
      <c r="U314" s="186"/>
      <c r="V314" s="186"/>
    </row>
    <row r="315" spans="1:28" x14ac:dyDescent="0.25">
      <c r="M315" s="186"/>
      <c r="N315" s="186"/>
      <c r="O315" s="186"/>
      <c r="P315" s="186"/>
      <c r="Q315" s="186"/>
      <c r="R315" s="186"/>
      <c r="S315" s="186"/>
      <c r="T315" s="186"/>
      <c r="U315" s="186"/>
      <c r="V315" s="186"/>
    </row>
    <row r="316" spans="1:28" x14ac:dyDescent="0.25">
      <c r="M316" s="186"/>
      <c r="N316" s="186"/>
      <c r="O316" s="186"/>
      <c r="P316" s="186"/>
      <c r="Q316" s="186"/>
      <c r="R316" s="186"/>
      <c r="S316" s="186"/>
      <c r="T316" s="186"/>
      <c r="U316" s="186"/>
      <c r="V316" s="186"/>
    </row>
    <row r="317" spans="1:28" x14ac:dyDescent="0.25">
      <c r="M317" s="186"/>
      <c r="N317" s="186"/>
      <c r="O317" s="186"/>
      <c r="P317" s="186"/>
      <c r="Q317" s="186"/>
      <c r="R317" s="186"/>
      <c r="S317" s="186"/>
      <c r="T317" s="186"/>
      <c r="U317" s="186"/>
      <c r="V317" s="186"/>
    </row>
    <row r="318" spans="1:28" x14ac:dyDescent="0.25">
      <c r="M318" s="186"/>
      <c r="N318" s="186"/>
      <c r="O318" s="186"/>
      <c r="P318" s="186"/>
      <c r="Q318" s="186"/>
      <c r="R318" s="186"/>
      <c r="S318" s="186"/>
      <c r="T318" s="186"/>
      <c r="U318" s="186"/>
      <c r="V318" s="186"/>
    </row>
    <row r="319" spans="1:28" x14ac:dyDescent="0.25">
      <c r="M319" s="186"/>
      <c r="N319" s="186"/>
      <c r="O319" s="186"/>
      <c r="P319" s="186"/>
      <c r="Q319" s="186"/>
      <c r="R319" s="186"/>
      <c r="S319" s="186"/>
      <c r="T319" s="186"/>
      <c r="U319" s="186"/>
      <c r="V319" s="186"/>
    </row>
    <row r="320" spans="1:28" x14ac:dyDescent="0.25">
      <c r="M320" s="186"/>
      <c r="N320" s="186"/>
      <c r="O320" s="186"/>
      <c r="P320" s="186"/>
      <c r="Q320" s="186"/>
      <c r="R320" s="186"/>
      <c r="S320" s="186"/>
      <c r="T320" s="186"/>
      <c r="U320" s="186"/>
      <c r="V320" s="186"/>
    </row>
    <row r="321" spans="13:22" x14ac:dyDescent="0.25">
      <c r="M321" s="186"/>
      <c r="N321" s="186"/>
      <c r="O321" s="186"/>
      <c r="P321" s="186"/>
      <c r="Q321" s="186"/>
      <c r="R321" s="186"/>
      <c r="S321" s="186"/>
      <c r="T321" s="186"/>
      <c r="U321" s="186"/>
      <c r="V321" s="186"/>
    </row>
    <row r="322" spans="13:22" x14ac:dyDescent="0.25">
      <c r="M322" s="186"/>
      <c r="N322" s="186"/>
      <c r="O322" s="186"/>
      <c r="P322" s="186"/>
      <c r="Q322" s="186"/>
      <c r="R322" s="186"/>
      <c r="S322" s="186"/>
      <c r="T322" s="186"/>
      <c r="U322" s="186"/>
      <c r="V322" s="186"/>
    </row>
    <row r="323" spans="13:22" ht="61.5" customHeight="1" x14ac:dyDescent="0.25">
      <c r="M323" s="186"/>
      <c r="N323" s="186"/>
      <c r="O323" s="186"/>
      <c r="P323" s="186"/>
      <c r="Q323" s="186"/>
      <c r="R323" s="186"/>
      <c r="S323" s="186"/>
      <c r="T323" s="186"/>
      <c r="U323" s="186"/>
      <c r="V323" s="186"/>
    </row>
    <row r="324" spans="13:22" x14ac:dyDescent="0.25">
      <c r="M324" s="186"/>
      <c r="N324" s="186"/>
      <c r="O324" s="186"/>
      <c r="P324" s="186"/>
      <c r="Q324" s="186"/>
      <c r="R324" s="186"/>
      <c r="S324" s="186"/>
      <c r="T324" s="186"/>
      <c r="U324" s="186"/>
      <c r="V324" s="186"/>
    </row>
    <row r="325" spans="13:22" x14ac:dyDescent="0.25">
      <c r="M325" s="186"/>
      <c r="N325" s="186"/>
      <c r="O325" s="186"/>
      <c r="P325" s="186"/>
      <c r="Q325" s="186"/>
      <c r="R325" s="186"/>
      <c r="S325" s="186"/>
      <c r="T325" s="186"/>
      <c r="U325" s="186"/>
      <c r="V325" s="186"/>
    </row>
    <row r="326" spans="13:22" x14ac:dyDescent="0.25">
      <c r="M326" s="186"/>
      <c r="N326" s="186"/>
      <c r="O326" s="186"/>
      <c r="P326" s="186"/>
      <c r="Q326" s="186"/>
      <c r="R326" s="186"/>
      <c r="S326" s="186"/>
      <c r="T326" s="186"/>
      <c r="U326" s="186"/>
      <c r="V326" s="186"/>
    </row>
    <row r="327" spans="13:22" x14ac:dyDescent="0.25">
      <c r="M327" s="186"/>
      <c r="N327" s="186"/>
      <c r="O327" s="186"/>
      <c r="P327" s="186"/>
      <c r="Q327" s="186"/>
      <c r="R327" s="186"/>
      <c r="S327" s="186"/>
      <c r="T327" s="186"/>
      <c r="U327" s="186"/>
      <c r="V327" s="186"/>
    </row>
    <row r="328" spans="13:22" x14ac:dyDescent="0.25">
      <c r="M328" s="186"/>
      <c r="N328" s="186"/>
      <c r="O328" s="186"/>
      <c r="P328" s="186"/>
      <c r="Q328" s="186"/>
      <c r="R328" s="186"/>
      <c r="S328" s="186"/>
      <c r="T328" s="186"/>
      <c r="U328" s="186"/>
      <c r="V328" s="186"/>
    </row>
    <row r="329" spans="13:22" x14ac:dyDescent="0.25">
      <c r="M329" s="186"/>
      <c r="N329" s="186"/>
      <c r="O329" s="186"/>
      <c r="P329" s="186"/>
      <c r="Q329" s="186"/>
      <c r="R329" s="186"/>
      <c r="S329" s="186"/>
      <c r="T329" s="186"/>
      <c r="U329" s="186"/>
      <c r="V329" s="186"/>
    </row>
    <row r="330" spans="13:22" x14ac:dyDescent="0.25">
      <c r="M330" s="186"/>
      <c r="N330" s="186"/>
      <c r="O330" s="186"/>
      <c r="P330" s="186"/>
      <c r="Q330" s="186"/>
      <c r="R330" s="186"/>
      <c r="S330" s="186"/>
      <c r="T330" s="186"/>
      <c r="U330" s="186"/>
      <c r="V330" s="186"/>
    </row>
    <row r="331" spans="13:22" x14ac:dyDescent="0.25">
      <c r="M331" s="186"/>
      <c r="N331" s="186"/>
      <c r="O331" s="186"/>
      <c r="P331" s="186"/>
      <c r="Q331" s="186"/>
      <c r="R331" s="186"/>
      <c r="S331" s="186"/>
      <c r="T331" s="186"/>
      <c r="U331" s="186"/>
      <c r="V331" s="186"/>
    </row>
    <row r="332" spans="13:22" x14ac:dyDescent="0.25">
      <c r="M332" s="15"/>
      <c r="N332" s="15"/>
      <c r="O332" s="22"/>
      <c r="P332" s="22"/>
      <c r="V332" s="15"/>
    </row>
    <row r="333" spans="13:22" x14ac:dyDescent="0.25">
      <c r="M333" s="15"/>
      <c r="N333" s="15"/>
      <c r="O333" s="22"/>
      <c r="P333" s="22"/>
      <c r="V333" s="15"/>
    </row>
    <row r="334" spans="13:22" x14ac:dyDescent="0.25">
      <c r="M334" s="15"/>
      <c r="N334" s="15"/>
      <c r="O334" s="22"/>
      <c r="P334" s="22"/>
      <c r="V334" s="15"/>
    </row>
    <row r="335" spans="13:22" x14ac:dyDescent="0.25">
      <c r="M335" s="15"/>
      <c r="N335" s="15"/>
      <c r="O335" s="22"/>
      <c r="P335" s="22"/>
      <c r="V335" s="15"/>
    </row>
    <row r="336" spans="13:22" x14ac:dyDescent="0.25">
      <c r="M336" s="15"/>
      <c r="N336" s="15"/>
      <c r="O336" s="22"/>
      <c r="P336" s="22"/>
      <c r="V336" s="15"/>
    </row>
    <row r="337" spans="13:22" x14ac:dyDescent="0.25">
      <c r="M337" s="15"/>
      <c r="N337" s="15"/>
      <c r="O337" s="22"/>
      <c r="P337" s="22"/>
      <c r="V337" s="15"/>
    </row>
    <row r="338" spans="13:22" x14ac:dyDescent="0.25">
      <c r="M338" s="15"/>
      <c r="N338" s="15"/>
      <c r="O338" s="22"/>
      <c r="P338" s="22"/>
      <c r="V338" s="15"/>
    </row>
    <row r="339" spans="13:22" x14ac:dyDescent="0.25">
      <c r="M339" s="15"/>
      <c r="N339" s="15"/>
      <c r="O339" s="22"/>
      <c r="P339" s="22"/>
      <c r="V339" s="15"/>
    </row>
    <row r="340" spans="13:22" x14ac:dyDescent="0.25">
      <c r="M340" s="15"/>
      <c r="N340" s="15"/>
      <c r="O340" s="22"/>
      <c r="P340" s="22"/>
      <c r="V340" s="15"/>
    </row>
    <row r="341" spans="13:22" x14ac:dyDescent="0.25">
      <c r="M341" s="15"/>
      <c r="N341" s="15"/>
      <c r="O341" s="22"/>
      <c r="P341" s="22"/>
      <c r="V341" s="15"/>
    </row>
    <row r="342" spans="13:22" x14ac:dyDescent="0.25">
      <c r="M342" s="15"/>
      <c r="N342" s="15"/>
      <c r="O342" s="22"/>
      <c r="P342" s="22"/>
      <c r="V342" s="15"/>
    </row>
    <row r="343" spans="13:22" x14ac:dyDescent="0.25">
      <c r="M343" s="15"/>
      <c r="N343" s="15"/>
      <c r="O343" s="22"/>
      <c r="P343" s="22"/>
      <c r="V343" s="15"/>
    </row>
    <row r="344" spans="13:22" x14ac:dyDescent="0.25">
      <c r="M344" s="15"/>
      <c r="N344" s="15"/>
      <c r="O344" s="22"/>
      <c r="P344" s="22"/>
      <c r="V344" s="15"/>
    </row>
    <row r="345" spans="13:22" x14ac:dyDescent="0.25">
      <c r="M345" s="15"/>
      <c r="N345" s="15"/>
      <c r="O345" s="22"/>
      <c r="P345" s="22"/>
      <c r="V345" s="15"/>
    </row>
    <row r="346" spans="13:22" x14ac:dyDescent="0.25">
      <c r="M346" s="15"/>
      <c r="N346" s="15"/>
      <c r="O346" s="22"/>
      <c r="P346" s="22"/>
      <c r="V346" s="15"/>
    </row>
    <row r="347" spans="13:22" x14ac:dyDescent="0.25">
      <c r="M347" s="15"/>
      <c r="N347" s="15"/>
      <c r="O347" s="22"/>
      <c r="P347" s="22"/>
      <c r="V347" s="15"/>
    </row>
    <row r="348" spans="13:22" x14ac:dyDescent="0.25">
      <c r="M348" s="15"/>
      <c r="N348" s="15"/>
      <c r="O348" s="22"/>
      <c r="P348" s="22"/>
      <c r="V348" s="15"/>
    </row>
    <row r="349" spans="13:22" x14ac:dyDescent="0.25">
      <c r="M349" s="15"/>
      <c r="N349" s="15"/>
      <c r="O349" s="22"/>
      <c r="P349" s="22"/>
      <c r="V349" s="15"/>
    </row>
    <row r="350" spans="13:22" x14ac:dyDescent="0.25">
      <c r="M350" s="15"/>
      <c r="N350" s="15"/>
      <c r="O350" s="22"/>
      <c r="P350" s="22"/>
      <c r="V350" s="15"/>
    </row>
    <row r="351" spans="13:22" x14ac:dyDescent="0.25">
      <c r="M351" s="15"/>
      <c r="N351" s="15"/>
      <c r="O351" s="22"/>
      <c r="P351" s="22"/>
      <c r="V351" s="15"/>
    </row>
    <row r="352" spans="13:22" x14ac:dyDescent="0.25">
      <c r="M352" s="15"/>
      <c r="N352" s="15"/>
      <c r="O352" s="22"/>
      <c r="P352" s="22"/>
      <c r="V352" s="15"/>
    </row>
    <row r="353" spans="13:22" x14ac:dyDescent="0.25">
      <c r="M353" s="15"/>
      <c r="N353" s="15"/>
      <c r="O353" s="22"/>
      <c r="P353" s="22"/>
      <c r="V353" s="15"/>
    </row>
    <row r="354" spans="13:22" x14ac:dyDescent="0.25">
      <c r="M354" s="15"/>
      <c r="N354" s="15"/>
      <c r="O354" s="22"/>
      <c r="P354" s="22"/>
      <c r="V354" s="15"/>
    </row>
    <row r="355" spans="13:22" x14ac:dyDescent="0.25">
      <c r="M355" s="15"/>
      <c r="N355" s="15"/>
      <c r="O355" s="22"/>
      <c r="P355" s="22"/>
      <c r="V355" s="15"/>
    </row>
    <row r="356" spans="13:22" x14ac:dyDescent="0.25">
      <c r="M356" s="15"/>
      <c r="N356" s="15"/>
      <c r="O356" s="22"/>
      <c r="P356" s="22"/>
      <c r="V356" s="15"/>
    </row>
    <row r="357" spans="13:22" x14ac:dyDescent="0.25">
      <c r="M357" s="15"/>
      <c r="N357" s="15"/>
      <c r="O357" s="22"/>
      <c r="P357" s="22"/>
      <c r="V357" s="15"/>
    </row>
    <row r="358" spans="13:22" x14ac:dyDescent="0.25">
      <c r="M358" s="15"/>
      <c r="N358" s="15"/>
      <c r="O358" s="22"/>
      <c r="P358" s="22"/>
      <c r="V358" s="15"/>
    </row>
    <row r="359" spans="13:22" x14ac:dyDescent="0.25">
      <c r="M359" s="15"/>
      <c r="N359" s="15"/>
      <c r="O359" s="22"/>
      <c r="P359" s="22"/>
      <c r="V359" s="15"/>
    </row>
    <row r="360" spans="13:22" x14ac:dyDescent="0.25">
      <c r="M360" s="15"/>
      <c r="N360" s="15"/>
      <c r="O360" s="22"/>
      <c r="P360" s="22"/>
      <c r="V360" s="15"/>
    </row>
    <row r="361" spans="13:22" x14ac:dyDescent="0.25">
      <c r="M361" s="15"/>
      <c r="N361" s="15"/>
      <c r="O361" s="22"/>
      <c r="P361" s="22"/>
      <c r="V361" s="15"/>
    </row>
    <row r="362" spans="13:22" x14ac:dyDescent="0.25">
      <c r="M362" s="15"/>
      <c r="N362" s="15"/>
      <c r="O362" s="22"/>
      <c r="P362" s="22"/>
      <c r="V362" s="15"/>
    </row>
    <row r="363" spans="13:22" x14ac:dyDescent="0.25">
      <c r="M363" s="15"/>
      <c r="N363" s="15"/>
      <c r="O363" s="22"/>
      <c r="P363" s="22"/>
      <c r="V363" s="15"/>
    </row>
    <row r="364" spans="13:22" x14ac:dyDescent="0.25">
      <c r="M364" s="15"/>
      <c r="N364" s="15"/>
    </row>
  </sheetData>
  <mergeCells count="11">
    <mergeCell ref="A218:H218"/>
    <mergeCell ref="D219:H222"/>
    <mergeCell ref="A225:H225"/>
    <mergeCell ref="A312:J312"/>
    <mergeCell ref="A1:G3"/>
    <mergeCell ref="A8:H8"/>
    <mergeCell ref="M8:T8"/>
    <mergeCell ref="A9:K10"/>
    <mergeCell ref="A125:H126"/>
    <mergeCell ref="U191:U197"/>
    <mergeCell ref="H193:H19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A714-4FB8-4D85-A5EB-E87C5D686A09}">
  <dimension ref="A1:W242"/>
  <sheetViews>
    <sheetView topLeftCell="A55" workbookViewId="0"/>
  </sheetViews>
  <sheetFormatPr defaultRowHeight="15" x14ac:dyDescent="0.25"/>
  <cols>
    <col min="1" max="1" width="22.28515625" style="15" customWidth="1"/>
    <col min="2" max="2" width="16.7109375" bestFit="1" customWidth="1"/>
    <col min="3" max="3" width="25.140625" customWidth="1"/>
    <col min="4" max="4" width="17" bestFit="1" customWidth="1"/>
    <col min="5" max="5" width="14.85546875" bestFit="1" customWidth="1"/>
    <col min="6" max="6" width="16.28515625" bestFit="1" customWidth="1"/>
    <col min="7" max="7" width="19.85546875" customWidth="1"/>
    <col min="9" max="9" width="2.85546875" customWidth="1"/>
    <col min="10" max="10" width="3.28515625" customWidth="1"/>
    <col min="11" max="11" width="32.5703125" customWidth="1"/>
    <col min="12" max="12" width="2.42578125" customWidth="1"/>
    <col min="13" max="13" width="4.5703125" customWidth="1"/>
    <col min="14" max="14" width="17.7109375" customWidth="1"/>
    <col min="15" max="15" width="12.5703125" style="15" bestFit="1" customWidth="1"/>
    <col min="16" max="16" width="15.140625" bestFit="1" customWidth="1"/>
    <col min="18" max="18" width="15.42578125" bestFit="1" customWidth="1"/>
    <col min="20" max="20" width="16" customWidth="1"/>
  </cols>
  <sheetData>
    <row r="1" spans="1:18" ht="66.75" customHeight="1" thickBot="1" x14ac:dyDescent="0.5">
      <c r="A1" s="252" t="s">
        <v>318</v>
      </c>
    </row>
    <row r="2" spans="1:18" ht="15.75" thickBot="1" x14ac:dyDescent="0.3">
      <c r="A2" s="245" t="s">
        <v>145</v>
      </c>
      <c r="B2" s="11"/>
      <c r="C2" s="11"/>
      <c r="D2" s="11"/>
      <c r="E2" s="11"/>
      <c r="F2" s="11"/>
      <c r="L2" s="230" t="s">
        <v>148</v>
      </c>
      <c r="M2" s="231"/>
      <c r="N2" s="231"/>
      <c r="O2" s="232"/>
      <c r="P2" s="231"/>
      <c r="Q2" s="231"/>
      <c r="R2" s="233"/>
    </row>
    <row r="3" spans="1:18" ht="30.75" thickBot="1" x14ac:dyDescent="0.3">
      <c r="B3" s="2" t="s">
        <v>11</v>
      </c>
      <c r="C3" s="2" t="s">
        <v>12</v>
      </c>
      <c r="D3" s="2" t="s">
        <v>13</v>
      </c>
      <c r="E3" s="2" t="s">
        <v>14</v>
      </c>
      <c r="F3" s="2" t="s">
        <v>0</v>
      </c>
      <c r="L3" s="241"/>
      <c r="M3" s="242" t="s">
        <v>150</v>
      </c>
      <c r="N3" s="222" t="s">
        <v>155</v>
      </c>
      <c r="O3" s="243" t="s">
        <v>154</v>
      </c>
      <c r="P3" s="242" t="s">
        <v>156</v>
      </c>
      <c r="Q3" s="242" t="s">
        <v>0</v>
      </c>
      <c r="R3" s="244"/>
    </row>
    <row r="4" spans="1:18" ht="15" customHeight="1" x14ac:dyDescent="0.25">
      <c r="A4" s="14" t="s">
        <v>2</v>
      </c>
      <c r="B4" s="6"/>
      <c r="C4" s="4"/>
      <c r="D4" s="3"/>
      <c r="E4" s="5"/>
      <c r="F4" s="3"/>
      <c r="G4" s="581" t="s">
        <v>147</v>
      </c>
      <c r="H4" s="581"/>
      <c r="I4" s="581"/>
      <c r="J4" s="581"/>
      <c r="K4" s="15"/>
      <c r="L4" s="235" t="s">
        <v>151</v>
      </c>
      <c r="M4" s="226"/>
      <c r="N4" s="226"/>
      <c r="O4" s="225"/>
      <c r="P4" s="227"/>
      <c r="Q4" s="227"/>
      <c r="R4" s="234"/>
    </row>
    <row r="5" spans="1:18" x14ac:dyDescent="0.25">
      <c r="A5" s="14" t="s">
        <v>3</v>
      </c>
      <c r="G5" s="581"/>
      <c r="H5" s="581"/>
      <c r="I5" s="581"/>
      <c r="J5" s="581"/>
      <c r="L5" s="235" t="s">
        <v>152</v>
      </c>
      <c r="M5" s="226"/>
      <c r="N5" s="226"/>
      <c r="O5" s="228"/>
      <c r="P5" s="227"/>
      <c r="Q5" s="227"/>
      <c r="R5" s="234"/>
    </row>
    <row r="6" spans="1:18" x14ac:dyDescent="0.25">
      <c r="A6" s="14" t="s">
        <v>4</v>
      </c>
      <c r="B6" s="7"/>
      <c r="C6" s="7"/>
      <c r="D6" s="3"/>
      <c r="E6" s="5"/>
      <c r="F6" s="3"/>
      <c r="G6" s="581"/>
      <c r="H6" s="581"/>
      <c r="I6" s="581"/>
      <c r="J6" s="581"/>
      <c r="L6" s="235" t="s">
        <v>153</v>
      </c>
      <c r="M6" s="226"/>
      <c r="N6" s="226"/>
      <c r="O6" s="228"/>
      <c r="P6" s="227"/>
      <c r="Q6" s="207"/>
      <c r="R6" s="234"/>
    </row>
    <row r="7" spans="1:18" ht="15.75" thickBot="1" x14ac:dyDescent="0.3">
      <c r="A7" s="14" t="s">
        <v>5</v>
      </c>
      <c r="B7" s="4">
        <v>0.54166666666666663</v>
      </c>
      <c r="C7" s="4">
        <v>0.125</v>
      </c>
      <c r="D7" s="3">
        <v>2</v>
      </c>
      <c r="E7" s="5"/>
      <c r="F7" s="3" t="s">
        <v>146</v>
      </c>
      <c r="G7" s="581"/>
      <c r="H7" s="581"/>
      <c r="I7" s="581"/>
      <c r="J7" s="581"/>
      <c r="L7" s="236" t="s">
        <v>149</v>
      </c>
      <c r="M7" s="237"/>
      <c r="N7" s="237"/>
      <c r="O7" s="238"/>
      <c r="P7" s="237"/>
      <c r="Q7" s="239"/>
      <c r="R7" s="240"/>
    </row>
    <row r="8" spans="1:18" x14ac:dyDescent="0.25">
      <c r="A8" s="14" t="s">
        <v>6</v>
      </c>
      <c r="B8" s="3"/>
      <c r="C8" s="3"/>
      <c r="D8" s="3"/>
      <c r="E8" s="5"/>
      <c r="F8" s="3"/>
      <c r="G8" s="581"/>
      <c r="H8" s="581"/>
      <c r="I8" s="581"/>
      <c r="J8" s="581"/>
      <c r="Q8" s="117"/>
    </row>
    <row r="9" spans="1:18" x14ac:dyDescent="0.25">
      <c r="A9" s="14" t="s">
        <v>7</v>
      </c>
      <c r="B9" s="3"/>
      <c r="C9" s="3"/>
      <c r="D9" s="3"/>
      <c r="E9" s="5"/>
      <c r="F9" s="3"/>
      <c r="G9" s="581"/>
      <c r="H9" s="581"/>
      <c r="I9" s="581"/>
      <c r="J9" s="581"/>
    </row>
    <row r="10" spans="1:18" x14ac:dyDescent="0.25">
      <c r="A10" s="14" t="s">
        <v>8</v>
      </c>
      <c r="B10" s="4"/>
      <c r="C10" s="4"/>
      <c r="D10" s="3"/>
      <c r="E10" s="5"/>
      <c r="F10" s="3"/>
      <c r="G10" s="581"/>
      <c r="H10" s="581"/>
      <c r="I10" s="581"/>
      <c r="J10" s="581"/>
    </row>
    <row r="11" spans="1:18" x14ac:dyDescent="0.25">
      <c r="A11" s="13" t="s">
        <v>26</v>
      </c>
      <c r="B11" s="1"/>
      <c r="C11" s="1"/>
      <c r="D11" s="1">
        <v>2</v>
      </c>
    </row>
    <row r="12" spans="1:18" x14ac:dyDescent="0.25">
      <c r="A12" s="13"/>
      <c r="B12" s="1"/>
      <c r="C12" s="1"/>
      <c r="D12" s="1"/>
    </row>
    <row r="13" spans="1:18" ht="15.75" thickBot="1" x14ac:dyDescent="0.3">
      <c r="A13" s="13"/>
      <c r="B13" s="1"/>
      <c r="C13" s="1"/>
      <c r="D13" s="1"/>
    </row>
    <row r="14" spans="1:18" ht="15.75" thickBot="1" x14ac:dyDescent="0.3">
      <c r="A14" s="254" t="s">
        <v>320</v>
      </c>
      <c r="B14" s="222" t="s">
        <v>319</v>
      </c>
      <c r="C14" s="91" t="s">
        <v>227</v>
      </c>
      <c r="D14" s="224" t="s">
        <v>13</v>
      </c>
      <c r="E14" s="224" t="s">
        <v>313</v>
      </c>
      <c r="F14" s="223" t="s">
        <v>314</v>
      </c>
    </row>
    <row r="15" spans="1:18" x14ac:dyDescent="0.25">
      <c r="A15" s="593" t="s">
        <v>345</v>
      </c>
      <c r="B15" s="593"/>
      <c r="C15" s="593"/>
      <c r="D15" s="593"/>
      <c r="E15" s="593"/>
      <c r="F15" s="594"/>
      <c r="G15" s="117"/>
      <c r="H15" s="117"/>
      <c r="I15" s="117"/>
      <c r="J15" s="117"/>
    </row>
    <row r="16" spans="1:18" x14ac:dyDescent="0.25">
      <c r="A16" s="581"/>
      <c r="B16" s="581"/>
      <c r="C16" s="581"/>
      <c r="D16" s="581"/>
      <c r="E16" s="581"/>
      <c r="F16" s="595"/>
      <c r="G16" s="117"/>
      <c r="H16" s="117"/>
      <c r="I16" s="117"/>
      <c r="J16" s="117"/>
    </row>
    <row r="17" spans="1:10" x14ac:dyDescent="0.25">
      <c r="A17" s="581"/>
      <c r="B17" s="581"/>
      <c r="C17" s="581"/>
      <c r="D17" s="581"/>
      <c r="E17" s="581"/>
      <c r="F17" s="595"/>
      <c r="G17" s="117"/>
      <c r="H17" s="117"/>
      <c r="I17" s="117"/>
      <c r="J17" s="117"/>
    </row>
    <row r="18" spans="1:10" x14ac:dyDescent="0.25">
      <c r="C18" s="253" t="s">
        <v>321</v>
      </c>
      <c r="D18" s="220">
        <v>4</v>
      </c>
      <c r="F18" s="221"/>
      <c r="G18" s="117"/>
      <c r="H18" s="117"/>
      <c r="I18" s="117"/>
      <c r="J18" s="117"/>
    </row>
    <row r="19" spans="1:10" x14ac:dyDescent="0.25">
      <c r="C19" s="253" t="s">
        <v>322</v>
      </c>
      <c r="D19" s="220">
        <v>4</v>
      </c>
      <c r="E19" s="320">
        <f>SUM(Kyle_hist!G3)</f>
        <v>6.5</v>
      </c>
      <c r="F19" s="221"/>
      <c r="G19" s="117"/>
      <c r="H19" s="117"/>
      <c r="I19" s="117"/>
      <c r="J19" s="117"/>
    </row>
    <row r="20" spans="1:10" x14ac:dyDescent="0.25">
      <c r="C20" s="253" t="s">
        <v>323</v>
      </c>
      <c r="D20" s="220">
        <v>4</v>
      </c>
      <c r="E20" s="320">
        <f>SUM(Kyle_hist!G7)</f>
        <v>21.5</v>
      </c>
      <c r="F20" s="221"/>
      <c r="G20" s="117" t="s">
        <v>409</v>
      </c>
      <c r="H20" s="117"/>
      <c r="I20" s="117"/>
      <c r="J20" s="117"/>
    </row>
    <row r="21" spans="1:10" x14ac:dyDescent="0.25">
      <c r="C21" s="253" t="s">
        <v>324</v>
      </c>
      <c r="D21" s="220">
        <v>4</v>
      </c>
      <c r="E21" s="257"/>
      <c r="F21" s="221"/>
      <c r="G21" s="117"/>
      <c r="H21" s="117"/>
      <c r="I21" s="117"/>
      <c r="J21" s="117"/>
    </row>
    <row r="22" spans="1:10" x14ac:dyDescent="0.25">
      <c r="C22" s="255" t="s">
        <v>325</v>
      </c>
      <c r="D22" s="220">
        <v>4</v>
      </c>
      <c r="E22" s="320">
        <f>SUM(Kyle_hist!G13)</f>
        <v>6</v>
      </c>
      <c r="F22" s="221"/>
      <c r="G22" s="117"/>
      <c r="H22" s="117"/>
      <c r="I22" s="117"/>
      <c r="J22" s="117"/>
    </row>
    <row r="23" spans="1:10" x14ac:dyDescent="0.25">
      <c r="C23" s="255" t="s">
        <v>326</v>
      </c>
      <c r="D23" s="220">
        <v>4</v>
      </c>
      <c r="E23" s="320">
        <f>SUM(Kyle_hist!G17)</f>
        <v>4</v>
      </c>
      <c r="F23" s="221"/>
      <c r="G23" s="117"/>
      <c r="H23" s="117"/>
      <c r="I23" s="117"/>
      <c r="J23" s="117"/>
    </row>
    <row r="24" spans="1:10" x14ac:dyDescent="0.25">
      <c r="C24" s="219" t="s">
        <v>327</v>
      </c>
      <c r="D24" s="220">
        <v>4</v>
      </c>
      <c r="E24" s="320">
        <f>SUM(Kyle_hist!G23)</f>
        <v>5</v>
      </c>
      <c r="F24" s="221"/>
      <c r="G24" s="117"/>
      <c r="H24" s="117"/>
      <c r="I24" s="117"/>
      <c r="J24" s="117"/>
    </row>
    <row r="25" spans="1:10" x14ac:dyDescent="0.25">
      <c r="C25" s="219" t="s">
        <v>328</v>
      </c>
      <c r="D25" s="220">
        <v>4</v>
      </c>
      <c r="E25" s="320">
        <f>SUM(Kyle_hist!G9)</f>
        <v>0</v>
      </c>
      <c r="F25" s="221"/>
      <c r="G25" s="117"/>
      <c r="H25" s="117"/>
      <c r="I25" s="117"/>
      <c r="J25" s="117"/>
    </row>
    <row r="26" spans="1:10" x14ac:dyDescent="0.25">
      <c r="C26" s="219" t="s">
        <v>329</v>
      </c>
      <c r="D26" s="220">
        <v>4</v>
      </c>
      <c r="E26" s="320">
        <f>SUM(Kyle_hist!G34)</f>
        <v>40</v>
      </c>
      <c r="F26" s="221"/>
      <c r="G26" s="117" t="s">
        <v>410</v>
      </c>
      <c r="H26" s="117"/>
      <c r="I26" s="117"/>
      <c r="J26" s="117"/>
    </row>
    <row r="27" spans="1:10" x14ac:dyDescent="0.25">
      <c r="C27" s="219" t="s">
        <v>330</v>
      </c>
      <c r="D27" s="220">
        <v>2</v>
      </c>
      <c r="E27" s="320">
        <f>SUM(Kyle_hist!G42)</f>
        <v>-19</v>
      </c>
      <c r="F27" s="221"/>
      <c r="G27" s="117" t="s">
        <v>410</v>
      </c>
      <c r="H27" s="117"/>
      <c r="I27" s="117"/>
      <c r="J27" s="117"/>
    </row>
    <row r="28" spans="1:10" x14ac:dyDescent="0.25">
      <c r="C28" s="255" t="s">
        <v>331</v>
      </c>
      <c r="D28" s="220">
        <v>4</v>
      </c>
      <c r="E28" s="320">
        <f>SUM(Kyle_hist!G50)</f>
        <v>4</v>
      </c>
      <c r="F28" s="221"/>
      <c r="G28" s="117"/>
      <c r="H28" s="117"/>
      <c r="I28" s="117"/>
      <c r="J28" s="117"/>
    </row>
    <row r="29" spans="1:10" x14ac:dyDescent="0.25">
      <c r="C29" s="219" t="s">
        <v>332</v>
      </c>
      <c r="D29" s="220">
        <v>4</v>
      </c>
      <c r="E29" s="320">
        <f>SUM(Kyle_hist!G56)</f>
        <v>4</v>
      </c>
      <c r="F29" s="221"/>
      <c r="G29" s="117"/>
      <c r="H29" s="117"/>
      <c r="I29" s="117"/>
      <c r="J29" s="117"/>
    </row>
    <row r="30" spans="1:10" x14ac:dyDescent="0.25">
      <c r="C30" s="219" t="s">
        <v>406</v>
      </c>
      <c r="D30" s="220">
        <v>4</v>
      </c>
      <c r="E30" s="320">
        <f>SUM(Kyle_hist!G60)</f>
        <v>4</v>
      </c>
      <c r="F30" s="221"/>
      <c r="G30" s="117"/>
      <c r="H30" s="117"/>
      <c r="I30" s="117"/>
      <c r="J30" s="117"/>
    </row>
    <row r="31" spans="1:10" x14ac:dyDescent="0.25">
      <c r="C31" s="255" t="s">
        <v>407</v>
      </c>
      <c r="D31" s="220">
        <v>4</v>
      </c>
      <c r="E31" s="320">
        <f>SUM(Kyle_hist!G64)</f>
        <v>7</v>
      </c>
      <c r="F31" s="221"/>
      <c r="G31" s="117" t="s">
        <v>411</v>
      </c>
      <c r="H31" s="117"/>
      <c r="I31" s="117"/>
      <c r="J31" s="117"/>
    </row>
    <row r="32" spans="1:10" x14ac:dyDescent="0.25">
      <c r="C32" s="219" t="s">
        <v>333</v>
      </c>
      <c r="D32" s="220"/>
      <c r="E32" s="257"/>
      <c r="F32" s="221"/>
      <c r="G32" s="117"/>
      <c r="H32" s="117"/>
      <c r="I32" s="117"/>
      <c r="J32" s="117"/>
    </row>
    <row r="33" spans="1:23" x14ac:dyDescent="0.25">
      <c r="C33" s="219" t="s">
        <v>334</v>
      </c>
      <c r="D33" s="220"/>
      <c r="E33" s="257"/>
      <c r="F33" s="221"/>
      <c r="G33" s="117"/>
      <c r="H33" s="117"/>
      <c r="I33" s="117"/>
      <c r="J33" s="117"/>
    </row>
    <row r="34" spans="1:23" x14ac:dyDescent="0.25">
      <c r="C34" s="255" t="s">
        <v>335</v>
      </c>
      <c r="D34" s="220"/>
      <c r="E34" s="257"/>
      <c r="F34" s="221"/>
      <c r="G34" s="117"/>
      <c r="H34" s="117"/>
      <c r="I34" s="117"/>
      <c r="J34" s="117"/>
    </row>
    <row r="35" spans="1:23" x14ac:dyDescent="0.25">
      <c r="C35" s="219" t="s">
        <v>336</v>
      </c>
      <c r="D35" s="256"/>
      <c r="E35" s="257"/>
      <c r="F35" s="258"/>
      <c r="G35" s="117"/>
      <c r="H35" s="117"/>
      <c r="I35" s="117"/>
      <c r="J35" s="117"/>
    </row>
    <row r="36" spans="1:23" x14ac:dyDescent="0.25">
      <c r="C36" s="219" t="s">
        <v>337</v>
      </c>
      <c r="D36" s="256"/>
      <c r="E36" s="257"/>
      <c r="F36" s="258"/>
      <c r="G36" s="117"/>
      <c r="H36" s="117"/>
      <c r="I36" s="117"/>
      <c r="J36" s="117"/>
    </row>
    <row r="37" spans="1:23" x14ac:dyDescent="0.25">
      <c r="C37" s="219" t="s">
        <v>338</v>
      </c>
      <c r="D37" s="256"/>
      <c r="E37" s="257"/>
      <c r="F37" s="258"/>
      <c r="G37" s="117"/>
      <c r="H37" s="117"/>
      <c r="I37" s="117"/>
      <c r="J37" s="117"/>
    </row>
    <row r="38" spans="1:23" x14ac:dyDescent="0.25">
      <c r="C38" s="219" t="s">
        <v>339</v>
      </c>
      <c r="D38" s="256"/>
      <c r="E38" s="257"/>
      <c r="F38" s="258"/>
      <c r="G38" s="117"/>
      <c r="H38" s="117"/>
      <c r="I38" s="117"/>
      <c r="J38" s="117"/>
    </row>
    <row r="39" spans="1:23" x14ac:dyDescent="0.25">
      <c r="C39" s="219" t="s">
        <v>340</v>
      </c>
      <c r="D39" s="256"/>
      <c r="E39" s="257"/>
      <c r="F39" s="258"/>
      <c r="G39" s="117"/>
      <c r="H39" s="53"/>
      <c r="I39" s="53"/>
      <c r="J39" s="117"/>
    </row>
    <row r="40" spans="1:23" x14ac:dyDescent="0.25">
      <c r="C40" s="219" t="s">
        <v>341</v>
      </c>
      <c r="D40" s="256"/>
      <c r="E40" s="257"/>
      <c r="F40" s="258"/>
      <c r="G40" s="117"/>
      <c r="H40" s="117"/>
      <c r="I40" s="117"/>
      <c r="J40" s="117"/>
    </row>
    <row r="41" spans="1:23" x14ac:dyDescent="0.25">
      <c r="C41" s="219" t="s">
        <v>342</v>
      </c>
      <c r="D41" s="256"/>
      <c r="E41" s="257"/>
      <c r="F41" s="258"/>
      <c r="G41" s="117"/>
    </row>
    <row r="42" spans="1:23" x14ac:dyDescent="0.25">
      <c r="C42" s="219" t="s">
        <v>343</v>
      </c>
      <c r="D42" s="256"/>
      <c r="E42" s="257"/>
      <c r="F42" s="258"/>
      <c r="G42" s="117"/>
    </row>
    <row r="43" spans="1:23" x14ac:dyDescent="0.25">
      <c r="C43" s="260" t="s">
        <v>344</v>
      </c>
      <c r="D43" s="261"/>
      <c r="E43" s="262"/>
      <c r="F43" s="263"/>
      <c r="G43" s="117"/>
    </row>
    <row r="44" spans="1:23" x14ac:dyDescent="0.25">
      <c r="A44" s="614" t="s">
        <v>346</v>
      </c>
      <c r="B44" s="264"/>
      <c r="C44" s="265" t="s">
        <v>26</v>
      </c>
      <c r="E44" s="266">
        <f t="shared" ref="E44" si="0">SUM(E18:E43)</f>
        <v>83</v>
      </c>
      <c r="F44" s="322"/>
      <c r="G44" s="117"/>
    </row>
    <row r="45" spans="1:23" x14ac:dyDescent="0.25">
      <c r="A45" s="615"/>
      <c r="B45" s="227"/>
      <c r="C45" s="259"/>
      <c r="D45" s="266">
        <f>SUM(D18:D43)</f>
        <v>54</v>
      </c>
      <c r="E45" s="321">
        <f>SUM(E44-E20-3)</f>
        <v>58.5</v>
      </c>
      <c r="F45" s="322"/>
      <c r="G45" s="117" t="s">
        <v>412</v>
      </c>
    </row>
    <row r="46" spans="1:23" x14ac:dyDescent="0.25">
      <c r="A46" s="616"/>
      <c r="B46" s="267"/>
      <c r="C46" s="268"/>
      <c r="D46" s="324"/>
      <c r="E46" s="325"/>
      <c r="F46" s="323"/>
      <c r="G46" s="117"/>
    </row>
    <row r="47" spans="1:23" x14ac:dyDescent="0.25">
      <c r="D47" s="117"/>
      <c r="E47" s="117"/>
      <c r="F47" s="117"/>
      <c r="G47" s="117"/>
    </row>
    <row r="48" spans="1:23" x14ac:dyDescent="0.25">
      <c r="A48" s="530" t="s">
        <v>301</v>
      </c>
      <c r="B48" s="530"/>
      <c r="C48" s="530"/>
      <c r="D48" s="530"/>
      <c r="E48" s="530"/>
      <c r="F48" s="530"/>
      <c r="G48" s="530"/>
      <c r="H48" s="530"/>
      <c r="I48" s="530"/>
      <c r="J48" s="530"/>
      <c r="K48" s="530"/>
      <c r="L48" s="530"/>
      <c r="M48" s="530"/>
      <c r="N48" s="530"/>
      <c r="O48" s="530"/>
      <c r="P48" s="530"/>
      <c r="Q48" s="530"/>
      <c r="R48" s="530"/>
      <c r="S48" s="530"/>
      <c r="T48" s="530"/>
      <c r="U48" s="163"/>
      <c r="V48" s="117"/>
      <c r="W48" s="22"/>
    </row>
    <row r="49" spans="1:23" ht="15.75" thickBot="1" x14ac:dyDescent="0.3">
      <c r="A49" s="530"/>
      <c r="B49" s="530"/>
      <c r="C49" s="530"/>
      <c r="D49" s="530"/>
      <c r="E49" s="530"/>
      <c r="F49" s="530"/>
      <c r="G49" s="530"/>
      <c r="H49" s="530"/>
      <c r="I49" s="530"/>
      <c r="J49" s="530"/>
      <c r="K49" s="530"/>
      <c r="L49" s="530"/>
      <c r="M49" s="530"/>
      <c r="N49" s="530"/>
      <c r="O49" s="530"/>
      <c r="P49" s="530"/>
      <c r="Q49" s="530"/>
      <c r="R49" s="530"/>
      <c r="S49" s="530"/>
      <c r="T49" s="530"/>
      <c r="U49" s="163"/>
      <c r="V49" s="117"/>
      <c r="W49" s="22"/>
    </row>
    <row r="50" spans="1:23" ht="32.25" thickBot="1" x14ac:dyDescent="0.55000000000000004">
      <c r="A50" s="617" t="s">
        <v>316</v>
      </c>
      <c r="B50" s="618"/>
      <c r="C50" s="618"/>
      <c r="D50" s="618"/>
      <c r="E50" s="618"/>
      <c r="F50" s="618"/>
      <c r="G50" s="618"/>
      <c r="H50" s="619"/>
      <c r="I50" s="290"/>
      <c r="J50" s="290"/>
      <c r="K50" s="290"/>
      <c r="L50" s="290"/>
      <c r="M50" s="290"/>
      <c r="N50" s="617" t="s">
        <v>317</v>
      </c>
      <c r="O50" s="618"/>
      <c r="P50" s="618"/>
      <c r="Q50" s="618"/>
      <c r="R50" s="618"/>
      <c r="S50" s="618"/>
      <c r="T50" s="618"/>
      <c r="U50" s="163"/>
      <c r="V50" s="117"/>
      <c r="W50" s="22"/>
    </row>
    <row r="51" spans="1:23" ht="30" x14ac:dyDescent="0.25">
      <c r="A51" s="137" t="s">
        <v>252</v>
      </c>
      <c r="B51" s="13" t="s">
        <v>158</v>
      </c>
      <c r="C51" s="13" t="s">
        <v>11</v>
      </c>
      <c r="D51" s="13" t="s">
        <v>12</v>
      </c>
      <c r="E51" s="13" t="s">
        <v>13</v>
      </c>
      <c r="F51" s="13" t="s">
        <v>14</v>
      </c>
      <c r="G51" s="20" t="s">
        <v>0</v>
      </c>
      <c r="H51" s="15"/>
      <c r="I51" s="57"/>
      <c r="J51" s="57"/>
      <c r="K51" s="57"/>
      <c r="L51" s="57"/>
      <c r="M51" s="57"/>
      <c r="N51" s="22"/>
      <c r="O51" s="13" t="s">
        <v>285</v>
      </c>
      <c r="P51" s="2" t="s">
        <v>11</v>
      </c>
      <c r="Q51" s="2" t="s">
        <v>12</v>
      </c>
      <c r="R51" s="2" t="s">
        <v>13</v>
      </c>
      <c r="S51" s="2" t="s">
        <v>14</v>
      </c>
      <c r="T51" s="2" t="s">
        <v>0</v>
      </c>
      <c r="U51" s="163"/>
      <c r="V51" s="117"/>
      <c r="W51" s="22"/>
    </row>
    <row r="52" spans="1:23" x14ac:dyDescent="0.25">
      <c r="A52" s="32">
        <v>9</v>
      </c>
      <c r="B52" s="21" t="s">
        <v>2</v>
      </c>
      <c r="C52" s="6"/>
      <c r="D52" s="4"/>
      <c r="E52" s="3"/>
      <c r="F52" s="5"/>
      <c r="G52" s="3"/>
      <c r="H52" s="15"/>
      <c r="I52" s="57"/>
      <c r="J52" s="57"/>
      <c r="K52" s="57"/>
      <c r="L52" s="57"/>
      <c r="M52" s="57"/>
      <c r="N52" s="32">
        <v>9</v>
      </c>
      <c r="O52" s="14" t="s">
        <v>2</v>
      </c>
      <c r="P52" s="6"/>
      <c r="Q52" s="4"/>
      <c r="R52" s="3"/>
      <c r="S52" s="5"/>
      <c r="T52" s="3"/>
      <c r="U52" s="163"/>
      <c r="V52" s="117"/>
      <c r="W52" s="22"/>
    </row>
    <row r="53" spans="1:23" x14ac:dyDescent="0.25">
      <c r="A53" s="32">
        <v>10</v>
      </c>
      <c r="B53" s="21" t="s">
        <v>3</v>
      </c>
      <c r="C53" s="7"/>
      <c r="D53" s="7"/>
      <c r="H53" s="15"/>
      <c r="I53" s="57"/>
      <c r="J53" s="57"/>
      <c r="K53" s="57"/>
      <c r="L53" s="57"/>
      <c r="M53" s="57"/>
      <c r="N53" s="32">
        <v>10</v>
      </c>
      <c r="O53" s="14" t="s">
        <v>3</v>
      </c>
      <c r="P53" s="7"/>
      <c r="Q53" s="7"/>
      <c r="U53" s="163"/>
      <c r="V53" s="154"/>
      <c r="W53" s="22"/>
    </row>
    <row r="54" spans="1:23" ht="27" customHeight="1" x14ac:dyDescent="0.25">
      <c r="A54" s="53">
        <v>11</v>
      </c>
      <c r="B54" s="21" t="s">
        <v>4</v>
      </c>
      <c r="C54" s="7"/>
      <c r="D54" s="7"/>
      <c r="G54" s="3"/>
      <c r="H54" s="15"/>
      <c r="I54" s="57"/>
      <c r="J54" s="57"/>
      <c r="K54" s="57"/>
      <c r="L54" s="57"/>
      <c r="M54" s="57"/>
      <c r="N54" s="53">
        <v>11</v>
      </c>
      <c r="O54" s="14" t="s">
        <v>4</v>
      </c>
      <c r="P54" s="7"/>
      <c r="Q54" s="7"/>
      <c r="T54" s="3"/>
      <c r="U54" s="163"/>
      <c r="V54" s="117"/>
      <c r="W54" s="22"/>
    </row>
    <row r="55" spans="1:23" x14ac:dyDescent="0.25">
      <c r="A55" s="53">
        <v>12</v>
      </c>
      <c r="B55" s="21" t="s">
        <v>5</v>
      </c>
      <c r="C55" s="7">
        <v>0.54166666666666663</v>
      </c>
      <c r="D55" s="7">
        <v>0.625</v>
      </c>
      <c r="E55">
        <v>2</v>
      </c>
      <c r="G55" s="3"/>
      <c r="H55" s="15"/>
      <c r="I55" s="57"/>
      <c r="J55" s="57"/>
      <c r="K55" s="57"/>
      <c r="L55" s="57"/>
      <c r="M55" s="57"/>
      <c r="N55" s="53">
        <v>12</v>
      </c>
      <c r="O55" s="14" t="s">
        <v>5</v>
      </c>
      <c r="P55" s="7"/>
      <c r="Q55" s="7"/>
      <c r="T55" s="3"/>
      <c r="U55" s="163"/>
      <c r="V55" s="117"/>
      <c r="W55" s="22"/>
    </row>
    <row r="56" spans="1:23" x14ac:dyDescent="0.25">
      <c r="A56" s="53"/>
      <c r="B56" s="21"/>
      <c r="C56" s="4"/>
      <c r="D56" s="4"/>
      <c r="E56" s="3"/>
      <c r="F56" s="5"/>
      <c r="G56" s="3"/>
      <c r="H56" s="15"/>
      <c r="I56" s="57"/>
      <c r="J56" s="57"/>
      <c r="K56" s="57"/>
      <c r="L56" s="57"/>
      <c r="M56" s="57"/>
      <c r="N56" s="53"/>
      <c r="P56" s="4"/>
      <c r="Q56" s="4"/>
      <c r="R56" s="3"/>
      <c r="S56" s="5"/>
      <c r="T56" s="3"/>
      <c r="U56" s="163"/>
      <c r="V56" s="154"/>
      <c r="W56" s="22"/>
    </row>
    <row r="57" spans="1:23" x14ac:dyDescent="0.25">
      <c r="A57" s="53">
        <v>13</v>
      </c>
      <c r="B57" s="21" t="s">
        <v>6</v>
      </c>
      <c r="C57" s="8"/>
      <c r="D57" s="8"/>
      <c r="E57" s="3"/>
      <c r="G57" s="5"/>
      <c r="H57" s="15"/>
      <c r="I57" s="57"/>
      <c r="J57" s="57"/>
      <c r="K57" s="57"/>
      <c r="L57" s="57"/>
      <c r="M57" s="57"/>
      <c r="N57" s="53">
        <v>13</v>
      </c>
      <c r="O57" s="14" t="s">
        <v>6</v>
      </c>
      <c r="P57" s="8"/>
      <c r="Q57" s="8"/>
      <c r="R57" s="3"/>
      <c r="T57" s="5"/>
      <c r="U57" s="119"/>
      <c r="V57" s="117"/>
      <c r="W57" s="22"/>
    </row>
    <row r="58" spans="1:23" x14ac:dyDescent="0.25">
      <c r="A58" s="53">
        <v>14</v>
      </c>
      <c r="B58" s="21" t="s">
        <v>7</v>
      </c>
      <c r="C58" s="8"/>
      <c r="D58" s="8"/>
      <c r="E58" s="3"/>
      <c r="F58" s="5"/>
      <c r="G58" s="3"/>
      <c r="H58" s="15"/>
      <c r="I58" s="57"/>
      <c r="J58" s="57"/>
      <c r="K58" s="57"/>
      <c r="L58" s="57"/>
      <c r="M58" s="57"/>
      <c r="N58" s="53">
        <v>14</v>
      </c>
      <c r="O58" s="14" t="s">
        <v>7</v>
      </c>
      <c r="P58" s="8"/>
      <c r="Q58" s="8"/>
      <c r="R58" s="3"/>
      <c r="S58" s="5"/>
      <c r="T58" s="3"/>
      <c r="U58" s="119"/>
      <c r="V58" s="117"/>
      <c r="W58" s="22"/>
    </row>
    <row r="59" spans="1:23" x14ac:dyDescent="0.25">
      <c r="A59" s="53">
        <v>15</v>
      </c>
      <c r="B59" s="21" t="s">
        <v>8</v>
      </c>
      <c r="C59" s="4"/>
      <c r="D59" s="4"/>
      <c r="E59" s="3"/>
      <c r="F59" s="5"/>
      <c r="G59" s="3"/>
      <c r="H59" s="15"/>
      <c r="I59" s="57"/>
      <c r="J59" s="57"/>
      <c r="K59" s="57"/>
      <c r="L59" s="57"/>
      <c r="M59" s="57"/>
      <c r="N59" s="53">
        <v>15</v>
      </c>
      <c r="O59" s="14" t="s">
        <v>8</v>
      </c>
      <c r="P59" s="4"/>
      <c r="Q59" s="4"/>
      <c r="R59" s="3"/>
      <c r="S59" s="5"/>
      <c r="T59" s="3"/>
      <c r="U59" s="119"/>
      <c r="V59" s="117"/>
      <c r="W59" s="22"/>
    </row>
    <row r="60" spans="1:23" x14ac:dyDescent="0.25">
      <c r="B60" s="13" t="s">
        <v>26</v>
      </c>
      <c r="C60" s="32"/>
      <c r="D60" s="32"/>
      <c r="E60" s="32">
        <f>SUM(E51:E59)</f>
        <v>2</v>
      </c>
      <c r="F60" s="15"/>
      <c r="G60" s="53"/>
      <c r="H60" s="229"/>
      <c r="I60" s="57"/>
      <c r="J60" s="57"/>
      <c r="K60" s="57"/>
      <c r="L60" s="57"/>
      <c r="M60" s="57"/>
      <c r="N60" s="22"/>
      <c r="O60" s="13" t="s">
        <v>26</v>
      </c>
      <c r="P60" s="1"/>
      <c r="Q60" s="1"/>
      <c r="R60" s="1">
        <f>SUM(R52:R59)</f>
        <v>0</v>
      </c>
      <c r="U60" s="119"/>
      <c r="V60" s="117"/>
      <c r="W60" s="22"/>
    </row>
    <row r="61" spans="1:23" x14ac:dyDescent="0.25">
      <c r="B61" s="15"/>
      <c r="C61" s="15"/>
      <c r="D61" s="15"/>
      <c r="E61" s="15"/>
      <c r="F61" s="15"/>
      <c r="G61" s="15"/>
      <c r="H61" s="15"/>
      <c r="I61" s="57"/>
      <c r="J61" s="57"/>
      <c r="K61" s="57"/>
      <c r="L61" s="57"/>
      <c r="M61" s="57"/>
      <c r="N61" s="22"/>
      <c r="O61" s="13"/>
      <c r="P61" s="1"/>
      <c r="Q61" s="1"/>
      <c r="R61" s="1"/>
      <c r="U61" s="163"/>
      <c r="V61" s="117"/>
      <c r="W61" s="22"/>
    </row>
    <row r="62" spans="1:23" x14ac:dyDescent="0.25">
      <c r="B62" s="15"/>
      <c r="C62" s="15"/>
      <c r="D62" s="15"/>
      <c r="E62" s="15"/>
      <c r="F62" s="15"/>
      <c r="G62" s="15"/>
      <c r="H62" s="15"/>
      <c r="I62" s="57"/>
      <c r="J62" s="57"/>
      <c r="K62" s="57"/>
      <c r="L62" s="57"/>
      <c r="M62" s="57"/>
      <c r="N62" s="22"/>
      <c r="O62" s="22"/>
      <c r="P62" s="117"/>
      <c r="Q62" s="117"/>
      <c r="R62" s="117"/>
      <c r="S62" s="117"/>
      <c r="T62" s="117"/>
      <c r="U62" s="163"/>
      <c r="V62" s="117"/>
      <c r="W62" s="22"/>
    </row>
    <row r="63" spans="1:23" ht="30" x14ac:dyDescent="0.25">
      <c r="B63" s="13" t="s">
        <v>159</v>
      </c>
      <c r="C63" s="13" t="s">
        <v>11</v>
      </c>
      <c r="D63" s="13" t="s">
        <v>12</v>
      </c>
      <c r="E63" s="13" t="s">
        <v>13</v>
      </c>
      <c r="F63" s="13" t="s">
        <v>14</v>
      </c>
      <c r="G63" s="20" t="s">
        <v>0</v>
      </c>
      <c r="H63" s="22"/>
      <c r="I63" s="57"/>
      <c r="J63" s="57"/>
      <c r="K63" s="57"/>
      <c r="L63" s="57"/>
      <c r="M63" s="57"/>
      <c r="N63" s="15"/>
      <c r="O63" s="13" t="s">
        <v>159</v>
      </c>
      <c r="P63" s="13" t="s">
        <v>11</v>
      </c>
      <c r="Q63" s="13" t="s">
        <v>12</v>
      </c>
      <c r="R63" s="13" t="s">
        <v>13</v>
      </c>
      <c r="S63" s="13" t="s">
        <v>14</v>
      </c>
      <c r="T63" s="20" t="s">
        <v>0</v>
      </c>
      <c r="U63" s="57"/>
      <c r="V63" s="117"/>
      <c r="W63" s="22"/>
    </row>
    <row r="64" spans="1:23" x14ac:dyDescent="0.25">
      <c r="A64" s="53">
        <v>16</v>
      </c>
      <c r="B64" s="14" t="s">
        <v>2</v>
      </c>
      <c r="C64" s="33"/>
      <c r="D64" s="25"/>
      <c r="E64" s="14"/>
      <c r="F64" s="24"/>
      <c r="G64" s="21"/>
      <c r="H64" s="22"/>
      <c r="I64" s="57"/>
      <c r="J64" s="57"/>
      <c r="K64" s="57"/>
      <c r="L64" s="57"/>
      <c r="M64" s="57"/>
      <c r="N64" s="53">
        <v>16</v>
      </c>
      <c r="O64" s="14" t="s">
        <v>2</v>
      </c>
      <c r="P64" s="33"/>
      <c r="Q64" s="25"/>
      <c r="R64" s="14"/>
      <c r="S64" s="24"/>
      <c r="T64" s="21"/>
      <c r="U64" s="57"/>
      <c r="V64" s="117"/>
      <c r="W64" s="22"/>
    </row>
    <row r="65" spans="1:23" x14ac:dyDescent="0.25">
      <c r="A65" s="53">
        <v>17</v>
      </c>
      <c r="B65" s="14" t="s">
        <v>3</v>
      </c>
      <c r="C65" s="26"/>
      <c r="D65" s="26"/>
      <c r="E65" s="15"/>
      <c r="F65" s="15"/>
      <c r="G65" s="22"/>
      <c r="H65" s="22"/>
      <c r="I65" s="57"/>
      <c r="J65" s="57"/>
      <c r="K65" s="57"/>
      <c r="L65" s="57"/>
      <c r="M65" s="57"/>
      <c r="N65" s="53">
        <v>17</v>
      </c>
      <c r="O65" s="14" t="s">
        <v>3</v>
      </c>
      <c r="P65" s="26"/>
      <c r="Q65" s="26"/>
      <c r="R65" s="15"/>
      <c r="S65" s="15"/>
      <c r="T65" s="22"/>
      <c r="U65" s="57"/>
      <c r="V65" s="154"/>
      <c r="W65" s="22"/>
    </row>
    <row r="66" spans="1:23" x14ac:dyDescent="0.25">
      <c r="A66" s="53">
        <v>18</v>
      </c>
      <c r="B66" s="14" t="s">
        <v>4</v>
      </c>
      <c r="C66" s="26"/>
      <c r="D66" s="26"/>
      <c r="E66" s="15"/>
      <c r="F66" s="15"/>
      <c r="G66" s="21"/>
      <c r="H66" s="22"/>
      <c r="I66" s="57"/>
      <c r="J66" s="57"/>
      <c r="K66" s="57"/>
      <c r="L66" s="57"/>
      <c r="M66" s="57"/>
      <c r="N66" s="53">
        <v>18</v>
      </c>
      <c r="O66" s="14" t="s">
        <v>4</v>
      </c>
      <c r="P66" s="26"/>
      <c r="Q66" s="26"/>
      <c r="R66" s="15"/>
      <c r="S66" s="15"/>
      <c r="T66" s="21"/>
      <c r="U66" s="57"/>
      <c r="V66" s="117"/>
      <c r="W66" s="22"/>
    </row>
    <row r="67" spans="1:23" x14ac:dyDescent="0.25">
      <c r="A67" s="32">
        <v>19</v>
      </c>
      <c r="B67" s="14" t="s">
        <v>5</v>
      </c>
      <c r="C67" s="7">
        <v>0.54166666666666663</v>
      </c>
      <c r="D67" s="7">
        <v>0.625</v>
      </c>
      <c r="E67">
        <v>2</v>
      </c>
      <c r="F67" s="24"/>
      <c r="G67" s="21"/>
      <c r="H67" s="22"/>
      <c r="I67" s="57"/>
      <c r="J67" s="57"/>
      <c r="K67" s="57"/>
      <c r="L67" s="57"/>
      <c r="M67" s="57"/>
      <c r="N67" s="32">
        <v>19</v>
      </c>
      <c r="O67" s="14" t="s">
        <v>5</v>
      </c>
      <c r="P67" s="15"/>
      <c r="Q67" s="15"/>
      <c r="R67" s="15"/>
      <c r="S67" s="24"/>
      <c r="T67" s="21"/>
      <c r="U67" s="57"/>
      <c r="V67" s="117"/>
      <c r="W67" s="22"/>
    </row>
    <row r="68" spans="1:23" x14ac:dyDescent="0.25">
      <c r="A68" s="32"/>
      <c r="B68" s="14"/>
      <c r="C68" s="25"/>
      <c r="D68" s="25"/>
      <c r="E68" s="14"/>
      <c r="F68" s="24"/>
      <c r="G68" s="21"/>
      <c r="H68" s="22"/>
      <c r="I68" s="57"/>
      <c r="J68" s="57"/>
      <c r="K68" s="57"/>
      <c r="L68" s="57"/>
      <c r="M68" s="57"/>
      <c r="N68" s="32"/>
      <c r="O68" s="14"/>
      <c r="P68" s="25"/>
      <c r="Q68" s="25"/>
      <c r="R68" s="14"/>
      <c r="S68" s="24"/>
      <c r="T68" s="21"/>
      <c r="U68" s="57"/>
      <c r="V68" s="154"/>
      <c r="W68" s="22"/>
    </row>
    <row r="69" spans="1:23" x14ac:dyDescent="0.25">
      <c r="A69" s="32">
        <v>20</v>
      </c>
      <c r="B69" s="14" t="s">
        <v>6</v>
      </c>
      <c r="C69" s="42"/>
      <c r="D69" s="42"/>
      <c r="E69" s="14"/>
      <c r="F69" s="15"/>
      <c r="G69" s="23"/>
      <c r="H69" s="22"/>
      <c r="I69" s="57"/>
      <c r="J69" s="57"/>
      <c r="K69" s="57"/>
      <c r="L69" s="57"/>
      <c r="M69" s="57"/>
      <c r="N69" s="32">
        <v>20</v>
      </c>
      <c r="O69" s="14" t="s">
        <v>6</v>
      </c>
      <c r="P69" s="42"/>
      <c r="Q69" s="42"/>
      <c r="R69" s="14"/>
      <c r="S69" s="15"/>
      <c r="T69" s="23"/>
      <c r="U69" s="57"/>
      <c r="V69" s="154"/>
      <c r="W69" s="22"/>
    </row>
    <row r="70" spans="1:23" x14ac:dyDescent="0.25">
      <c r="A70" s="32">
        <v>21</v>
      </c>
      <c r="B70" s="14" t="s">
        <v>7</v>
      </c>
      <c r="C70" s="42"/>
      <c r="D70" s="42"/>
      <c r="E70" s="14"/>
      <c r="F70" s="24"/>
      <c r="G70" s="21"/>
      <c r="H70" s="22"/>
      <c r="I70" s="57"/>
      <c r="J70" s="57"/>
      <c r="K70" s="57"/>
      <c r="L70" s="57"/>
      <c r="M70" s="57"/>
      <c r="N70" s="32">
        <v>21</v>
      </c>
      <c r="O70" s="14" t="s">
        <v>7</v>
      </c>
      <c r="P70" s="42"/>
      <c r="Q70" s="42"/>
      <c r="R70" s="14"/>
      <c r="S70" s="24"/>
      <c r="T70" s="21"/>
      <c r="U70" s="57"/>
      <c r="V70" s="117"/>
      <c r="W70" s="22"/>
    </row>
    <row r="71" spans="1:23" x14ac:dyDescent="0.25">
      <c r="A71" s="32">
        <v>22</v>
      </c>
      <c r="B71" s="14" t="s">
        <v>8</v>
      </c>
      <c r="C71" s="25"/>
      <c r="D71" s="25"/>
      <c r="E71" s="14"/>
      <c r="F71" s="24"/>
      <c r="G71" s="21"/>
      <c r="H71" s="22"/>
      <c r="I71" s="57"/>
      <c r="J71" s="57"/>
      <c r="K71" s="57"/>
      <c r="L71" s="57"/>
      <c r="M71" s="57"/>
      <c r="N71" s="32">
        <v>22</v>
      </c>
      <c r="O71" s="14" t="s">
        <v>8</v>
      </c>
      <c r="P71" s="25"/>
      <c r="Q71" s="25"/>
      <c r="R71" s="14"/>
      <c r="S71" s="24"/>
      <c r="T71" s="21"/>
      <c r="U71" s="57"/>
      <c r="V71" s="117"/>
      <c r="W71" s="22"/>
    </row>
    <row r="72" spans="1:23" x14ac:dyDescent="0.25">
      <c r="B72" s="13" t="s">
        <v>26</v>
      </c>
      <c r="C72" s="32"/>
      <c r="D72" s="32"/>
      <c r="E72" s="32">
        <f>SUM(E63:E71)</f>
        <v>2</v>
      </c>
      <c r="F72" s="15"/>
      <c r="G72" s="145"/>
      <c r="H72" s="22"/>
      <c r="I72" s="57"/>
      <c r="J72" s="57"/>
      <c r="K72" s="57"/>
      <c r="L72" s="57"/>
      <c r="M72" s="57"/>
      <c r="N72" s="15"/>
      <c r="O72" s="20" t="s">
        <v>26</v>
      </c>
      <c r="P72" s="53"/>
      <c r="Q72" s="53"/>
      <c r="R72" s="156">
        <f>SUM(R64:R71)</f>
        <v>0</v>
      </c>
      <c r="S72" s="22"/>
      <c r="T72" s="53"/>
      <c r="U72" s="57"/>
      <c r="V72" s="117"/>
      <c r="W72" s="22"/>
    </row>
    <row r="73" spans="1:23" x14ac:dyDescent="0.25">
      <c r="B73" s="35" t="s">
        <v>227</v>
      </c>
      <c r="C73" s="60"/>
      <c r="D73" s="61"/>
      <c r="E73" s="35"/>
      <c r="F73" s="115"/>
      <c r="G73" s="144"/>
      <c r="H73" s="151"/>
      <c r="I73" s="57"/>
      <c r="J73" s="57"/>
      <c r="K73" s="57"/>
      <c r="L73" s="57"/>
      <c r="M73" s="57"/>
      <c r="N73" s="15"/>
      <c r="O73" s="20" t="s">
        <v>227</v>
      </c>
      <c r="P73" s="146"/>
      <c r="Q73" s="147"/>
      <c r="R73" s="20"/>
      <c r="S73" s="20"/>
      <c r="T73" s="53"/>
      <c r="U73" s="164"/>
      <c r="V73" s="117"/>
      <c r="W73" s="22"/>
    </row>
    <row r="74" spans="1:23" ht="15.75" thickBot="1" x14ac:dyDescent="0.3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22"/>
      <c r="O74" s="22"/>
      <c r="P74" s="22"/>
      <c r="Q74" s="22"/>
      <c r="R74" s="22"/>
      <c r="S74" s="22"/>
      <c r="T74" s="22"/>
      <c r="U74" s="57"/>
      <c r="V74" s="117"/>
      <c r="W74" s="22"/>
    </row>
    <row r="75" spans="1:23" ht="90.75" thickBot="1" x14ac:dyDescent="0.3">
      <c r="A75" s="539" t="s">
        <v>225</v>
      </c>
      <c r="B75" s="105" t="s">
        <v>224</v>
      </c>
      <c r="C75" s="104" t="s">
        <v>2</v>
      </c>
      <c r="D75" s="104" t="s">
        <v>3</v>
      </c>
      <c r="E75" s="104" t="s">
        <v>4</v>
      </c>
      <c r="F75" s="104" t="s">
        <v>5</v>
      </c>
      <c r="G75" s="104" t="s">
        <v>6</v>
      </c>
      <c r="H75" s="104" t="s">
        <v>7</v>
      </c>
      <c r="I75" s="104" t="s">
        <v>8</v>
      </c>
      <c r="J75" s="103" t="s">
        <v>197</v>
      </c>
      <c r="K75" s="15"/>
      <c r="L75" s="57"/>
      <c r="M75" s="57"/>
      <c r="N75" s="15"/>
      <c r="P75" s="15"/>
      <c r="Q75" s="15"/>
      <c r="R75" s="15"/>
      <c r="S75" s="15"/>
      <c r="T75" s="15"/>
      <c r="U75" s="57"/>
      <c r="W75" s="22"/>
    </row>
    <row r="76" spans="1:23" ht="30" x14ac:dyDescent="0.25">
      <c r="A76" s="539"/>
      <c r="B76" s="569" t="s">
        <v>207</v>
      </c>
      <c r="C76" s="102"/>
      <c r="D76" s="15">
        <v>4</v>
      </c>
      <c r="E76" s="15"/>
      <c r="F76" s="15"/>
      <c r="G76" s="15">
        <v>4</v>
      </c>
      <c r="H76" s="101"/>
      <c r="I76" s="101"/>
      <c r="J76" s="89">
        <f>SUM(C76:I76)</f>
        <v>8</v>
      </c>
      <c r="K76" s="599" t="s">
        <v>223</v>
      </c>
      <c r="L76" s="57"/>
      <c r="M76" s="57"/>
      <c r="N76" s="15"/>
      <c r="O76" s="13" t="s">
        <v>160</v>
      </c>
      <c r="P76" s="13" t="s">
        <v>11</v>
      </c>
      <c r="Q76" s="13" t="s">
        <v>12</v>
      </c>
      <c r="R76" s="13" t="s">
        <v>13</v>
      </c>
      <c r="S76" s="13" t="s">
        <v>14</v>
      </c>
      <c r="T76" s="13" t="s">
        <v>0</v>
      </c>
      <c r="U76" s="57"/>
      <c r="W76" s="22"/>
    </row>
    <row r="77" spans="1:23" x14ac:dyDescent="0.25">
      <c r="A77" s="539"/>
      <c r="B77" s="541"/>
      <c r="C77" s="545" t="s">
        <v>205</v>
      </c>
      <c r="D77" s="546"/>
      <c r="E77" s="546"/>
      <c r="F77" s="546"/>
      <c r="G77" s="546"/>
      <c r="H77" s="100"/>
      <c r="I77" s="100"/>
      <c r="J77" s="95"/>
      <c r="K77" s="599"/>
      <c r="L77" s="57"/>
      <c r="M77" s="57"/>
      <c r="N77" s="32">
        <v>23</v>
      </c>
      <c r="O77" s="14" t="s">
        <v>2</v>
      </c>
      <c r="P77" s="33"/>
      <c r="Q77" s="25"/>
      <c r="R77" s="14"/>
      <c r="S77" s="24"/>
      <c r="T77" s="14"/>
      <c r="U77" s="57"/>
      <c r="W77" s="22"/>
    </row>
    <row r="78" spans="1:23" x14ac:dyDescent="0.25">
      <c r="A78" s="539"/>
      <c r="B78" s="535" t="s">
        <v>9</v>
      </c>
      <c r="C78" s="99">
        <v>2</v>
      </c>
      <c r="D78" s="99">
        <v>4</v>
      </c>
      <c r="E78" s="533" t="s">
        <v>200</v>
      </c>
      <c r="F78" s="87">
        <v>7</v>
      </c>
      <c r="G78" s="99">
        <v>2</v>
      </c>
      <c r="H78" s="295"/>
      <c r="I78" s="548"/>
      <c r="J78" s="89">
        <f>SUM(C78:I78)</f>
        <v>15</v>
      </c>
      <c r="K78" s="599"/>
      <c r="L78" s="57"/>
      <c r="M78" s="57"/>
      <c r="N78" s="32">
        <v>24</v>
      </c>
      <c r="O78" s="14" t="s">
        <v>3</v>
      </c>
      <c r="P78" s="26"/>
      <c r="Q78" s="26"/>
      <c r="R78" s="15"/>
      <c r="S78" s="15"/>
      <c r="T78" s="15"/>
      <c r="U78" s="57"/>
      <c r="W78" s="22"/>
    </row>
    <row r="79" spans="1:23" ht="30" x14ac:dyDescent="0.25">
      <c r="A79" s="539"/>
      <c r="B79" s="547"/>
      <c r="C79" s="550" t="s">
        <v>203</v>
      </c>
      <c r="D79" s="551"/>
      <c r="E79" s="534"/>
      <c r="F79" s="98" t="s">
        <v>204</v>
      </c>
      <c r="G79" s="296" t="s">
        <v>203</v>
      </c>
      <c r="H79" s="96"/>
      <c r="I79" s="549"/>
      <c r="J79" s="95"/>
      <c r="K79" s="599"/>
      <c r="L79" s="57"/>
      <c r="M79" s="57"/>
      <c r="N79" s="32">
        <v>25</v>
      </c>
      <c r="O79" s="14" t="s">
        <v>4</v>
      </c>
      <c r="P79" s="26"/>
      <c r="Q79" s="26"/>
      <c r="R79" s="15"/>
      <c r="S79" s="15"/>
      <c r="T79" s="14"/>
      <c r="U79" s="57"/>
      <c r="W79" s="22"/>
    </row>
    <row r="80" spans="1:23" x14ac:dyDescent="0.25">
      <c r="A80" s="539"/>
      <c r="B80" s="535" t="s">
        <v>202</v>
      </c>
      <c r="C80" s="533" t="s">
        <v>200</v>
      </c>
      <c r="D80" s="533" t="s">
        <v>200</v>
      </c>
      <c r="E80" s="533" t="s">
        <v>200</v>
      </c>
      <c r="F80" s="533" t="s">
        <v>200</v>
      </c>
      <c r="G80" s="533" t="s">
        <v>200</v>
      </c>
      <c r="H80" s="562" t="s">
        <v>222</v>
      </c>
      <c r="I80" s="563"/>
      <c r="J80" s="89">
        <v>5</v>
      </c>
      <c r="K80" s="599"/>
      <c r="L80" s="57"/>
      <c r="M80" s="57"/>
      <c r="N80" s="32">
        <v>26</v>
      </c>
      <c r="O80" s="14" t="s">
        <v>5</v>
      </c>
      <c r="P80" s="25"/>
      <c r="Q80" s="25"/>
      <c r="R80" s="14"/>
      <c r="S80" s="24"/>
      <c r="T80" s="14"/>
      <c r="U80" s="57"/>
      <c r="V80" s="22"/>
      <c r="W80" s="22"/>
    </row>
    <row r="81" spans="1:23" x14ac:dyDescent="0.25">
      <c r="A81" s="539"/>
      <c r="B81" s="547"/>
      <c r="C81" s="534"/>
      <c r="D81" s="534"/>
      <c r="E81" s="534"/>
      <c r="F81" s="534"/>
      <c r="G81" s="534"/>
      <c r="H81" s="558"/>
      <c r="I81" s="559"/>
      <c r="J81" s="95"/>
      <c r="K81" s="599"/>
      <c r="L81" s="57"/>
      <c r="M81" s="57"/>
      <c r="N81" s="32">
        <v>27</v>
      </c>
      <c r="O81" s="14" t="s">
        <v>6</v>
      </c>
      <c r="P81" s="42"/>
      <c r="Q81" s="42"/>
      <c r="R81" s="14"/>
      <c r="S81" s="15"/>
      <c r="T81" s="24"/>
      <c r="U81" s="57"/>
      <c r="V81" s="22"/>
      <c r="W81" s="22"/>
    </row>
    <row r="82" spans="1:23" x14ac:dyDescent="0.25">
      <c r="A82" s="539"/>
      <c r="B82" s="535" t="s">
        <v>1</v>
      </c>
      <c r="C82" s="600" t="s">
        <v>200</v>
      </c>
      <c r="D82" s="600" t="s">
        <v>200</v>
      </c>
      <c r="E82" s="600" t="s">
        <v>200</v>
      </c>
      <c r="F82" s="298">
        <v>2</v>
      </c>
      <c r="G82" s="600" t="s">
        <v>200</v>
      </c>
      <c r="H82" s="528"/>
      <c r="I82" s="528"/>
      <c r="J82" s="89">
        <f>SUM(C82:I82)</f>
        <v>2</v>
      </c>
      <c r="K82" s="599"/>
      <c r="L82" s="57"/>
      <c r="M82" s="57"/>
      <c r="N82" s="32">
        <v>28</v>
      </c>
      <c r="O82" s="14" t="s">
        <v>7</v>
      </c>
      <c r="P82" s="42"/>
      <c r="Q82" s="42"/>
      <c r="R82" s="14"/>
      <c r="S82" s="24"/>
      <c r="T82" s="14"/>
      <c r="U82" s="57"/>
      <c r="V82" s="22"/>
      <c r="W82" s="22"/>
    </row>
    <row r="83" spans="1:23" ht="15.75" thickBot="1" x14ac:dyDescent="0.3">
      <c r="A83" s="539"/>
      <c r="B83" s="536"/>
      <c r="C83" s="601"/>
      <c r="D83" s="601"/>
      <c r="E83" s="601"/>
      <c r="F83" s="108" t="s">
        <v>146</v>
      </c>
      <c r="G83" s="601"/>
      <c r="H83" s="529"/>
      <c r="I83" s="529"/>
      <c r="J83" s="95"/>
      <c r="K83" s="599"/>
      <c r="L83" s="57"/>
      <c r="M83" s="57"/>
      <c r="N83" s="32">
        <v>29</v>
      </c>
      <c r="O83" s="14" t="s">
        <v>8</v>
      </c>
      <c r="P83" s="25"/>
      <c r="Q83" s="25"/>
      <c r="R83" s="14"/>
      <c r="S83" s="24"/>
      <c r="T83" s="14"/>
      <c r="U83" s="57"/>
      <c r="V83" s="22"/>
      <c r="W83" s="22"/>
    </row>
    <row r="84" spans="1:23" ht="30.75" thickBot="1" x14ac:dyDescent="0.3">
      <c r="A84" s="539"/>
      <c r="B84" s="91" t="s">
        <v>198</v>
      </c>
      <c r="C84" s="90"/>
      <c r="D84" s="90"/>
      <c r="E84" s="90"/>
      <c r="F84" s="90"/>
      <c r="G84" s="90"/>
      <c r="H84" s="90"/>
      <c r="I84" s="90"/>
      <c r="J84" s="89">
        <f>SUM(C84:I84)</f>
        <v>0</v>
      </c>
      <c r="K84" s="599"/>
      <c r="L84" s="57"/>
      <c r="M84" s="57"/>
      <c r="N84" s="32"/>
      <c r="O84" s="13" t="s">
        <v>26</v>
      </c>
      <c r="P84" s="32"/>
      <c r="Q84" s="32"/>
      <c r="R84" s="32">
        <f>SUM(R76:R83)</f>
        <v>0</v>
      </c>
      <c r="S84" s="15"/>
      <c r="T84" s="15"/>
      <c r="U84" s="57"/>
      <c r="V84" s="22"/>
      <c r="W84" s="22"/>
    </row>
    <row r="85" spans="1:23" ht="15.75" thickBot="1" x14ac:dyDescent="0.3">
      <c r="A85" s="294"/>
      <c r="B85" s="88" t="s">
        <v>197</v>
      </c>
      <c r="C85" s="87">
        <v>2</v>
      </c>
      <c r="D85" s="87">
        <v>4</v>
      </c>
      <c r="E85" s="87">
        <v>2</v>
      </c>
      <c r="F85" s="87">
        <v>7</v>
      </c>
      <c r="G85" s="87">
        <v>4</v>
      </c>
      <c r="H85" s="295"/>
      <c r="I85" s="295"/>
      <c r="J85" s="85">
        <f>SUM(J76:J84)</f>
        <v>30</v>
      </c>
      <c r="K85" s="75"/>
      <c r="L85" s="57"/>
      <c r="M85" s="57"/>
      <c r="N85" s="15"/>
      <c r="O85" s="13"/>
      <c r="P85" s="2"/>
      <c r="Q85" s="2"/>
      <c r="R85" s="2"/>
      <c r="S85" s="2"/>
      <c r="T85" s="2"/>
      <c r="U85" s="119"/>
      <c r="V85" s="22"/>
      <c r="W85" s="22"/>
    </row>
    <row r="86" spans="1:23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57"/>
      <c r="M86" s="57"/>
      <c r="N86" s="15"/>
      <c r="P86" s="15"/>
      <c r="Q86" s="15"/>
      <c r="R86" s="15"/>
      <c r="S86" s="15"/>
      <c r="T86" s="15"/>
      <c r="U86" s="163"/>
      <c r="V86" s="22"/>
      <c r="W86" s="22"/>
    </row>
    <row r="87" spans="1:23" ht="15.75" thickBot="1" x14ac:dyDescent="0.3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57"/>
      <c r="M87" s="57"/>
      <c r="N87" s="15"/>
      <c r="P87" s="15"/>
      <c r="Q87" s="15"/>
      <c r="R87" s="15"/>
      <c r="S87" s="15"/>
      <c r="T87" s="15"/>
      <c r="U87" s="163"/>
      <c r="V87" s="22"/>
      <c r="W87" s="22"/>
    </row>
    <row r="88" spans="1:23" ht="90.75" thickBot="1" x14ac:dyDescent="0.3">
      <c r="A88" s="539" t="s">
        <v>221</v>
      </c>
      <c r="B88" s="105" t="s">
        <v>220</v>
      </c>
      <c r="C88" s="104" t="s">
        <v>2</v>
      </c>
      <c r="D88" s="104" t="s">
        <v>3</v>
      </c>
      <c r="E88" s="104" t="s">
        <v>4</v>
      </c>
      <c r="F88" s="104" t="s">
        <v>5</v>
      </c>
      <c r="G88" s="104" t="s">
        <v>6</v>
      </c>
      <c r="H88" s="104" t="s">
        <v>7</v>
      </c>
      <c r="I88" s="104" t="s">
        <v>8</v>
      </c>
      <c r="J88" s="103" t="s">
        <v>197</v>
      </c>
      <c r="K88" s="15"/>
      <c r="L88" s="57"/>
      <c r="M88" s="57"/>
      <c r="N88" s="15"/>
      <c r="P88" s="15"/>
      <c r="Q88" s="15"/>
      <c r="R88" s="15"/>
      <c r="S88" s="15"/>
      <c r="T88" s="15"/>
      <c r="U88" s="163"/>
      <c r="V88" s="22"/>
      <c r="W88" s="22"/>
    </row>
    <row r="89" spans="1:23" x14ac:dyDescent="0.25">
      <c r="A89" s="539"/>
      <c r="B89" s="540" t="s">
        <v>207</v>
      </c>
      <c r="C89" s="102"/>
      <c r="D89" s="15">
        <v>4</v>
      </c>
      <c r="E89" s="15"/>
      <c r="F89" s="15"/>
      <c r="G89" s="15">
        <v>4</v>
      </c>
      <c r="H89" s="101"/>
      <c r="I89" s="101"/>
      <c r="J89" s="89">
        <f>SUM(C89:I89)</f>
        <v>8</v>
      </c>
      <c r="K89" s="599" t="s">
        <v>219</v>
      </c>
      <c r="L89" s="57"/>
      <c r="M89" s="57"/>
      <c r="N89" s="15"/>
      <c r="P89" s="15"/>
      <c r="Q89" s="15"/>
      <c r="R89" s="15"/>
      <c r="S89" s="15"/>
      <c r="T89" s="15"/>
      <c r="U89" s="163"/>
      <c r="V89" s="22"/>
      <c r="W89" s="22"/>
    </row>
    <row r="90" spans="1:23" ht="30" x14ac:dyDescent="0.25">
      <c r="A90" s="539"/>
      <c r="B90" s="541"/>
      <c r="C90" s="545" t="s">
        <v>205</v>
      </c>
      <c r="D90" s="546"/>
      <c r="E90" s="546"/>
      <c r="F90" s="546"/>
      <c r="G90" s="546"/>
      <c r="H90" s="100"/>
      <c r="I90" s="100"/>
      <c r="J90" s="95"/>
      <c r="K90" s="599"/>
      <c r="L90" s="57"/>
      <c r="M90" s="57"/>
      <c r="N90" s="15"/>
      <c r="O90" s="13" t="s">
        <v>162</v>
      </c>
      <c r="P90" s="2" t="s">
        <v>11</v>
      </c>
      <c r="Q90" s="2" t="s">
        <v>12</v>
      </c>
      <c r="R90" s="2" t="s">
        <v>13</v>
      </c>
      <c r="S90" s="2" t="s">
        <v>14</v>
      </c>
      <c r="T90" s="2" t="s">
        <v>0</v>
      </c>
      <c r="U90" s="163"/>
      <c r="V90" s="22"/>
      <c r="W90" s="22"/>
    </row>
    <row r="91" spans="1:23" x14ac:dyDescent="0.25">
      <c r="A91" s="539"/>
      <c r="B91" s="535" t="s">
        <v>9</v>
      </c>
      <c r="C91" s="99">
        <v>2</v>
      </c>
      <c r="D91" s="99">
        <v>4</v>
      </c>
      <c r="E91" s="533" t="s">
        <v>200</v>
      </c>
      <c r="F91" s="87">
        <v>7</v>
      </c>
      <c r="G91" s="99">
        <v>2</v>
      </c>
      <c r="H91" s="295"/>
      <c r="I91" s="548"/>
      <c r="J91" s="89">
        <f>SUM(C91:I91)</f>
        <v>15</v>
      </c>
      <c r="K91" s="599"/>
      <c r="L91" s="57"/>
      <c r="M91" s="57"/>
      <c r="N91" s="32">
        <v>30</v>
      </c>
      <c r="O91" s="14" t="s">
        <v>2</v>
      </c>
      <c r="P91" s="6"/>
      <c r="Q91" s="4"/>
      <c r="R91" s="3"/>
      <c r="S91" s="5"/>
      <c r="T91" s="3"/>
      <c r="U91" s="163"/>
      <c r="V91" s="22"/>
      <c r="W91" s="22"/>
    </row>
    <row r="92" spans="1:23" ht="30" x14ac:dyDescent="0.25">
      <c r="A92" s="539"/>
      <c r="B92" s="547"/>
      <c r="C92" s="550" t="s">
        <v>203</v>
      </c>
      <c r="D92" s="551"/>
      <c r="E92" s="534"/>
      <c r="F92" s="98" t="s">
        <v>204</v>
      </c>
      <c r="G92" s="296" t="s">
        <v>203</v>
      </c>
      <c r="H92" s="96"/>
      <c r="I92" s="549"/>
      <c r="J92" s="95"/>
      <c r="K92" s="599"/>
      <c r="L92" s="57"/>
      <c r="M92" s="57"/>
      <c r="N92" s="32">
        <v>31</v>
      </c>
      <c r="O92" s="14" t="s">
        <v>3</v>
      </c>
      <c r="P92" s="7"/>
      <c r="Q92" s="7"/>
      <c r="U92" s="163"/>
      <c r="V92" s="22"/>
      <c r="W92" s="22"/>
    </row>
    <row r="93" spans="1:23" x14ac:dyDescent="0.25">
      <c r="A93" s="539"/>
      <c r="B93" s="535" t="s">
        <v>202</v>
      </c>
      <c r="C93" s="533" t="s">
        <v>200</v>
      </c>
      <c r="D93" s="533" t="s">
        <v>200</v>
      </c>
      <c r="E93" s="533" t="s">
        <v>200</v>
      </c>
      <c r="F93" s="533" t="s">
        <v>200</v>
      </c>
      <c r="G93" s="533" t="s">
        <v>200</v>
      </c>
      <c r="H93" s="562" t="s">
        <v>218</v>
      </c>
      <c r="I93" s="563"/>
      <c r="J93" s="89">
        <v>2</v>
      </c>
      <c r="K93" s="599"/>
      <c r="L93" s="57"/>
      <c r="M93" s="57"/>
      <c r="N93" s="32">
        <v>1</v>
      </c>
      <c r="O93" s="14" t="s">
        <v>4</v>
      </c>
      <c r="P93" s="7"/>
      <c r="Q93" s="7"/>
      <c r="T93" s="3"/>
      <c r="U93" s="119"/>
      <c r="V93" s="22"/>
      <c r="W93" s="22"/>
    </row>
    <row r="94" spans="1:23" x14ac:dyDescent="0.25">
      <c r="A94" s="539"/>
      <c r="B94" s="547"/>
      <c r="C94" s="534"/>
      <c r="D94" s="534"/>
      <c r="E94" s="534"/>
      <c r="F94" s="534"/>
      <c r="G94" s="534"/>
      <c r="H94" s="558"/>
      <c r="I94" s="559"/>
      <c r="J94" s="95"/>
      <c r="K94" s="599"/>
      <c r="L94" s="57"/>
      <c r="M94" s="57"/>
      <c r="N94" s="32">
        <v>2</v>
      </c>
      <c r="O94" s="14" t="s">
        <v>5</v>
      </c>
      <c r="P94" s="4"/>
      <c r="Q94" s="4"/>
      <c r="R94" s="3"/>
      <c r="S94" s="5"/>
      <c r="T94" s="3"/>
      <c r="U94" s="119"/>
      <c r="V94" s="22"/>
      <c r="W94" s="22"/>
    </row>
    <row r="95" spans="1:23" x14ac:dyDescent="0.25">
      <c r="A95" s="539"/>
      <c r="B95" s="112" t="s">
        <v>217</v>
      </c>
      <c r="C95" s="111"/>
      <c r="D95" s="111"/>
      <c r="E95" s="111"/>
      <c r="F95" s="298">
        <v>2</v>
      </c>
      <c r="G95" s="111"/>
      <c r="H95" s="110"/>
      <c r="I95" s="110"/>
      <c r="J95" s="110">
        <v>2</v>
      </c>
      <c r="K95" s="599"/>
      <c r="L95" s="57"/>
      <c r="M95" s="57"/>
      <c r="N95" s="32">
        <v>3</v>
      </c>
      <c r="O95" s="14" t="s">
        <v>6</v>
      </c>
      <c r="P95" s="8"/>
      <c r="Q95" s="8"/>
      <c r="R95" s="3"/>
      <c r="T95" s="5"/>
      <c r="U95" s="119"/>
      <c r="V95" s="22"/>
      <c r="W95" s="22"/>
    </row>
    <row r="96" spans="1:23" x14ac:dyDescent="0.25">
      <c r="A96" s="539"/>
      <c r="B96" s="112"/>
      <c r="C96" s="111"/>
      <c r="D96" s="111"/>
      <c r="E96" s="111"/>
      <c r="F96" s="108" t="s">
        <v>146</v>
      </c>
      <c r="G96" s="111"/>
      <c r="H96" s="110"/>
      <c r="I96" s="110"/>
      <c r="J96" s="110"/>
      <c r="K96" s="599"/>
      <c r="L96" s="57"/>
      <c r="M96" s="57"/>
      <c r="N96" s="32">
        <v>4</v>
      </c>
      <c r="O96" s="14" t="s">
        <v>7</v>
      </c>
      <c r="P96" s="8"/>
      <c r="Q96" s="8"/>
      <c r="R96" s="3"/>
      <c r="S96" s="5"/>
      <c r="T96" s="3"/>
      <c r="U96" s="119"/>
      <c r="V96" s="22"/>
      <c r="W96" s="22"/>
    </row>
    <row r="97" spans="1:23" x14ac:dyDescent="0.25">
      <c r="A97" s="539"/>
      <c r="B97" s="535" t="s">
        <v>1</v>
      </c>
      <c r="C97" s="604" t="s">
        <v>200</v>
      </c>
      <c r="D97" s="604" t="s">
        <v>200</v>
      </c>
      <c r="E97" s="604" t="s">
        <v>200</v>
      </c>
      <c r="F97" s="298">
        <v>2</v>
      </c>
      <c r="G97" s="604" t="s">
        <v>200</v>
      </c>
      <c r="H97" s="528"/>
      <c r="I97" s="528"/>
      <c r="J97" s="89">
        <f>SUM(C97:I97)</f>
        <v>2</v>
      </c>
      <c r="K97" s="599"/>
      <c r="L97" s="57"/>
      <c r="M97" s="57"/>
      <c r="N97" s="32">
        <v>5</v>
      </c>
      <c r="O97" s="14" t="s">
        <v>8</v>
      </c>
      <c r="P97" s="4"/>
      <c r="Q97" s="4"/>
      <c r="R97" s="3"/>
      <c r="S97" s="5"/>
      <c r="T97" s="3"/>
      <c r="U97" s="119"/>
      <c r="V97" s="22"/>
      <c r="W97" s="22"/>
    </row>
    <row r="98" spans="1:23" ht="15.75" thickBot="1" x14ac:dyDescent="0.3">
      <c r="A98" s="539"/>
      <c r="B98" s="536"/>
      <c r="C98" s="605"/>
      <c r="D98" s="605"/>
      <c r="E98" s="605"/>
      <c r="F98" s="108" t="s">
        <v>146</v>
      </c>
      <c r="G98" s="605"/>
      <c r="H98" s="529"/>
      <c r="I98" s="529"/>
      <c r="J98" s="95"/>
      <c r="K98" s="599"/>
      <c r="L98" s="57"/>
      <c r="M98" s="57"/>
      <c r="N98" s="15"/>
      <c r="O98" s="13" t="s">
        <v>26</v>
      </c>
      <c r="P98" s="32"/>
      <c r="Q98" s="32"/>
      <c r="R98" s="1">
        <f>SUM(R90:R97)</f>
        <v>0</v>
      </c>
      <c r="S98" s="15"/>
      <c r="T98" s="145"/>
      <c r="U98" s="163"/>
      <c r="V98" s="22"/>
      <c r="W98" s="22"/>
    </row>
    <row r="99" spans="1:23" ht="30.75" thickBot="1" x14ac:dyDescent="0.3">
      <c r="A99" s="539"/>
      <c r="B99" s="91" t="s">
        <v>198</v>
      </c>
      <c r="C99" s="90"/>
      <c r="D99" s="90"/>
      <c r="E99" s="90"/>
      <c r="F99" s="90"/>
      <c r="G99" s="90"/>
      <c r="H99" s="90"/>
      <c r="I99" s="90"/>
      <c r="J99" s="89">
        <f>SUM(C99:I99)</f>
        <v>0</v>
      </c>
      <c r="K99" s="599"/>
      <c r="L99" s="57"/>
      <c r="M99" s="57"/>
      <c r="N99" s="219" t="s">
        <v>334</v>
      </c>
      <c r="O99" s="35" t="s">
        <v>227</v>
      </c>
      <c r="P99" s="60"/>
      <c r="Q99" s="61"/>
      <c r="R99" s="35"/>
      <c r="S99" s="115"/>
      <c r="T99" s="144"/>
      <c r="U99" s="163"/>
      <c r="V99" s="22"/>
      <c r="W99" s="22"/>
    </row>
    <row r="100" spans="1:23" ht="15.75" thickBot="1" x14ac:dyDescent="0.3">
      <c r="A100" s="294"/>
      <c r="B100" s="88" t="s">
        <v>197</v>
      </c>
      <c r="C100" s="87">
        <v>2</v>
      </c>
      <c r="D100" s="87">
        <v>4</v>
      </c>
      <c r="E100" s="87">
        <v>2</v>
      </c>
      <c r="F100" s="87">
        <v>7</v>
      </c>
      <c r="G100" s="87">
        <v>4</v>
      </c>
      <c r="H100" s="295"/>
      <c r="I100" s="295"/>
      <c r="J100" s="85">
        <f>SUM(J89:J99)</f>
        <v>29</v>
      </c>
      <c r="K100" s="75"/>
      <c r="L100" s="57"/>
      <c r="M100" s="57"/>
      <c r="N100" s="15"/>
      <c r="P100" s="15"/>
      <c r="Q100" s="15"/>
      <c r="R100" s="15"/>
      <c r="S100" s="15"/>
      <c r="T100" s="15"/>
      <c r="U100" s="163"/>
      <c r="V100" s="22"/>
      <c r="W100" s="22"/>
    </row>
    <row r="101" spans="1:23" x14ac:dyDescent="0.25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57"/>
      <c r="M101" s="57"/>
      <c r="N101" s="15"/>
      <c r="P101" s="15"/>
      <c r="Q101" s="15"/>
      <c r="R101" s="15"/>
      <c r="S101" s="15"/>
      <c r="T101" s="15"/>
      <c r="U101" s="163"/>
      <c r="V101" s="22"/>
      <c r="W101" s="22"/>
    </row>
    <row r="102" spans="1:23" ht="15.75" thickBot="1" x14ac:dyDescent="0.3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57"/>
      <c r="M102" s="57"/>
      <c r="N102" s="15"/>
      <c r="P102" s="15"/>
      <c r="Q102" s="15"/>
      <c r="R102" s="15"/>
      <c r="S102" s="15"/>
      <c r="T102" s="15"/>
      <c r="U102" s="163"/>
      <c r="V102" s="22"/>
      <c r="W102" s="22"/>
    </row>
    <row r="103" spans="1:23" ht="90.75" thickBot="1" x14ac:dyDescent="0.3">
      <c r="A103" s="539" t="s">
        <v>216</v>
      </c>
      <c r="B103" s="105" t="s">
        <v>215</v>
      </c>
      <c r="C103" s="104" t="s">
        <v>2</v>
      </c>
      <c r="D103" s="104" t="s">
        <v>3</v>
      </c>
      <c r="E103" s="104" t="s">
        <v>4</v>
      </c>
      <c r="F103" s="104" t="s">
        <v>5</v>
      </c>
      <c r="G103" s="104" t="s">
        <v>6</v>
      </c>
      <c r="H103" s="104" t="s">
        <v>7</v>
      </c>
      <c r="I103" s="104" t="s">
        <v>8</v>
      </c>
      <c r="J103" s="103" t="s">
        <v>197</v>
      </c>
      <c r="K103" s="15"/>
      <c r="L103" s="57"/>
      <c r="M103" s="57"/>
      <c r="N103" s="15"/>
      <c r="P103" s="15"/>
      <c r="Q103" s="15"/>
      <c r="R103" s="15"/>
      <c r="S103" s="15"/>
      <c r="T103" s="15"/>
      <c r="U103" s="163"/>
      <c r="V103" s="22"/>
      <c r="W103" s="22"/>
    </row>
    <row r="104" spans="1:23" ht="30" x14ac:dyDescent="0.25">
      <c r="A104" s="539"/>
      <c r="B104" s="540" t="s">
        <v>207</v>
      </c>
      <c r="C104" s="102"/>
      <c r="D104" s="15">
        <v>4</v>
      </c>
      <c r="E104" s="15"/>
      <c r="F104" s="15"/>
      <c r="G104" s="15">
        <v>4</v>
      </c>
      <c r="H104" s="101"/>
      <c r="I104" s="101"/>
      <c r="J104" s="89">
        <f>SUM(C104:I104)</f>
        <v>8</v>
      </c>
      <c r="K104" s="599" t="s">
        <v>214</v>
      </c>
      <c r="L104" s="57"/>
      <c r="M104" s="57"/>
      <c r="N104" s="15"/>
      <c r="O104" s="13" t="s">
        <v>161</v>
      </c>
      <c r="P104" s="2" t="s">
        <v>11</v>
      </c>
      <c r="Q104" s="2" t="s">
        <v>12</v>
      </c>
      <c r="R104" s="2" t="s">
        <v>13</v>
      </c>
      <c r="S104" s="2" t="s">
        <v>14</v>
      </c>
      <c r="T104" s="2" t="s">
        <v>0</v>
      </c>
      <c r="U104" s="163"/>
      <c r="V104" s="22"/>
      <c r="W104" s="22"/>
    </row>
    <row r="105" spans="1:23" x14ac:dyDescent="0.25">
      <c r="A105" s="539"/>
      <c r="B105" s="541"/>
      <c r="C105" s="545" t="s">
        <v>205</v>
      </c>
      <c r="D105" s="546"/>
      <c r="E105" s="546"/>
      <c r="F105" s="546"/>
      <c r="G105" s="546"/>
      <c r="H105" s="100"/>
      <c r="I105" s="100"/>
      <c r="J105" s="95"/>
      <c r="K105" s="599"/>
      <c r="L105" s="57"/>
      <c r="M105" s="57"/>
      <c r="N105" s="32">
        <v>6</v>
      </c>
      <c r="O105" s="14" t="s">
        <v>2</v>
      </c>
      <c r="P105" s="6"/>
      <c r="Q105" s="4"/>
      <c r="R105" s="3"/>
      <c r="S105" s="5"/>
      <c r="T105" s="3"/>
      <c r="U105" s="119"/>
      <c r="V105" s="22"/>
      <c r="W105" s="22"/>
    </row>
    <row r="106" spans="1:23" x14ac:dyDescent="0.25">
      <c r="A106" s="539"/>
      <c r="B106" s="535" t="s">
        <v>9</v>
      </c>
      <c r="C106" s="292">
        <v>2</v>
      </c>
      <c r="D106" s="292">
        <v>4</v>
      </c>
      <c r="E106" s="533" t="s">
        <v>200</v>
      </c>
      <c r="F106" s="87">
        <v>7</v>
      </c>
      <c r="G106" s="292">
        <v>2</v>
      </c>
      <c r="H106" s="295"/>
      <c r="I106" s="548"/>
      <c r="J106" s="89">
        <f>SUM(C106:I106)</f>
        <v>15</v>
      </c>
      <c r="K106" s="599"/>
      <c r="L106" s="57"/>
      <c r="M106" s="57"/>
      <c r="N106" s="32">
        <v>7</v>
      </c>
      <c r="O106" s="14" t="s">
        <v>3</v>
      </c>
      <c r="P106" s="7"/>
      <c r="Q106" s="7"/>
      <c r="U106" s="119"/>
      <c r="V106" s="22"/>
      <c r="W106" s="22"/>
    </row>
    <row r="107" spans="1:23" ht="30" x14ac:dyDescent="0.25">
      <c r="A107" s="539"/>
      <c r="B107" s="547"/>
      <c r="C107" s="602" t="s">
        <v>203</v>
      </c>
      <c r="D107" s="603"/>
      <c r="E107" s="534"/>
      <c r="F107" s="98" t="s">
        <v>204</v>
      </c>
      <c r="G107" s="297" t="s">
        <v>203</v>
      </c>
      <c r="H107" s="96"/>
      <c r="I107" s="549"/>
      <c r="J107" s="95"/>
      <c r="K107" s="599"/>
      <c r="L107" s="57"/>
      <c r="M107" s="57"/>
      <c r="N107" s="32">
        <v>8</v>
      </c>
      <c r="O107" s="14" t="s">
        <v>4</v>
      </c>
      <c r="P107" s="7"/>
      <c r="Q107" s="7"/>
      <c r="T107" s="3"/>
      <c r="U107" s="119"/>
      <c r="V107" s="22"/>
      <c r="W107" s="22"/>
    </row>
    <row r="108" spans="1:23" x14ac:dyDescent="0.25">
      <c r="A108" s="539"/>
      <c r="B108" s="535" t="s">
        <v>202</v>
      </c>
      <c r="C108" s="533" t="s">
        <v>200</v>
      </c>
      <c r="D108" s="533" t="s">
        <v>200</v>
      </c>
      <c r="E108" s="533" t="s">
        <v>200</v>
      </c>
      <c r="F108" s="533" t="s">
        <v>200</v>
      </c>
      <c r="G108" s="533" t="s">
        <v>200</v>
      </c>
      <c r="H108" s="562" t="s">
        <v>201</v>
      </c>
      <c r="I108" s="563"/>
      <c r="J108" s="89">
        <f>SUM(C108:I108)</f>
        <v>0</v>
      </c>
      <c r="K108" s="599"/>
      <c r="L108" s="57"/>
      <c r="M108" s="57"/>
      <c r="N108" s="32">
        <v>9</v>
      </c>
      <c r="O108" s="14" t="s">
        <v>5</v>
      </c>
      <c r="P108" s="4"/>
      <c r="Q108" s="4"/>
      <c r="R108" s="3"/>
      <c r="S108" s="5"/>
      <c r="T108" s="3"/>
      <c r="U108" s="163"/>
      <c r="V108" s="22"/>
      <c r="W108" s="22"/>
    </row>
    <row r="109" spans="1:23" x14ac:dyDescent="0.25">
      <c r="A109" s="539"/>
      <c r="B109" s="547"/>
      <c r="C109" s="534"/>
      <c r="D109" s="534"/>
      <c r="E109" s="534"/>
      <c r="F109" s="534"/>
      <c r="G109" s="534"/>
      <c r="H109" s="558"/>
      <c r="I109" s="559"/>
      <c r="J109" s="95"/>
      <c r="K109" s="599"/>
      <c r="L109" s="57"/>
      <c r="M109" s="57"/>
      <c r="N109" s="32">
        <v>10</v>
      </c>
      <c r="O109" s="14" t="s">
        <v>6</v>
      </c>
      <c r="P109" s="8"/>
      <c r="Q109" s="8"/>
      <c r="R109" s="3"/>
      <c r="T109" s="5"/>
      <c r="U109" s="163"/>
      <c r="V109" s="22"/>
      <c r="W109" s="22"/>
    </row>
    <row r="110" spans="1:23" x14ac:dyDescent="0.25">
      <c r="A110" s="539"/>
      <c r="B110" s="535" t="s">
        <v>1</v>
      </c>
      <c r="C110" s="604" t="s">
        <v>200</v>
      </c>
      <c r="D110" s="604" t="s">
        <v>200</v>
      </c>
      <c r="E110" s="604" t="s">
        <v>200</v>
      </c>
      <c r="F110" s="298">
        <v>2</v>
      </c>
      <c r="G110" s="604" t="s">
        <v>200</v>
      </c>
      <c r="H110" s="528"/>
      <c r="I110" s="528"/>
      <c r="J110" s="89">
        <f>SUM(C110:I110)</f>
        <v>2</v>
      </c>
      <c r="K110" s="599"/>
      <c r="L110" s="57"/>
      <c r="M110" s="57"/>
      <c r="N110" s="32">
        <v>11</v>
      </c>
      <c r="O110" s="14" t="s">
        <v>7</v>
      </c>
      <c r="P110" s="8"/>
      <c r="Q110" s="8"/>
      <c r="R110" s="3"/>
      <c r="S110" s="5"/>
      <c r="T110" s="3"/>
      <c r="U110" s="163"/>
      <c r="V110" s="22"/>
      <c r="W110" s="22"/>
    </row>
    <row r="111" spans="1:23" ht="15.75" thickBot="1" x14ac:dyDescent="0.3">
      <c r="A111" s="539"/>
      <c r="B111" s="536"/>
      <c r="C111" s="605"/>
      <c r="D111" s="605"/>
      <c r="E111" s="605"/>
      <c r="F111" s="108" t="s">
        <v>146</v>
      </c>
      <c r="G111" s="605"/>
      <c r="H111" s="529"/>
      <c r="I111" s="529"/>
      <c r="J111" s="95"/>
      <c r="K111" s="599"/>
      <c r="L111" s="57"/>
      <c r="M111" s="57"/>
      <c r="N111" s="53">
        <v>12</v>
      </c>
      <c r="O111" s="21" t="s">
        <v>8</v>
      </c>
      <c r="P111" s="131"/>
      <c r="Q111" s="131"/>
      <c r="R111" s="130"/>
      <c r="S111" s="132"/>
      <c r="T111" s="130"/>
      <c r="U111" s="163"/>
      <c r="V111" s="22"/>
      <c r="W111" s="22"/>
    </row>
    <row r="112" spans="1:23" ht="30.75" thickBot="1" x14ac:dyDescent="0.3">
      <c r="A112" s="539"/>
      <c r="B112" s="91" t="s">
        <v>198</v>
      </c>
      <c r="C112" s="90"/>
      <c r="D112" s="90"/>
      <c r="E112" s="90"/>
      <c r="F112" s="90"/>
      <c r="G112" s="90"/>
      <c r="H112" s="90"/>
      <c r="I112" s="90"/>
      <c r="J112" s="89">
        <f>SUM(C112:I112)</f>
        <v>0</v>
      </c>
      <c r="K112" s="599"/>
      <c r="L112" s="57"/>
      <c r="M112" s="57"/>
      <c r="N112" s="22"/>
      <c r="O112" s="20" t="s">
        <v>26</v>
      </c>
      <c r="P112" s="156"/>
      <c r="Q112" s="156"/>
      <c r="R112" s="156"/>
      <c r="S112" s="117"/>
      <c r="T112" s="117"/>
      <c r="U112" s="163"/>
      <c r="V112" s="22"/>
      <c r="W112" s="22"/>
    </row>
    <row r="113" spans="1:23" ht="15.75" thickBot="1" x14ac:dyDescent="0.3">
      <c r="A113" s="294"/>
      <c r="B113" s="88" t="s">
        <v>197</v>
      </c>
      <c r="C113" s="87">
        <v>2</v>
      </c>
      <c r="D113" s="87">
        <v>4</v>
      </c>
      <c r="E113" s="87">
        <v>2</v>
      </c>
      <c r="F113" s="87">
        <v>7</v>
      </c>
      <c r="G113" s="87">
        <v>4</v>
      </c>
      <c r="H113" s="295"/>
      <c r="I113" s="295"/>
      <c r="J113" s="85">
        <f>SUM(J104:J112)</f>
        <v>25</v>
      </c>
      <c r="K113" s="75"/>
      <c r="L113" s="57"/>
      <c r="M113" s="57"/>
      <c r="N113" s="15"/>
      <c r="U113" s="163"/>
      <c r="V113" s="22"/>
      <c r="W113" s="22"/>
    </row>
    <row r="114" spans="1:23" x14ac:dyDescent="0.25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57"/>
      <c r="M114" s="57"/>
      <c r="N114" s="15"/>
      <c r="P114" s="15"/>
      <c r="Q114" s="15"/>
      <c r="R114" s="15"/>
      <c r="S114" s="15"/>
      <c r="T114" s="15"/>
      <c r="U114" s="163"/>
      <c r="V114" s="22"/>
      <c r="W114" s="22"/>
    </row>
    <row r="115" spans="1:23" ht="15.75" thickBot="1" x14ac:dyDescent="0.3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57"/>
      <c r="M115" s="57"/>
      <c r="N115" s="22"/>
      <c r="O115" s="22"/>
      <c r="P115" s="22"/>
      <c r="Q115" s="22"/>
      <c r="R115" s="22"/>
      <c r="S115" s="22"/>
      <c r="T115" s="22"/>
      <c r="U115" s="119"/>
      <c r="V115" s="22"/>
      <c r="W115" s="22"/>
    </row>
    <row r="116" spans="1:23" ht="90.75" thickBot="1" x14ac:dyDescent="0.3">
      <c r="A116" s="539" t="s">
        <v>213</v>
      </c>
      <c r="B116" s="105" t="s">
        <v>208</v>
      </c>
      <c r="C116" s="104" t="s">
        <v>2</v>
      </c>
      <c r="D116" s="104" t="s">
        <v>3</v>
      </c>
      <c r="E116" s="104" t="s">
        <v>4</v>
      </c>
      <c r="F116" s="104" t="s">
        <v>5</v>
      </c>
      <c r="G116" s="104" t="s">
        <v>6</v>
      </c>
      <c r="H116" s="104" t="s">
        <v>7</v>
      </c>
      <c r="I116" s="104" t="s">
        <v>8</v>
      </c>
      <c r="J116" s="103" t="s">
        <v>197</v>
      </c>
      <c r="K116" s="15"/>
      <c r="L116" s="57"/>
      <c r="M116" s="57"/>
      <c r="N116" s="22"/>
      <c r="O116" s="22"/>
      <c r="P116" s="22"/>
      <c r="Q116" s="22"/>
      <c r="R116" s="22"/>
      <c r="S116" s="22"/>
      <c r="T116" s="22"/>
      <c r="U116" s="119"/>
      <c r="V116" s="22"/>
      <c r="W116" s="22"/>
    </row>
    <row r="117" spans="1:23" ht="30" x14ac:dyDescent="0.25">
      <c r="A117" s="539"/>
      <c r="B117" s="540" t="s">
        <v>207</v>
      </c>
      <c r="C117" s="102"/>
      <c r="D117" s="15">
        <v>4</v>
      </c>
      <c r="E117" s="15"/>
      <c r="F117" s="15"/>
      <c r="G117" s="15">
        <v>4</v>
      </c>
      <c r="H117" s="101"/>
      <c r="I117" s="101"/>
      <c r="J117" s="89">
        <f>SUM(C117:I117)</f>
        <v>8</v>
      </c>
      <c r="K117" s="599" t="s">
        <v>212</v>
      </c>
      <c r="L117" s="57"/>
      <c r="M117" s="57"/>
      <c r="N117" s="22"/>
      <c r="O117" s="20" t="s">
        <v>163</v>
      </c>
      <c r="P117" s="129" t="s">
        <v>11</v>
      </c>
      <c r="Q117" s="129" t="s">
        <v>12</v>
      </c>
      <c r="R117" s="129" t="s">
        <v>13</v>
      </c>
      <c r="S117" s="129" t="s">
        <v>14</v>
      </c>
      <c r="T117" s="129" t="s">
        <v>0</v>
      </c>
      <c r="U117" s="119"/>
      <c r="V117" s="22"/>
      <c r="W117" s="22"/>
    </row>
    <row r="118" spans="1:23" ht="31.5" x14ac:dyDescent="0.5">
      <c r="A118" s="539"/>
      <c r="B118" s="541"/>
      <c r="C118" s="545" t="s">
        <v>205</v>
      </c>
      <c r="D118" s="546"/>
      <c r="E118" s="546"/>
      <c r="F118" s="546"/>
      <c r="G118" s="546"/>
      <c r="H118" s="100"/>
      <c r="I118" s="100"/>
      <c r="J118" s="95"/>
      <c r="K118" s="599"/>
      <c r="L118" s="159"/>
      <c r="M118" s="159"/>
      <c r="N118" s="53">
        <v>13</v>
      </c>
      <c r="O118" s="21" t="s">
        <v>2</v>
      </c>
      <c r="P118" s="133"/>
      <c r="Q118" s="131"/>
      <c r="R118" s="130"/>
      <c r="S118" s="132"/>
      <c r="T118" s="130"/>
      <c r="U118" s="163"/>
      <c r="V118" s="22"/>
      <c r="W118" s="22"/>
    </row>
    <row r="119" spans="1:23" ht="31.5" x14ac:dyDescent="0.5">
      <c r="A119" s="539"/>
      <c r="B119" s="535" t="s">
        <v>9</v>
      </c>
      <c r="C119" s="292">
        <v>2</v>
      </c>
      <c r="D119" s="292">
        <v>4</v>
      </c>
      <c r="E119" s="533" t="s">
        <v>200</v>
      </c>
      <c r="F119" s="87">
        <v>7</v>
      </c>
      <c r="G119" s="292">
        <v>2</v>
      </c>
      <c r="H119" s="295"/>
      <c r="I119" s="548"/>
      <c r="J119" s="89">
        <f>SUM(C119:I119)</f>
        <v>15</v>
      </c>
      <c r="K119" s="599"/>
      <c r="L119" s="159"/>
      <c r="M119" s="159"/>
      <c r="N119" s="53">
        <v>14</v>
      </c>
      <c r="O119" s="21" t="s">
        <v>3</v>
      </c>
      <c r="P119" s="134"/>
      <c r="Q119" s="134"/>
      <c r="R119" s="117"/>
      <c r="S119" s="117"/>
      <c r="T119" s="117"/>
      <c r="U119" s="163"/>
      <c r="V119" s="22"/>
      <c r="W119" s="22"/>
    </row>
    <row r="120" spans="1:23" ht="30" x14ac:dyDescent="0.25">
      <c r="A120" s="539"/>
      <c r="B120" s="547"/>
      <c r="C120" s="602" t="s">
        <v>203</v>
      </c>
      <c r="D120" s="603"/>
      <c r="E120" s="534"/>
      <c r="F120" s="98" t="s">
        <v>204</v>
      </c>
      <c r="G120" s="297" t="s">
        <v>203</v>
      </c>
      <c r="H120" s="96"/>
      <c r="I120" s="549"/>
      <c r="J120" s="95"/>
      <c r="K120" s="599"/>
      <c r="L120" s="57"/>
      <c r="M120" s="57"/>
      <c r="N120" s="53">
        <v>15</v>
      </c>
      <c r="O120" s="21" t="s">
        <v>4</v>
      </c>
      <c r="P120" s="134"/>
      <c r="Q120" s="134"/>
      <c r="R120" s="117"/>
      <c r="S120" s="117"/>
      <c r="T120" s="130"/>
      <c r="U120" s="163"/>
      <c r="V120" s="22"/>
      <c r="W120" s="22"/>
    </row>
    <row r="121" spans="1:23" x14ac:dyDescent="0.25">
      <c r="A121" s="539"/>
      <c r="B121" s="535" t="s">
        <v>202</v>
      </c>
      <c r="C121" s="533" t="s">
        <v>200</v>
      </c>
      <c r="D121" s="533" t="s">
        <v>200</v>
      </c>
      <c r="E121" s="533" t="s">
        <v>200</v>
      </c>
      <c r="F121" s="533" t="s">
        <v>200</v>
      </c>
      <c r="G121" s="533" t="s">
        <v>200</v>
      </c>
      <c r="H121" s="562" t="s">
        <v>201</v>
      </c>
      <c r="I121" s="563"/>
      <c r="J121" s="89">
        <f>SUM(C121:I121)</f>
        <v>0</v>
      </c>
      <c r="K121" s="599"/>
      <c r="L121" s="57"/>
      <c r="M121" s="57"/>
      <c r="N121" s="53">
        <v>16</v>
      </c>
      <c r="O121" s="21" t="s">
        <v>5</v>
      </c>
      <c r="P121" s="131"/>
      <c r="Q121" s="131"/>
      <c r="R121" s="130"/>
      <c r="S121" s="132"/>
      <c r="T121" s="130"/>
      <c r="U121" s="163"/>
      <c r="V121" s="22"/>
      <c r="W121" s="22"/>
    </row>
    <row r="122" spans="1:23" x14ac:dyDescent="0.25">
      <c r="A122" s="539"/>
      <c r="B122" s="547"/>
      <c r="C122" s="534"/>
      <c r="D122" s="534"/>
      <c r="E122" s="534"/>
      <c r="F122" s="534"/>
      <c r="G122" s="534"/>
      <c r="H122" s="558"/>
      <c r="I122" s="559"/>
      <c r="J122" s="95"/>
      <c r="K122" s="599"/>
      <c r="L122" s="57"/>
      <c r="M122" s="57"/>
      <c r="N122" s="53">
        <v>17</v>
      </c>
      <c r="O122" s="21" t="s">
        <v>6</v>
      </c>
      <c r="P122" s="157"/>
      <c r="Q122" s="157"/>
      <c r="R122" s="130"/>
      <c r="S122" s="117"/>
      <c r="T122" s="132"/>
      <c r="U122" s="163"/>
      <c r="V122" s="22"/>
      <c r="W122" s="22"/>
    </row>
    <row r="123" spans="1:23" x14ac:dyDescent="0.25">
      <c r="A123" s="539"/>
      <c r="B123" s="535" t="s">
        <v>1</v>
      </c>
      <c r="C123" s="533" t="s">
        <v>200</v>
      </c>
      <c r="D123" s="533" t="s">
        <v>200</v>
      </c>
      <c r="E123" s="533" t="s">
        <v>200</v>
      </c>
      <c r="F123" s="293">
        <v>2</v>
      </c>
      <c r="G123" s="533" t="s">
        <v>200</v>
      </c>
      <c r="H123" s="528"/>
      <c r="I123" s="528"/>
      <c r="J123" s="89">
        <v>2</v>
      </c>
      <c r="K123" s="599"/>
      <c r="L123" s="57"/>
      <c r="M123" s="57"/>
      <c r="N123" s="53">
        <v>18</v>
      </c>
      <c r="O123" s="21" t="s">
        <v>7</v>
      </c>
      <c r="P123" s="157"/>
      <c r="Q123" s="157"/>
      <c r="R123" s="130"/>
      <c r="S123" s="132"/>
      <c r="T123" s="130"/>
      <c r="U123" s="163"/>
      <c r="V123" s="22"/>
      <c r="W123" s="22"/>
    </row>
    <row r="124" spans="1:23" ht="15.75" thickBot="1" x14ac:dyDescent="0.3">
      <c r="A124" s="539"/>
      <c r="B124" s="536"/>
      <c r="C124" s="534"/>
      <c r="D124" s="534"/>
      <c r="E124" s="534"/>
      <c r="F124" s="93" t="s">
        <v>146</v>
      </c>
      <c r="G124" s="534"/>
      <c r="H124" s="529"/>
      <c r="I124" s="529"/>
      <c r="J124" s="92">
        <v>4</v>
      </c>
      <c r="K124" s="599"/>
      <c r="L124" s="57"/>
      <c r="M124" s="57"/>
      <c r="N124" s="22">
        <v>19</v>
      </c>
      <c r="O124" s="21" t="s">
        <v>8</v>
      </c>
      <c r="P124" s="131"/>
      <c r="Q124" s="131"/>
      <c r="R124" s="130"/>
      <c r="S124" s="132"/>
      <c r="T124" s="130"/>
      <c r="U124" s="163"/>
      <c r="V124" s="22"/>
      <c r="W124" s="22"/>
    </row>
    <row r="125" spans="1:23" ht="30.75" thickBot="1" x14ac:dyDescent="0.3">
      <c r="A125" s="539"/>
      <c r="B125" s="91" t="s">
        <v>198</v>
      </c>
      <c r="C125" s="90"/>
      <c r="D125" s="90"/>
      <c r="E125" s="90"/>
      <c r="F125" s="90"/>
      <c r="G125" s="90"/>
      <c r="H125" s="90"/>
      <c r="I125" s="90"/>
      <c r="J125" s="89">
        <f>SUM(C125:I125)</f>
        <v>0</v>
      </c>
      <c r="K125" s="599"/>
      <c r="L125" s="57"/>
      <c r="M125" s="57"/>
      <c r="N125" s="15"/>
      <c r="O125" s="13" t="s">
        <v>26</v>
      </c>
      <c r="P125" s="32"/>
      <c r="Q125" s="32"/>
      <c r="R125" s="1"/>
      <c r="S125" s="15"/>
      <c r="T125" s="145"/>
      <c r="U125" s="119"/>
      <c r="V125" s="22"/>
      <c r="W125" s="22"/>
    </row>
    <row r="126" spans="1:23" ht="32.25" customHeight="1" thickBot="1" x14ac:dyDescent="0.3">
      <c r="A126" s="294"/>
      <c r="B126" s="88" t="s">
        <v>197</v>
      </c>
      <c r="C126" s="87">
        <v>2</v>
      </c>
      <c r="D126" s="87">
        <v>4</v>
      </c>
      <c r="E126" s="87">
        <v>2</v>
      </c>
      <c r="F126" s="87">
        <v>7</v>
      </c>
      <c r="G126" s="87">
        <v>4</v>
      </c>
      <c r="H126" s="295"/>
      <c r="I126" s="295"/>
      <c r="J126" s="85">
        <f>SUM(J117:J125)</f>
        <v>29</v>
      </c>
      <c r="K126" s="75"/>
      <c r="L126" s="57"/>
      <c r="M126" s="57"/>
      <c r="N126" s="269" t="s">
        <v>335</v>
      </c>
      <c r="O126" s="35"/>
      <c r="P126" s="60"/>
      <c r="Q126" s="61"/>
      <c r="R126" s="35"/>
      <c r="S126" s="115"/>
      <c r="T126" s="144"/>
      <c r="U126" s="119"/>
      <c r="V126" s="22"/>
      <c r="W126" s="22"/>
    </row>
    <row r="127" spans="1:23" x14ac:dyDescent="0.25">
      <c r="A127" s="80"/>
      <c r="B127" s="79"/>
      <c r="C127" s="78"/>
      <c r="D127" s="78"/>
      <c r="E127" s="78"/>
      <c r="F127" s="78"/>
      <c r="G127" s="78"/>
      <c r="H127" s="77"/>
      <c r="I127" s="77"/>
      <c r="J127" s="291"/>
      <c r="K127" s="75"/>
      <c r="L127" s="57"/>
      <c r="M127" s="57"/>
      <c r="N127" s="22"/>
      <c r="O127" s="22"/>
      <c r="P127" s="22"/>
      <c r="Q127" s="22"/>
      <c r="R127" s="22"/>
      <c r="S127" s="22"/>
      <c r="T127" s="22"/>
      <c r="U127" s="119"/>
      <c r="V127" s="22"/>
      <c r="W127" s="22"/>
    </row>
    <row r="128" spans="1:23" ht="15.75" thickBot="1" x14ac:dyDescent="0.3">
      <c r="A128" s="80"/>
      <c r="B128" s="79"/>
      <c r="C128" s="78"/>
      <c r="D128" s="78"/>
      <c r="E128" s="78"/>
      <c r="F128" s="78"/>
      <c r="G128" s="78"/>
      <c r="H128" s="77"/>
      <c r="I128" s="77"/>
      <c r="J128" s="291"/>
      <c r="K128" s="75"/>
      <c r="L128" s="57"/>
      <c r="M128" s="57"/>
      <c r="N128" s="22"/>
      <c r="O128" s="22"/>
      <c r="P128" s="22"/>
      <c r="Q128" s="22"/>
      <c r="R128" s="22"/>
      <c r="S128" s="22"/>
      <c r="T128" s="22"/>
      <c r="U128" s="163"/>
      <c r="V128" s="22"/>
      <c r="W128" s="22"/>
    </row>
    <row r="129" spans="1:23" ht="90.75" thickBot="1" x14ac:dyDescent="0.3">
      <c r="A129" s="539" t="s">
        <v>211</v>
      </c>
      <c r="B129" s="105" t="s">
        <v>208</v>
      </c>
      <c r="C129" s="104" t="s">
        <v>2</v>
      </c>
      <c r="D129" s="104" t="s">
        <v>3</v>
      </c>
      <c r="E129" s="104" t="s">
        <v>4</v>
      </c>
      <c r="F129" s="104" t="s">
        <v>5</v>
      </c>
      <c r="G129" s="104" t="s">
        <v>6</v>
      </c>
      <c r="H129" s="104" t="s">
        <v>7</v>
      </c>
      <c r="I129" s="104" t="s">
        <v>8</v>
      </c>
      <c r="J129" s="103" t="s">
        <v>197</v>
      </c>
      <c r="K129" s="15"/>
      <c r="L129" s="57"/>
      <c r="M129" s="57"/>
      <c r="N129" s="22"/>
      <c r="O129" s="22"/>
      <c r="P129" s="22"/>
      <c r="Q129" s="22"/>
      <c r="R129" s="22"/>
      <c r="S129" s="22"/>
      <c r="T129" s="22"/>
      <c r="U129" s="163"/>
      <c r="V129" s="22"/>
      <c r="W129" s="22"/>
    </row>
    <row r="130" spans="1:23" ht="30" x14ac:dyDescent="0.25">
      <c r="A130" s="539"/>
      <c r="B130" s="540" t="s">
        <v>207</v>
      </c>
      <c r="C130" s="102"/>
      <c r="D130" s="15">
        <v>4</v>
      </c>
      <c r="E130" s="15"/>
      <c r="F130" s="15"/>
      <c r="G130" s="15"/>
      <c r="H130" s="101"/>
      <c r="I130" s="101"/>
      <c r="J130" s="89">
        <f>SUM(C130:I130)</f>
        <v>4</v>
      </c>
      <c r="K130" s="599" t="s">
        <v>210</v>
      </c>
      <c r="L130" s="57"/>
      <c r="M130" s="57"/>
      <c r="N130" s="22"/>
      <c r="O130" s="20" t="s">
        <v>164</v>
      </c>
      <c r="P130" s="129" t="s">
        <v>11</v>
      </c>
      <c r="Q130" s="129" t="s">
        <v>12</v>
      </c>
      <c r="R130" s="129" t="s">
        <v>13</v>
      </c>
      <c r="S130" s="129" t="s">
        <v>14</v>
      </c>
      <c r="T130" s="129" t="s">
        <v>0</v>
      </c>
      <c r="U130" s="163"/>
      <c r="V130" s="22"/>
      <c r="W130" s="22"/>
    </row>
    <row r="131" spans="1:23" x14ac:dyDescent="0.25">
      <c r="A131" s="539"/>
      <c r="B131" s="541"/>
      <c r="C131" s="545" t="s">
        <v>205</v>
      </c>
      <c r="D131" s="546"/>
      <c r="E131" s="546"/>
      <c r="F131" s="546"/>
      <c r="G131" s="546"/>
      <c r="H131" s="100"/>
      <c r="I131" s="100"/>
      <c r="J131" s="95"/>
      <c r="K131" s="599"/>
      <c r="L131" s="57"/>
      <c r="M131" s="57"/>
      <c r="N131" s="22">
        <v>20</v>
      </c>
      <c r="O131" s="21" t="s">
        <v>2</v>
      </c>
      <c r="P131" s="133"/>
      <c r="Q131" s="131"/>
      <c r="R131" s="130"/>
      <c r="S131" s="132"/>
      <c r="T131" s="130"/>
      <c r="U131" s="163"/>
      <c r="V131" s="22"/>
      <c r="W131" s="22"/>
    </row>
    <row r="132" spans="1:23" x14ac:dyDescent="0.25">
      <c r="A132" s="539"/>
      <c r="B132" s="535" t="s">
        <v>9</v>
      </c>
      <c r="C132" s="99">
        <v>2</v>
      </c>
      <c r="D132" s="99">
        <v>4</v>
      </c>
      <c r="E132" s="533" t="s">
        <v>200</v>
      </c>
      <c r="F132" s="87">
        <v>7</v>
      </c>
      <c r="G132" s="99">
        <v>2</v>
      </c>
      <c r="H132" s="295"/>
      <c r="I132" s="548"/>
      <c r="J132" s="89">
        <f>SUM(C132:I132)</f>
        <v>15</v>
      </c>
      <c r="K132" s="599"/>
      <c r="L132" s="57"/>
      <c r="M132" s="57"/>
      <c r="N132" s="22"/>
      <c r="O132" s="21" t="s">
        <v>3</v>
      </c>
      <c r="P132" s="134"/>
      <c r="Q132" s="134"/>
      <c r="R132" s="117"/>
      <c r="S132" s="117"/>
      <c r="T132" s="117"/>
      <c r="U132" s="163"/>
      <c r="V132" s="22"/>
      <c r="W132" s="22"/>
    </row>
    <row r="133" spans="1:23" ht="30" x14ac:dyDescent="0.25">
      <c r="A133" s="539"/>
      <c r="B133" s="547"/>
      <c r="C133" s="550" t="s">
        <v>203</v>
      </c>
      <c r="D133" s="551"/>
      <c r="E133" s="534"/>
      <c r="F133" s="98" t="s">
        <v>204</v>
      </c>
      <c r="G133" s="296" t="s">
        <v>203</v>
      </c>
      <c r="H133" s="96"/>
      <c r="I133" s="549"/>
      <c r="J133" s="95"/>
      <c r="K133" s="599"/>
      <c r="L133" s="57"/>
      <c r="M133" s="57"/>
      <c r="N133" s="22"/>
      <c r="O133" s="21" t="s">
        <v>4</v>
      </c>
      <c r="P133" s="134"/>
      <c r="Q133" s="134"/>
      <c r="R133" s="117"/>
      <c r="S133" s="117"/>
      <c r="T133" s="130"/>
      <c r="U133" s="163"/>
      <c r="V133" s="22"/>
      <c r="W133" s="22"/>
    </row>
    <row r="134" spans="1:23" x14ac:dyDescent="0.25">
      <c r="A134" s="539"/>
      <c r="B134" s="535" t="s">
        <v>202</v>
      </c>
      <c r="C134" s="533" t="s">
        <v>200</v>
      </c>
      <c r="D134" s="533" t="s">
        <v>200</v>
      </c>
      <c r="E134" s="533" t="s">
        <v>200</v>
      </c>
      <c r="F134" s="533" t="s">
        <v>200</v>
      </c>
      <c r="G134" s="533" t="s">
        <v>200</v>
      </c>
      <c r="H134" s="562" t="s">
        <v>201</v>
      </c>
      <c r="I134" s="563"/>
      <c r="J134" s="89">
        <f>SUM(C134:I134)</f>
        <v>0</v>
      </c>
      <c r="K134" s="599"/>
      <c r="L134" s="57"/>
      <c r="M134" s="57"/>
      <c r="N134" s="22"/>
      <c r="O134" s="21" t="s">
        <v>5</v>
      </c>
      <c r="P134" s="131"/>
      <c r="Q134" s="131"/>
      <c r="R134" s="130"/>
      <c r="S134" s="132"/>
      <c r="T134" s="130"/>
      <c r="U134" s="163"/>
      <c r="V134" s="22"/>
      <c r="W134" s="22"/>
    </row>
    <row r="135" spans="1:23" x14ac:dyDescent="0.25">
      <c r="A135" s="539"/>
      <c r="B135" s="547"/>
      <c r="C135" s="534"/>
      <c r="D135" s="534"/>
      <c r="E135" s="534"/>
      <c r="F135" s="534"/>
      <c r="G135" s="534"/>
      <c r="H135" s="558"/>
      <c r="I135" s="559"/>
      <c r="J135" s="95"/>
      <c r="K135" s="599"/>
      <c r="L135" s="57"/>
      <c r="M135" s="57"/>
      <c r="N135" s="22"/>
      <c r="O135" s="21" t="s">
        <v>6</v>
      </c>
      <c r="P135" s="157"/>
      <c r="Q135" s="157"/>
      <c r="R135" s="130"/>
      <c r="S135" s="117"/>
      <c r="T135" s="132"/>
      <c r="U135" s="119"/>
      <c r="V135" s="22"/>
      <c r="W135" s="22"/>
    </row>
    <row r="136" spans="1:23" x14ac:dyDescent="0.25">
      <c r="A136" s="539"/>
      <c r="B136" s="535" t="s">
        <v>1</v>
      </c>
      <c r="C136" s="533" t="s">
        <v>200</v>
      </c>
      <c r="D136" s="533" t="s">
        <v>200</v>
      </c>
      <c r="E136" s="533" t="s">
        <v>200</v>
      </c>
      <c r="F136" s="293">
        <v>2</v>
      </c>
      <c r="G136" s="533" t="s">
        <v>200</v>
      </c>
      <c r="H136" s="528"/>
      <c r="I136" s="528"/>
      <c r="J136" s="89">
        <v>2</v>
      </c>
      <c r="K136" s="599"/>
      <c r="L136" s="57"/>
      <c r="M136" s="57"/>
      <c r="N136" s="22"/>
      <c r="O136" s="21" t="s">
        <v>7</v>
      </c>
      <c r="P136" s="157"/>
      <c r="Q136" s="157"/>
      <c r="R136" s="130"/>
      <c r="S136" s="132"/>
      <c r="T136" s="130"/>
      <c r="U136" s="119"/>
      <c r="V136" s="22"/>
      <c r="W136" s="22"/>
    </row>
    <row r="137" spans="1:23" ht="30.75" thickBot="1" x14ac:dyDescent="0.3">
      <c r="A137" s="539"/>
      <c r="B137" s="536"/>
      <c r="C137" s="534"/>
      <c r="D137" s="534"/>
      <c r="E137" s="534"/>
      <c r="F137" s="93" t="s">
        <v>199</v>
      </c>
      <c r="G137" s="534"/>
      <c r="H137" s="529"/>
      <c r="I137" s="529"/>
      <c r="J137" s="92">
        <v>4</v>
      </c>
      <c r="K137" s="599"/>
      <c r="L137" s="57"/>
      <c r="M137" s="57"/>
      <c r="N137" s="21"/>
      <c r="O137" s="21" t="s">
        <v>8</v>
      </c>
      <c r="P137" s="131"/>
      <c r="Q137" s="131"/>
      <c r="R137" s="130"/>
      <c r="S137" s="132"/>
      <c r="T137" s="130"/>
      <c r="U137" s="119"/>
      <c r="V137" s="22"/>
      <c r="W137" s="22"/>
    </row>
    <row r="138" spans="1:23" ht="30.75" thickBot="1" x14ac:dyDescent="0.3">
      <c r="A138" s="539"/>
      <c r="B138" s="91" t="s">
        <v>198</v>
      </c>
      <c r="C138" s="90"/>
      <c r="D138" s="90"/>
      <c r="E138" s="90"/>
      <c r="F138" s="90"/>
      <c r="G138" s="90"/>
      <c r="H138" s="90"/>
      <c r="I138" s="90"/>
      <c r="J138" s="89">
        <f>SUM(C138:I138)</f>
        <v>0</v>
      </c>
      <c r="K138" s="599"/>
      <c r="L138" s="57"/>
      <c r="M138" s="57"/>
      <c r="N138" s="22"/>
      <c r="O138" s="20" t="s">
        <v>26</v>
      </c>
      <c r="P138" s="156"/>
      <c r="Q138" s="156"/>
      <c r="R138" s="156"/>
      <c r="S138" s="117"/>
      <c r="T138" s="117"/>
      <c r="U138" s="119"/>
      <c r="V138" s="22"/>
      <c r="W138" s="22"/>
    </row>
    <row r="139" spans="1:23" ht="15.75" thickBot="1" x14ac:dyDescent="0.3">
      <c r="A139" s="294"/>
      <c r="B139" s="88" t="s">
        <v>197</v>
      </c>
      <c r="C139" s="87">
        <v>2</v>
      </c>
      <c r="D139" s="87">
        <v>4</v>
      </c>
      <c r="E139" s="87">
        <v>2</v>
      </c>
      <c r="F139" s="87">
        <v>7</v>
      </c>
      <c r="G139" s="87">
        <v>4</v>
      </c>
      <c r="H139" s="295"/>
      <c r="I139" s="295"/>
      <c r="J139" s="85">
        <f>SUM(J130:J138)</f>
        <v>25</v>
      </c>
      <c r="K139" s="75"/>
      <c r="L139" s="57"/>
      <c r="M139" s="57"/>
      <c r="N139" s="15"/>
      <c r="P139" s="15"/>
      <c r="Q139" s="15"/>
      <c r="R139" s="15"/>
      <c r="S139" s="15"/>
      <c r="T139" s="15"/>
      <c r="U139" s="119"/>
      <c r="V139" s="22"/>
      <c r="W139" s="22"/>
    </row>
    <row r="140" spans="1:23" x14ac:dyDescent="0.25">
      <c r="A140" s="80"/>
      <c r="B140" s="79"/>
      <c r="C140" s="78"/>
      <c r="D140" s="80"/>
      <c r="E140" s="79"/>
      <c r="F140" s="78"/>
      <c r="G140" s="78"/>
      <c r="H140" s="77"/>
      <c r="I140" s="77"/>
      <c r="J140" s="291"/>
      <c r="K140" s="75"/>
      <c r="L140" s="57"/>
      <c r="M140" s="57"/>
      <c r="N140" s="15"/>
      <c r="P140" s="15"/>
      <c r="Q140" s="15"/>
      <c r="R140" s="15"/>
      <c r="S140" s="15"/>
      <c r="T140" s="15"/>
      <c r="U140" s="57"/>
      <c r="V140" s="22"/>
      <c r="W140" s="22"/>
    </row>
    <row r="141" spans="1:23" ht="15.75" thickBot="1" x14ac:dyDescent="0.3">
      <c r="A141" s="80"/>
      <c r="B141" s="79"/>
      <c r="C141" s="78"/>
      <c r="D141" s="80"/>
      <c r="E141" s="79"/>
      <c r="F141" s="78"/>
      <c r="G141" s="78"/>
      <c r="H141" s="77"/>
      <c r="I141" s="77"/>
      <c r="J141" s="291"/>
      <c r="K141" s="75"/>
      <c r="L141" s="57"/>
      <c r="M141" s="57"/>
      <c r="N141" s="15"/>
      <c r="P141" s="15"/>
      <c r="Q141" s="15"/>
      <c r="R141" s="15"/>
      <c r="S141" s="15"/>
      <c r="T141" s="15"/>
      <c r="U141" s="57"/>
      <c r="V141" s="22"/>
      <c r="W141" s="22"/>
    </row>
    <row r="142" spans="1:23" ht="90.75" thickBot="1" x14ac:dyDescent="0.3">
      <c r="A142" s="539" t="s">
        <v>209</v>
      </c>
      <c r="B142" s="105" t="s">
        <v>208</v>
      </c>
      <c r="C142" s="104" t="s">
        <v>2</v>
      </c>
      <c r="D142" s="104" t="s">
        <v>3</v>
      </c>
      <c r="E142" s="104" t="s">
        <v>4</v>
      </c>
      <c r="F142" s="104" t="s">
        <v>5</v>
      </c>
      <c r="G142" s="104" t="s">
        <v>6</v>
      </c>
      <c r="H142" s="104" t="s">
        <v>7</v>
      </c>
      <c r="I142" s="104" t="s">
        <v>8</v>
      </c>
      <c r="J142" s="103" t="s">
        <v>197</v>
      </c>
      <c r="K142" s="15"/>
      <c r="L142" s="57"/>
      <c r="M142" s="57"/>
      <c r="N142" s="15"/>
      <c r="P142" s="15"/>
      <c r="Q142" s="15"/>
      <c r="R142" s="15"/>
      <c r="S142" s="15"/>
      <c r="T142" s="15"/>
      <c r="U142" s="57"/>
      <c r="V142" s="22"/>
      <c r="W142" s="22"/>
    </row>
    <row r="143" spans="1:23" ht="30" x14ac:dyDescent="0.25">
      <c r="A143" s="539"/>
      <c r="B143" s="540" t="s">
        <v>207</v>
      </c>
      <c r="C143" s="102"/>
      <c r="D143" s="15">
        <v>2</v>
      </c>
      <c r="E143" s="15"/>
      <c r="F143" s="15"/>
      <c r="G143" s="15"/>
      <c r="H143" s="101"/>
      <c r="I143" s="101"/>
      <c r="J143" s="89">
        <f>SUM(C143:I143)</f>
        <v>2</v>
      </c>
      <c r="K143" s="599" t="s">
        <v>206</v>
      </c>
      <c r="L143" s="57"/>
      <c r="M143" s="57"/>
      <c r="N143" s="15"/>
      <c r="O143" s="20" t="s">
        <v>165</v>
      </c>
      <c r="P143" s="129" t="s">
        <v>11</v>
      </c>
      <c r="Q143" s="129" t="s">
        <v>12</v>
      </c>
      <c r="R143" s="129" t="s">
        <v>13</v>
      </c>
      <c r="S143" s="129" t="s">
        <v>14</v>
      </c>
      <c r="T143" s="129" t="s">
        <v>0</v>
      </c>
      <c r="U143" s="57"/>
      <c r="V143" s="22"/>
      <c r="W143" s="22"/>
    </row>
    <row r="144" spans="1:23" x14ac:dyDescent="0.25">
      <c r="A144" s="539"/>
      <c r="B144" s="541"/>
      <c r="C144" s="545" t="s">
        <v>205</v>
      </c>
      <c r="D144" s="546"/>
      <c r="E144" s="546"/>
      <c r="F144" s="546"/>
      <c r="G144" s="546"/>
      <c r="H144" s="100"/>
      <c r="I144" s="100"/>
      <c r="J144" s="95"/>
      <c r="K144" s="599"/>
      <c r="L144" s="57"/>
      <c r="M144" s="57"/>
      <c r="N144" s="22"/>
      <c r="O144" s="21" t="s">
        <v>2</v>
      </c>
      <c r="P144" s="133"/>
      <c r="Q144" s="131"/>
      <c r="R144" s="130"/>
      <c r="S144" s="132"/>
      <c r="T144" s="130"/>
      <c r="U144" s="57"/>
      <c r="V144" s="22"/>
      <c r="W144" s="22"/>
    </row>
    <row r="145" spans="1:23" x14ac:dyDescent="0.25">
      <c r="A145" s="539"/>
      <c r="B145" s="535" t="s">
        <v>9</v>
      </c>
      <c r="C145" s="99">
        <v>2</v>
      </c>
      <c r="D145" s="99">
        <v>4</v>
      </c>
      <c r="E145" s="533" t="s">
        <v>200</v>
      </c>
      <c r="F145" s="87">
        <v>7</v>
      </c>
      <c r="G145" s="99">
        <v>2</v>
      </c>
      <c r="H145" s="295"/>
      <c r="I145" s="548"/>
      <c r="J145" s="89">
        <f>SUM(C145:I145)</f>
        <v>15</v>
      </c>
      <c r="K145" s="599"/>
      <c r="L145" s="57"/>
      <c r="M145" s="57"/>
      <c r="N145" s="22"/>
      <c r="O145" s="21" t="s">
        <v>3</v>
      </c>
      <c r="P145" s="134"/>
      <c r="Q145" s="134"/>
      <c r="R145" s="117"/>
      <c r="S145" s="117"/>
      <c r="T145" s="117"/>
      <c r="U145" s="57"/>
      <c r="V145" s="22"/>
      <c r="W145" s="22"/>
    </row>
    <row r="146" spans="1:23" ht="30" x14ac:dyDescent="0.25">
      <c r="A146" s="539"/>
      <c r="B146" s="547"/>
      <c r="C146" s="550" t="s">
        <v>203</v>
      </c>
      <c r="D146" s="551"/>
      <c r="E146" s="534"/>
      <c r="F146" s="98" t="s">
        <v>204</v>
      </c>
      <c r="G146" s="296" t="s">
        <v>203</v>
      </c>
      <c r="H146" s="96"/>
      <c r="I146" s="549"/>
      <c r="J146" s="95"/>
      <c r="K146" s="599"/>
      <c r="L146" s="57"/>
      <c r="M146" s="57"/>
      <c r="N146" s="22"/>
      <c r="O146" s="21" t="s">
        <v>4</v>
      </c>
      <c r="P146" s="134"/>
      <c r="Q146" s="134"/>
      <c r="R146" s="117"/>
      <c r="S146" s="117"/>
      <c r="T146" s="130"/>
      <c r="U146" s="57"/>
      <c r="V146" s="22"/>
      <c r="W146" s="22"/>
    </row>
    <row r="147" spans="1:23" x14ac:dyDescent="0.25">
      <c r="A147" s="539"/>
      <c r="B147" s="535" t="s">
        <v>202</v>
      </c>
      <c r="C147" s="533" t="s">
        <v>200</v>
      </c>
      <c r="D147" s="533" t="s">
        <v>200</v>
      </c>
      <c r="E147" s="533" t="s">
        <v>200</v>
      </c>
      <c r="F147" s="533" t="s">
        <v>200</v>
      </c>
      <c r="G147" s="533" t="s">
        <v>200</v>
      </c>
      <c r="H147" s="562" t="s">
        <v>201</v>
      </c>
      <c r="I147" s="563"/>
      <c r="J147" s="89">
        <f>SUM(C147:I147)</f>
        <v>0</v>
      </c>
      <c r="K147" s="599"/>
      <c r="L147" s="57"/>
      <c r="M147" s="57"/>
      <c r="N147" s="22"/>
      <c r="O147" s="21" t="s">
        <v>5</v>
      </c>
      <c r="P147" s="131"/>
      <c r="Q147" s="131"/>
      <c r="R147" s="130"/>
      <c r="S147" s="132"/>
      <c r="T147" s="130"/>
      <c r="U147" s="57"/>
      <c r="V147" s="22"/>
      <c r="W147" s="22"/>
    </row>
    <row r="148" spans="1:23" x14ac:dyDescent="0.25">
      <c r="A148" s="539"/>
      <c r="B148" s="547"/>
      <c r="C148" s="534"/>
      <c r="D148" s="534"/>
      <c r="E148" s="534"/>
      <c r="F148" s="534"/>
      <c r="G148" s="534"/>
      <c r="H148" s="558"/>
      <c r="I148" s="559"/>
      <c r="J148" s="95"/>
      <c r="K148" s="599"/>
      <c r="L148" s="57"/>
      <c r="M148" s="57"/>
      <c r="N148" s="22"/>
      <c r="O148" s="21" t="s">
        <v>6</v>
      </c>
      <c r="P148" s="157"/>
      <c r="Q148" s="157"/>
      <c r="R148" s="130"/>
      <c r="S148" s="117"/>
      <c r="T148" s="132"/>
      <c r="U148" s="57"/>
      <c r="V148" s="22"/>
      <c r="W148" s="22"/>
    </row>
    <row r="149" spans="1:23" x14ac:dyDescent="0.25">
      <c r="A149" s="539"/>
      <c r="B149" s="535" t="s">
        <v>1</v>
      </c>
      <c r="C149" s="533" t="s">
        <v>200</v>
      </c>
      <c r="D149" s="533" t="s">
        <v>200</v>
      </c>
      <c r="E149" s="533" t="s">
        <v>200</v>
      </c>
      <c r="F149" s="293">
        <v>2</v>
      </c>
      <c r="G149" s="533" t="s">
        <v>200</v>
      </c>
      <c r="H149" s="528"/>
      <c r="I149" s="528"/>
      <c r="J149" s="89">
        <v>2</v>
      </c>
      <c r="K149" s="599"/>
      <c r="L149" s="57"/>
      <c r="M149" s="57"/>
      <c r="N149" s="22"/>
      <c r="O149" s="21" t="s">
        <v>7</v>
      </c>
      <c r="P149" s="157"/>
      <c r="Q149" s="157"/>
      <c r="R149" s="130"/>
      <c r="S149" s="132"/>
      <c r="T149" s="130"/>
      <c r="U149" s="57"/>
      <c r="V149" s="22"/>
      <c r="W149" s="22"/>
    </row>
    <row r="150" spans="1:23" ht="30.75" thickBot="1" x14ac:dyDescent="0.3">
      <c r="A150" s="539"/>
      <c r="B150" s="536"/>
      <c r="C150" s="534"/>
      <c r="D150" s="534"/>
      <c r="E150" s="534"/>
      <c r="F150" s="93" t="s">
        <v>199</v>
      </c>
      <c r="G150" s="534"/>
      <c r="H150" s="529"/>
      <c r="I150" s="529"/>
      <c r="J150" s="92">
        <v>4</v>
      </c>
      <c r="K150" s="599"/>
      <c r="L150" s="57"/>
      <c r="M150" s="57"/>
      <c r="N150" s="22"/>
      <c r="O150" s="14" t="s">
        <v>8</v>
      </c>
      <c r="P150" s="4"/>
      <c r="Q150" s="4"/>
      <c r="R150" s="3"/>
      <c r="S150" s="5"/>
      <c r="T150" s="3"/>
      <c r="U150" s="57"/>
      <c r="V150" s="22"/>
      <c r="W150" s="22"/>
    </row>
    <row r="151" spans="1:23" ht="30.75" thickBot="1" x14ac:dyDescent="0.3">
      <c r="A151" s="539"/>
      <c r="B151" s="91" t="s">
        <v>198</v>
      </c>
      <c r="C151" s="90"/>
      <c r="D151" s="90"/>
      <c r="E151" s="90"/>
      <c r="F151" s="90"/>
      <c r="G151" s="90"/>
      <c r="H151" s="90"/>
      <c r="I151" s="90"/>
      <c r="J151" s="89">
        <f>SUM(C151:I151)</f>
        <v>0</v>
      </c>
      <c r="K151" s="599"/>
      <c r="L151" s="57"/>
      <c r="M151" s="57"/>
      <c r="N151" s="22"/>
      <c r="O151" s="13" t="s">
        <v>26</v>
      </c>
      <c r="P151" s="1"/>
      <c r="Q151" s="1"/>
      <c r="R151" s="1"/>
      <c r="U151" s="57"/>
      <c r="V151" s="22"/>
      <c r="W151" s="22"/>
    </row>
    <row r="152" spans="1:23" ht="15.75" thickBot="1" x14ac:dyDescent="0.3">
      <c r="A152" s="294"/>
      <c r="B152" s="88" t="s">
        <v>197</v>
      </c>
      <c r="C152" s="87">
        <v>2</v>
      </c>
      <c r="D152" s="87">
        <v>4</v>
      </c>
      <c r="E152" s="87">
        <v>2</v>
      </c>
      <c r="F152" s="87">
        <v>7</v>
      </c>
      <c r="G152" s="87">
        <v>4</v>
      </c>
      <c r="H152" s="295"/>
      <c r="I152" s="295"/>
      <c r="J152" s="85">
        <f>SUM(J143:J151)</f>
        <v>23</v>
      </c>
      <c r="K152" s="75"/>
      <c r="L152" s="57"/>
      <c r="M152" s="57"/>
      <c r="N152" s="15"/>
      <c r="P152" s="15"/>
      <c r="Q152" s="15"/>
      <c r="R152" s="15"/>
      <c r="S152" s="15"/>
      <c r="T152" s="15"/>
      <c r="U152" s="57"/>
      <c r="V152" s="22"/>
      <c r="W152" s="22"/>
    </row>
    <row r="153" spans="1:23" x14ac:dyDescent="0.25">
      <c r="A153" s="294"/>
      <c r="B153" s="83"/>
      <c r="C153" s="78"/>
      <c r="D153" s="78"/>
      <c r="E153" s="78"/>
      <c r="F153" s="78"/>
      <c r="G153" s="78"/>
      <c r="H153" s="82"/>
      <c r="I153" s="82"/>
      <c r="J153" s="81"/>
      <c r="K153" s="75"/>
      <c r="L153" s="57"/>
      <c r="M153" s="57"/>
      <c r="N153" s="15"/>
      <c r="P153" s="15"/>
      <c r="Q153" s="15"/>
      <c r="R153" s="15"/>
      <c r="S153" s="15"/>
      <c r="T153" s="15"/>
      <c r="U153" s="57"/>
      <c r="V153" s="22"/>
      <c r="W153" s="22"/>
    </row>
    <row r="154" spans="1:23" x14ac:dyDescent="0.25">
      <c r="B154" s="15"/>
      <c r="C154" s="15"/>
      <c r="D154" s="15"/>
      <c r="E154" s="15"/>
      <c r="F154" s="15"/>
      <c r="G154" s="15"/>
      <c r="H154" s="22"/>
      <c r="I154" s="22"/>
      <c r="J154" s="22"/>
      <c r="K154" s="22"/>
      <c r="L154" s="57"/>
      <c r="M154" s="57"/>
      <c r="N154" s="15"/>
      <c r="P154" s="15"/>
      <c r="Q154" s="15"/>
      <c r="R154" s="15"/>
      <c r="S154" s="15"/>
      <c r="T154" s="15"/>
      <c r="U154" s="57"/>
      <c r="V154" s="22"/>
      <c r="W154" s="22"/>
    </row>
    <row r="155" spans="1:23" x14ac:dyDescent="0.25">
      <c r="B155" s="15"/>
      <c r="C155" s="15"/>
      <c r="D155" s="15"/>
      <c r="E155" s="15"/>
      <c r="F155" s="15"/>
      <c r="G155" s="15"/>
      <c r="H155" s="22"/>
      <c r="I155" s="22"/>
      <c r="J155" s="22"/>
      <c r="K155" s="22"/>
      <c r="L155" s="57"/>
      <c r="M155" s="57"/>
      <c r="N155" s="15"/>
      <c r="P155" s="15"/>
      <c r="Q155" s="15"/>
      <c r="R155" s="15"/>
      <c r="S155" s="15"/>
      <c r="T155" s="15"/>
      <c r="U155" s="57"/>
      <c r="V155" s="22"/>
      <c r="W155" s="22"/>
    </row>
    <row r="156" spans="1:23" x14ac:dyDescent="0.25">
      <c r="B156" s="15"/>
      <c r="C156" s="15"/>
      <c r="D156" s="15"/>
      <c r="E156" s="15"/>
      <c r="F156" s="15"/>
      <c r="G156" s="15"/>
      <c r="H156" s="22"/>
      <c r="I156" s="22"/>
      <c r="J156" s="22"/>
      <c r="K156" s="22"/>
      <c r="L156" s="57"/>
      <c r="M156" s="57"/>
      <c r="N156" s="15"/>
      <c r="P156" s="15"/>
      <c r="Q156" s="15"/>
      <c r="R156" s="15"/>
      <c r="S156" s="15"/>
      <c r="T156" s="15"/>
      <c r="U156" s="57"/>
      <c r="V156" s="22"/>
      <c r="W156" s="22"/>
    </row>
    <row r="157" spans="1:23" ht="31.5" x14ac:dyDescent="0.5">
      <c r="A157" s="530" t="s">
        <v>312</v>
      </c>
      <c r="B157" s="530"/>
      <c r="C157" s="530"/>
      <c r="D157" s="530"/>
      <c r="E157" s="530"/>
      <c r="F157" s="530"/>
      <c r="G157" s="530"/>
      <c r="H157" s="530"/>
      <c r="I157" s="530"/>
      <c r="J157" s="530"/>
      <c r="K157" s="530"/>
      <c r="L157" s="530"/>
      <c r="M157" s="530"/>
      <c r="N157" s="152"/>
      <c r="O157" s="152"/>
      <c r="P157" s="152"/>
      <c r="Q157" s="152"/>
      <c r="R157" s="152"/>
      <c r="S157" s="152"/>
      <c r="T157" s="152"/>
      <c r="U157" s="57"/>
      <c r="V157" s="22"/>
      <c r="W157" s="22"/>
    </row>
    <row r="158" spans="1:23" ht="31.5" x14ac:dyDescent="0.5">
      <c r="A158" s="530"/>
      <c r="B158" s="530"/>
      <c r="C158" s="530"/>
      <c r="D158" s="530"/>
      <c r="E158" s="530"/>
      <c r="F158" s="530"/>
      <c r="G158" s="530"/>
      <c r="H158" s="530"/>
      <c r="I158" s="530"/>
      <c r="J158" s="530"/>
      <c r="K158" s="530"/>
      <c r="L158" s="530"/>
      <c r="M158" s="530"/>
      <c r="N158" s="152"/>
      <c r="O158" s="152"/>
      <c r="P158" s="152"/>
      <c r="Q158" s="152"/>
      <c r="R158" s="152"/>
      <c r="S158" s="152"/>
      <c r="T158" s="152"/>
      <c r="U158" s="57"/>
      <c r="V158" s="22"/>
      <c r="W158" s="22"/>
    </row>
    <row r="159" spans="1:23" ht="75" x14ac:dyDescent="0.25">
      <c r="A159" s="137" t="s">
        <v>252</v>
      </c>
      <c r="B159" s="13" t="s">
        <v>302</v>
      </c>
      <c r="C159" s="13" t="s">
        <v>11</v>
      </c>
      <c r="D159" s="13" t="s">
        <v>12</v>
      </c>
      <c r="E159" s="13" t="s">
        <v>13</v>
      </c>
      <c r="F159" s="13" t="s">
        <v>14</v>
      </c>
      <c r="G159" s="13" t="s">
        <v>0</v>
      </c>
      <c r="H159" s="22"/>
      <c r="I159" s="15"/>
      <c r="J159" s="57" t="s">
        <v>187</v>
      </c>
      <c r="K159" s="57" t="s">
        <v>186</v>
      </c>
      <c r="L159" s="57"/>
      <c r="M159" s="57"/>
      <c r="N159" s="22"/>
      <c r="O159" s="13" t="s">
        <v>302</v>
      </c>
      <c r="P159" s="13" t="s">
        <v>11</v>
      </c>
      <c r="Q159" s="13" t="s">
        <v>12</v>
      </c>
      <c r="R159" s="13" t="s">
        <v>13</v>
      </c>
      <c r="S159" s="13" t="s">
        <v>14</v>
      </c>
      <c r="T159" s="13" t="s">
        <v>0</v>
      </c>
      <c r="U159" s="57"/>
      <c r="V159" s="22"/>
      <c r="W159" s="22"/>
    </row>
    <row r="160" spans="1:23" ht="75" x14ac:dyDescent="0.25">
      <c r="A160" s="137"/>
      <c r="B160" s="13"/>
      <c r="C160" s="13"/>
      <c r="D160" s="13"/>
      <c r="E160" s="13"/>
      <c r="F160" s="13"/>
      <c r="G160" s="13"/>
      <c r="H160" s="22"/>
      <c r="I160" s="15"/>
      <c r="J160" s="57" t="s">
        <v>182</v>
      </c>
      <c r="K160" s="57" t="s">
        <v>181</v>
      </c>
      <c r="L160" s="57"/>
      <c r="M160" s="57"/>
      <c r="N160" s="22"/>
      <c r="O160" s="13"/>
      <c r="P160" s="13"/>
      <c r="Q160" s="13"/>
      <c r="R160" s="13"/>
      <c r="S160" s="13"/>
      <c r="T160" s="13"/>
      <c r="U160" s="57"/>
      <c r="V160" s="22"/>
      <c r="W160" s="22"/>
    </row>
    <row r="161" spans="1:23" ht="150" x14ac:dyDescent="0.25">
      <c r="A161" s="137"/>
      <c r="B161" s="15"/>
      <c r="C161" s="15"/>
      <c r="D161" s="13"/>
      <c r="E161" s="13"/>
      <c r="F161" s="13"/>
      <c r="G161" s="13"/>
      <c r="H161" s="22"/>
      <c r="I161" s="15"/>
      <c r="J161" s="57" t="s">
        <v>180</v>
      </c>
      <c r="K161" s="57" t="s">
        <v>179</v>
      </c>
      <c r="L161" s="57"/>
      <c r="M161" s="57"/>
      <c r="N161" s="22"/>
      <c r="O161" s="13"/>
      <c r="P161" s="13"/>
      <c r="Q161" s="13"/>
      <c r="R161" s="13"/>
      <c r="S161" s="13"/>
      <c r="T161" s="13"/>
      <c r="U161" s="57"/>
      <c r="V161" s="22"/>
      <c r="W161" s="22"/>
    </row>
    <row r="162" spans="1:23" ht="150" x14ac:dyDescent="0.25">
      <c r="A162" s="137"/>
      <c r="B162" s="15"/>
      <c r="C162" s="15"/>
      <c r="D162" s="13"/>
      <c r="E162" s="13"/>
      <c r="F162" s="13"/>
      <c r="G162" s="13"/>
      <c r="H162" s="22"/>
      <c r="I162" s="15"/>
      <c r="J162" s="186" t="s">
        <v>309</v>
      </c>
      <c r="K162" s="186" t="s">
        <v>310</v>
      </c>
      <c r="L162" s="57"/>
      <c r="M162" s="57"/>
      <c r="N162" s="22"/>
      <c r="O162" s="13"/>
      <c r="P162" s="13"/>
      <c r="Q162" s="13"/>
      <c r="R162" s="13"/>
      <c r="S162" s="13"/>
      <c r="T162" s="13"/>
      <c r="U162" s="57"/>
      <c r="V162" s="22"/>
      <c r="W162" s="22"/>
    </row>
    <row r="163" spans="1:23" x14ac:dyDescent="0.25">
      <c r="B163" s="15"/>
      <c r="C163" s="15"/>
      <c r="D163" s="15"/>
      <c r="E163" s="15"/>
      <c r="F163" s="15"/>
      <c r="G163" s="15"/>
      <c r="H163" s="22"/>
      <c r="I163" s="22"/>
      <c r="J163" s="57"/>
      <c r="K163" s="57"/>
      <c r="L163" s="57"/>
      <c r="M163" s="57"/>
      <c r="N163" s="22"/>
      <c r="P163" s="15"/>
      <c r="Q163" s="15"/>
      <c r="R163" s="15"/>
      <c r="S163" s="15"/>
      <c r="T163" s="15"/>
      <c r="U163" s="15"/>
      <c r="V163" s="22"/>
      <c r="W163" s="22"/>
    </row>
    <row r="164" spans="1:23" x14ac:dyDescent="0.25">
      <c r="B164" s="15"/>
      <c r="C164" s="15"/>
      <c r="D164" s="15"/>
      <c r="E164" s="15"/>
      <c r="F164" s="15"/>
      <c r="G164" s="15"/>
      <c r="H164" s="22"/>
      <c r="I164" s="22"/>
      <c r="J164" s="57"/>
      <c r="K164" s="57"/>
      <c r="L164" s="57"/>
      <c r="M164" s="57"/>
      <c r="N164" s="22"/>
      <c r="P164" s="15"/>
      <c r="Q164" s="15"/>
      <c r="R164" s="15"/>
      <c r="S164" s="15"/>
      <c r="T164" s="15"/>
      <c r="U164" s="15"/>
      <c r="V164" s="22"/>
      <c r="W164" s="22"/>
    </row>
    <row r="165" spans="1:23" x14ac:dyDescent="0.25">
      <c r="B165" s="15"/>
      <c r="C165" s="15"/>
      <c r="D165" s="15"/>
      <c r="E165" s="15"/>
      <c r="F165" s="15"/>
      <c r="G165" s="15"/>
      <c r="H165" s="22"/>
      <c r="I165" s="22"/>
      <c r="J165" s="57"/>
      <c r="K165" s="57"/>
      <c r="L165" s="57"/>
      <c r="M165" s="57"/>
      <c r="N165" s="22"/>
      <c r="P165" s="15"/>
      <c r="Q165" s="15"/>
      <c r="R165" s="15"/>
      <c r="S165" s="15"/>
      <c r="T165" s="15"/>
      <c r="U165" s="15"/>
      <c r="V165" s="22"/>
      <c r="W165" s="22"/>
    </row>
    <row r="166" spans="1:23" x14ac:dyDescent="0.25">
      <c r="A166" s="607" t="s">
        <v>303</v>
      </c>
      <c r="B166" s="607"/>
      <c r="C166" s="607"/>
      <c r="D166" s="607"/>
      <c r="E166" s="607"/>
      <c r="F166" s="607"/>
      <c r="G166" s="607"/>
      <c r="H166" s="607"/>
      <c r="I166" s="607"/>
      <c r="J166" s="607"/>
      <c r="K166" s="607"/>
      <c r="L166" s="607"/>
      <c r="M166" s="607"/>
      <c r="N166" s="607"/>
      <c r="O166" s="607"/>
      <c r="P166" s="607"/>
      <c r="Q166" s="607"/>
      <c r="R166" s="607"/>
      <c r="S166" s="607"/>
      <c r="T166" s="607"/>
      <c r="U166" s="607"/>
      <c r="V166" s="22"/>
      <c r="W166" s="22"/>
    </row>
    <row r="167" spans="1:23" x14ac:dyDescent="0.25">
      <c r="B167" s="15"/>
      <c r="C167" s="15"/>
      <c r="D167" s="15"/>
      <c r="E167" s="15"/>
      <c r="F167" s="15"/>
      <c r="G167" s="15"/>
      <c r="H167" s="22"/>
      <c r="I167" s="22"/>
      <c r="J167" s="22"/>
      <c r="K167" s="22"/>
      <c r="L167" s="22"/>
      <c r="M167" s="22"/>
      <c r="N167" s="22"/>
      <c r="P167" s="15"/>
      <c r="Q167" s="15"/>
      <c r="R167" s="15"/>
      <c r="S167" s="15"/>
      <c r="T167" s="15"/>
      <c r="U167" s="15"/>
      <c r="V167" s="22"/>
      <c r="W167" s="22"/>
    </row>
    <row r="168" spans="1:23" x14ac:dyDescent="0.25">
      <c r="A168" s="581" t="s">
        <v>306</v>
      </c>
      <c r="B168" s="581"/>
      <c r="C168" s="581"/>
      <c r="D168" s="581"/>
      <c r="E168" s="581"/>
      <c r="F168" s="581"/>
      <c r="G168" s="581"/>
      <c r="H168" s="581"/>
      <c r="I168" s="581"/>
      <c r="J168" s="581"/>
      <c r="K168" s="581"/>
      <c r="L168" s="15"/>
      <c r="M168" s="15"/>
      <c r="N168" s="15"/>
      <c r="P168" s="15"/>
      <c r="Q168" s="15"/>
      <c r="R168" s="15"/>
      <c r="S168" s="15"/>
      <c r="T168" s="15"/>
      <c r="U168" s="15"/>
      <c r="V168" s="22"/>
      <c r="W168" s="22"/>
    </row>
    <row r="169" spans="1:23" x14ac:dyDescent="0.25">
      <c r="A169" s="581"/>
      <c r="B169" s="581"/>
      <c r="C169" s="581"/>
      <c r="D169" s="581"/>
      <c r="E169" s="581"/>
      <c r="F169" s="581"/>
      <c r="G169" s="581"/>
      <c r="H169" s="581"/>
      <c r="I169" s="581"/>
      <c r="J169" s="581"/>
      <c r="K169" s="581"/>
      <c r="L169" s="15"/>
      <c r="M169" s="15"/>
      <c r="N169" s="15"/>
      <c r="P169" s="15"/>
      <c r="Q169" s="15"/>
      <c r="R169" s="15"/>
      <c r="S169" s="15"/>
      <c r="T169" s="15"/>
      <c r="U169" s="15"/>
      <c r="V169" s="22"/>
      <c r="W169" s="22"/>
    </row>
    <row r="170" spans="1:23" ht="15.75" thickBot="1" x14ac:dyDescent="0.3">
      <c r="B170" s="15"/>
      <c r="C170" s="15"/>
      <c r="D170" s="15"/>
      <c r="E170" s="15"/>
      <c r="F170" s="15"/>
      <c r="G170" s="15"/>
      <c r="H170" s="15"/>
      <c r="I170" s="22"/>
      <c r="J170" s="22"/>
      <c r="K170" s="22"/>
      <c r="L170" s="15"/>
      <c r="M170" s="15"/>
      <c r="N170" s="15"/>
      <c r="P170" s="15"/>
      <c r="Q170" s="15"/>
      <c r="R170" s="15"/>
      <c r="S170" s="15"/>
      <c r="T170" s="15"/>
      <c r="U170" s="15"/>
      <c r="V170" s="15"/>
      <c r="W170" s="22"/>
    </row>
    <row r="171" spans="1:23" ht="90.75" thickBot="1" x14ac:dyDescent="0.3">
      <c r="A171" s="177" t="s">
        <v>209</v>
      </c>
      <c r="B171" s="105" t="s">
        <v>208</v>
      </c>
      <c r="C171" s="104" t="s">
        <v>2</v>
      </c>
      <c r="D171" s="104" t="s">
        <v>3</v>
      </c>
      <c r="E171" s="104" t="s">
        <v>4</v>
      </c>
      <c r="F171" s="104" t="s">
        <v>5</v>
      </c>
      <c r="G171" s="104" t="s">
        <v>6</v>
      </c>
      <c r="H171" s="104" t="s">
        <v>7</v>
      </c>
      <c r="I171" s="104" t="s">
        <v>8</v>
      </c>
      <c r="J171" s="103" t="s">
        <v>197</v>
      </c>
      <c r="K171" s="15"/>
      <c r="L171" s="15"/>
      <c r="M171" s="15"/>
      <c r="N171" s="15"/>
      <c r="P171" s="15"/>
      <c r="Q171" s="15"/>
      <c r="R171" s="15"/>
      <c r="S171" s="15"/>
      <c r="T171" s="15"/>
      <c r="U171" s="15"/>
      <c r="V171" s="15"/>
      <c r="W171" s="22"/>
    </row>
    <row r="172" spans="1:23" ht="30" x14ac:dyDescent="0.25">
      <c r="A172" s="177"/>
      <c r="B172" s="178" t="s">
        <v>207</v>
      </c>
      <c r="C172" s="102"/>
      <c r="D172" s="15">
        <v>2</v>
      </c>
      <c r="E172" s="15"/>
      <c r="F172" s="15"/>
      <c r="G172" s="15"/>
      <c r="H172" s="101"/>
      <c r="I172" s="101"/>
      <c r="J172" s="89">
        <f>SUM(C172:I172)</f>
        <v>2</v>
      </c>
      <c r="K172" s="180" t="s">
        <v>206</v>
      </c>
      <c r="L172" s="15"/>
      <c r="M172" s="15"/>
      <c r="N172" s="15"/>
      <c r="P172" s="15"/>
      <c r="Q172" s="15"/>
      <c r="R172" s="15"/>
      <c r="S172" s="15"/>
      <c r="T172" s="15"/>
      <c r="U172" s="15"/>
      <c r="V172" s="15"/>
      <c r="W172" s="22"/>
    </row>
    <row r="173" spans="1:23" x14ac:dyDescent="0.25">
      <c r="A173" s="177"/>
      <c r="B173" s="179"/>
      <c r="C173" s="181" t="s">
        <v>205</v>
      </c>
      <c r="D173" s="182"/>
      <c r="E173" s="182"/>
      <c r="F173" s="182"/>
      <c r="G173" s="182"/>
      <c r="H173" s="100"/>
      <c r="I173" s="100"/>
      <c r="J173" s="95"/>
      <c r="K173" s="180"/>
      <c r="L173" s="15"/>
      <c r="M173" s="15"/>
      <c r="N173" s="15"/>
      <c r="P173" s="15"/>
      <c r="Q173" s="15"/>
      <c r="R173" s="15"/>
      <c r="S173" s="15"/>
      <c r="T173" s="15"/>
      <c r="U173" s="15"/>
      <c r="V173" s="15"/>
      <c r="W173" s="22"/>
    </row>
    <row r="174" spans="1:23" x14ac:dyDescent="0.25">
      <c r="A174" s="177"/>
      <c r="B174" s="169" t="s">
        <v>9</v>
      </c>
      <c r="C174" s="99">
        <v>2</v>
      </c>
      <c r="D174" s="99">
        <v>4</v>
      </c>
      <c r="E174" s="171" t="s">
        <v>200</v>
      </c>
      <c r="F174" s="87">
        <v>7</v>
      </c>
      <c r="G174" s="99">
        <v>2</v>
      </c>
      <c r="H174" s="295"/>
      <c r="I174" s="184"/>
      <c r="J174" s="89">
        <f>SUM(C174:I174)</f>
        <v>15</v>
      </c>
      <c r="K174" s="180"/>
      <c r="L174" s="15"/>
      <c r="M174" s="15"/>
      <c r="N174" s="15"/>
      <c r="P174" s="15"/>
      <c r="Q174" s="15"/>
      <c r="R174" s="15"/>
      <c r="S174" s="15"/>
      <c r="T174" s="15"/>
      <c r="U174" s="15"/>
      <c r="V174" s="15"/>
      <c r="W174" s="22"/>
    </row>
    <row r="175" spans="1:23" ht="30" x14ac:dyDescent="0.25">
      <c r="A175" s="177"/>
      <c r="B175" s="183"/>
      <c r="C175" s="114" t="s">
        <v>203</v>
      </c>
      <c r="D175" s="113"/>
      <c r="E175" s="172"/>
      <c r="F175" s="98" t="s">
        <v>204</v>
      </c>
      <c r="G175" s="296" t="s">
        <v>203</v>
      </c>
      <c r="H175" s="96"/>
      <c r="I175" s="185"/>
      <c r="J175" s="95"/>
      <c r="K175" s="180"/>
      <c r="L175" s="15"/>
      <c r="M175" s="15"/>
      <c r="N175" s="15"/>
      <c r="P175" s="15"/>
      <c r="Q175" s="15"/>
      <c r="R175" s="15"/>
      <c r="S175" s="15"/>
      <c r="T175" s="15"/>
      <c r="U175" s="15"/>
      <c r="V175" s="15"/>
      <c r="W175" s="22"/>
    </row>
    <row r="176" spans="1:23" ht="90" x14ac:dyDescent="0.25">
      <c r="A176" s="177"/>
      <c r="B176" s="169" t="s">
        <v>202</v>
      </c>
      <c r="C176" s="171" t="s">
        <v>200</v>
      </c>
      <c r="D176" s="171" t="s">
        <v>200</v>
      </c>
      <c r="E176" s="171" t="s">
        <v>200</v>
      </c>
      <c r="F176" s="171" t="s">
        <v>200</v>
      </c>
      <c r="G176" s="171" t="s">
        <v>200</v>
      </c>
      <c r="H176" s="173" t="s">
        <v>201</v>
      </c>
      <c r="I176" s="174"/>
      <c r="J176" s="89">
        <f>SUM(C176:I176)</f>
        <v>0</v>
      </c>
      <c r="K176" s="180"/>
      <c r="L176" s="15"/>
      <c r="M176" s="15"/>
      <c r="N176" s="15"/>
      <c r="P176" s="15"/>
      <c r="Q176" s="15"/>
      <c r="R176" s="15"/>
      <c r="S176" s="15"/>
      <c r="T176" s="15"/>
      <c r="U176" s="15"/>
      <c r="V176" s="15"/>
      <c r="W176" s="22"/>
    </row>
    <row r="177" spans="1:23" x14ac:dyDescent="0.25">
      <c r="A177" s="177"/>
      <c r="B177" s="183"/>
      <c r="C177" s="172"/>
      <c r="D177" s="172"/>
      <c r="E177" s="172"/>
      <c r="F177" s="172"/>
      <c r="G177" s="172"/>
      <c r="H177" s="175"/>
      <c r="I177" s="176"/>
      <c r="J177" s="95"/>
      <c r="K177" s="180"/>
      <c r="L177" s="15"/>
      <c r="M177" s="15"/>
      <c r="N177" s="15"/>
      <c r="P177" s="15"/>
      <c r="Q177" s="15"/>
      <c r="R177" s="15"/>
      <c r="S177" s="15"/>
      <c r="T177" s="15"/>
      <c r="U177" s="15"/>
      <c r="V177" s="15"/>
      <c r="W177" s="22"/>
    </row>
    <row r="178" spans="1:23" x14ac:dyDescent="0.25">
      <c r="A178" s="177"/>
      <c r="B178" s="169" t="s">
        <v>1</v>
      </c>
      <c r="C178" s="171" t="s">
        <v>200</v>
      </c>
      <c r="D178" s="171" t="s">
        <v>200</v>
      </c>
      <c r="E178" s="171" t="s">
        <v>200</v>
      </c>
      <c r="F178" s="293">
        <v>2</v>
      </c>
      <c r="G178" s="171" t="s">
        <v>200</v>
      </c>
      <c r="H178" s="167"/>
      <c r="I178" s="167"/>
      <c r="J178" s="89">
        <v>2</v>
      </c>
      <c r="K178" s="180"/>
      <c r="L178" s="15"/>
      <c r="M178" s="15"/>
      <c r="N178" s="15"/>
      <c r="P178" s="15"/>
      <c r="Q178" s="15"/>
      <c r="R178" s="15"/>
      <c r="S178" s="15"/>
      <c r="T178" s="15"/>
      <c r="U178" s="15"/>
      <c r="V178" s="15"/>
      <c r="W178" s="22"/>
    </row>
    <row r="179" spans="1:23" ht="30.75" thickBot="1" x14ac:dyDescent="0.3">
      <c r="A179" s="177"/>
      <c r="B179" s="170"/>
      <c r="C179" s="172"/>
      <c r="D179" s="172"/>
      <c r="E179" s="172"/>
      <c r="F179" s="93" t="s">
        <v>199</v>
      </c>
      <c r="G179" s="172"/>
      <c r="H179" s="168"/>
      <c r="I179" s="168"/>
      <c r="J179" s="92">
        <v>4</v>
      </c>
      <c r="K179" s="180"/>
      <c r="L179" s="15"/>
      <c r="M179" s="15"/>
      <c r="N179" s="15"/>
      <c r="P179" s="15"/>
      <c r="Q179" s="15"/>
      <c r="R179" s="15"/>
      <c r="S179" s="15"/>
      <c r="T179" s="15"/>
      <c r="U179" s="15"/>
      <c r="V179" s="15"/>
      <c r="W179" s="22"/>
    </row>
    <row r="180" spans="1:23" ht="30.75" thickBot="1" x14ac:dyDescent="0.3">
      <c r="A180" s="177"/>
      <c r="B180" s="91" t="s">
        <v>198</v>
      </c>
      <c r="C180" s="90"/>
      <c r="D180" s="90"/>
      <c r="E180" s="90"/>
      <c r="F180" s="90"/>
      <c r="G180" s="90"/>
      <c r="H180" s="90"/>
      <c r="I180" s="90"/>
      <c r="J180" s="89">
        <f>SUM(C180:I180)</f>
        <v>0</v>
      </c>
      <c r="K180" s="180"/>
      <c r="L180" s="15"/>
      <c r="M180" s="15"/>
      <c r="N180" s="15"/>
      <c r="P180" s="15"/>
      <c r="Q180" s="15"/>
      <c r="R180" s="15"/>
      <c r="S180" s="15"/>
      <c r="T180" s="15"/>
      <c r="U180" s="15"/>
      <c r="V180" s="15"/>
      <c r="W180" s="22"/>
    </row>
    <row r="181" spans="1:23" ht="15.75" thickBot="1" x14ac:dyDescent="0.3">
      <c r="A181" s="294"/>
      <c r="B181" s="88" t="s">
        <v>197</v>
      </c>
      <c r="C181" s="87">
        <v>2</v>
      </c>
      <c r="D181" s="87">
        <v>4</v>
      </c>
      <c r="E181" s="87">
        <v>2</v>
      </c>
      <c r="F181" s="87">
        <v>7</v>
      </c>
      <c r="G181" s="87">
        <v>4</v>
      </c>
      <c r="H181" s="295"/>
      <c r="I181" s="295"/>
      <c r="J181" s="85">
        <f>SUM(J172:J180)</f>
        <v>23</v>
      </c>
      <c r="K181" s="75"/>
      <c r="L181" s="15"/>
      <c r="M181" s="15"/>
      <c r="N181" s="15"/>
      <c r="P181" s="15"/>
      <c r="Q181" s="15"/>
      <c r="R181" s="15"/>
      <c r="S181" s="15"/>
      <c r="T181" s="15"/>
      <c r="U181" s="15"/>
      <c r="V181" s="15"/>
      <c r="W181" s="22"/>
    </row>
    <row r="182" spans="1:23" x14ac:dyDescent="0.25">
      <c r="A182" s="294"/>
      <c r="B182" s="83"/>
      <c r="C182" s="78"/>
      <c r="D182" s="78"/>
      <c r="E182" s="78"/>
      <c r="F182" s="78"/>
      <c r="G182" s="78"/>
      <c r="H182" s="82"/>
      <c r="I182" s="82"/>
      <c r="J182" s="81"/>
      <c r="K182" s="75"/>
      <c r="L182" s="15"/>
      <c r="M182" s="15"/>
      <c r="N182" s="15"/>
      <c r="P182" s="15"/>
      <c r="Q182" s="15"/>
      <c r="R182" s="15"/>
      <c r="S182" s="15"/>
      <c r="T182" s="15"/>
      <c r="U182" s="15"/>
      <c r="V182" s="15"/>
      <c r="W182" s="22"/>
    </row>
    <row r="183" spans="1:23" x14ac:dyDescent="0.25">
      <c r="A183" s="80"/>
      <c r="B183" s="79"/>
      <c r="C183" s="78"/>
      <c r="D183" s="80"/>
      <c r="E183" s="79"/>
      <c r="F183" s="78"/>
      <c r="G183" s="78"/>
      <c r="H183" s="77"/>
      <c r="I183" s="77"/>
      <c r="J183" s="291"/>
      <c r="K183" s="75"/>
      <c r="L183" s="15"/>
      <c r="M183" s="15"/>
      <c r="N183" s="15"/>
      <c r="P183" s="15"/>
      <c r="Q183" s="15"/>
      <c r="R183" s="15"/>
      <c r="S183" s="15"/>
      <c r="T183" s="15"/>
      <c r="U183" s="15"/>
      <c r="V183" s="15"/>
      <c r="W183" s="22"/>
    </row>
    <row r="184" spans="1:23" x14ac:dyDescent="0.25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P184" s="15"/>
      <c r="Q184" s="15"/>
      <c r="R184" s="15"/>
      <c r="S184" s="15"/>
      <c r="T184" s="15"/>
      <c r="U184" s="15"/>
      <c r="V184" s="15"/>
      <c r="W184" s="22"/>
    </row>
    <row r="185" spans="1:23" x14ac:dyDescent="0.25">
      <c r="A185" s="581" t="s">
        <v>308</v>
      </c>
      <c r="B185" s="581"/>
      <c r="C185" s="581"/>
      <c r="D185" s="581"/>
      <c r="E185" s="581"/>
      <c r="F185" s="581"/>
      <c r="G185" s="581"/>
      <c r="H185" s="581"/>
      <c r="I185" s="581"/>
      <c r="J185" s="581"/>
      <c r="K185" s="581"/>
      <c r="L185" s="15"/>
      <c r="M185" s="15"/>
      <c r="N185" s="15"/>
      <c r="P185" s="15"/>
      <c r="Q185" s="15"/>
      <c r="R185" s="15"/>
      <c r="S185" s="15"/>
      <c r="T185" s="15"/>
      <c r="U185" s="15"/>
      <c r="V185" s="15"/>
      <c r="W185" s="22"/>
    </row>
    <row r="186" spans="1:23" x14ac:dyDescent="0.25">
      <c r="A186" s="581"/>
      <c r="B186" s="581"/>
      <c r="C186" s="581"/>
      <c r="D186" s="581"/>
      <c r="E186" s="581"/>
      <c r="F186" s="581"/>
      <c r="G186" s="581"/>
      <c r="H186" s="581"/>
      <c r="I186" s="581"/>
      <c r="J186" s="581"/>
      <c r="K186" s="581"/>
      <c r="L186" s="15"/>
      <c r="M186" s="15"/>
      <c r="N186" s="15"/>
      <c r="P186" s="15"/>
      <c r="Q186" s="15"/>
      <c r="R186" s="15"/>
      <c r="S186" s="15"/>
      <c r="T186" s="15"/>
      <c r="U186" s="15"/>
      <c r="V186" s="15"/>
      <c r="W186" s="22"/>
    </row>
    <row r="187" spans="1:23" x14ac:dyDescent="0.25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P187" s="15"/>
      <c r="Q187" s="15"/>
      <c r="R187" s="15"/>
      <c r="S187" s="15"/>
      <c r="T187" s="15"/>
      <c r="U187" s="15"/>
      <c r="V187" s="15"/>
      <c r="W187" s="22"/>
    </row>
    <row r="188" spans="1:23" ht="90" x14ac:dyDescent="0.25">
      <c r="B188" s="15"/>
      <c r="C188" s="32" t="s">
        <v>195</v>
      </c>
      <c r="D188" s="32" t="s">
        <v>194</v>
      </c>
      <c r="E188" s="32" t="s">
        <v>193</v>
      </c>
      <c r="F188" s="32" t="s">
        <v>192</v>
      </c>
      <c r="G188" s="32" t="s">
        <v>189</v>
      </c>
      <c r="H188" s="32" t="s">
        <v>191</v>
      </c>
      <c r="I188" s="15" t="s">
        <v>190</v>
      </c>
      <c r="J188" s="15"/>
      <c r="K188" s="15"/>
      <c r="L188" s="32"/>
      <c r="M188" s="15"/>
      <c r="N188" s="15"/>
      <c r="P188" s="15"/>
      <c r="Q188" s="15"/>
      <c r="R188" s="15"/>
      <c r="S188" s="15"/>
      <c r="T188" s="15"/>
      <c r="U188" s="15"/>
      <c r="V188" s="15"/>
      <c r="W188" s="22"/>
    </row>
    <row r="189" spans="1:23" x14ac:dyDescent="0.25">
      <c r="B189" s="15"/>
      <c r="C189" s="15" t="s">
        <v>151</v>
      </c>
      <c r="D189" s="15" t="s">
        <v>185</v>
      </c>
      <c r="E189" s="15" t="s">
        <v>185</v>
      </c>
      <c r="F189" s="15" t="s">
        <v>185</v>
      </c>
      <c r="G189" s="15" t="s">
        <v>185</v>
      </c>
      <c r="H189" s="15" t="s">
        <v>185</v>
      </c>
      <c r="I189" s="15"/>
      <c r="J189" s="15"/>
      <c r="K189" s="15"/>
      <c r="L189" s="15"/>
      <c r="M189" s="15"/>
      <c r="N189" s="15"/>
      <c r="P189" s="15"/>
      <c r="Q189" s="15"/>
      <c r="R189" s="15"/>
      <c r="S189" s="15"/>
      <c r="T189" s="15"/>
      <c r="U189" s="15"/>
      <c r="V189" s="15"/>
      <c r="W189" s="22"/>
    </row>
    <row r="190" spans="1:23" ht="30" x14ac:dyDescent="0.25">
      <c r="B190" s="15"/>
      <c r="C190" s="15" t="s">
        <v>187</v>
      </c>
      <c r="D190" s="15" t="s">
        <v>186</v>
      </c>
      <c r="E190" s="15" t="s">
        <v>185</v>
      </c>
      <c r="F190" s="15" t="s">
        <v>185</v>
      </c>
      <c r="G190" s="15" t="s">
        <v>185</v>
      </c>
      <c r="H190" s="15" t="s">
        <v>184</v>
      </c>
      <c r="I190" s="15"/>
      <c r="J190" s="15"/>
      <c r="K190" s="15"/>
      <c r="L190" s="15"/>
      <c r="M190" s="15"/>
      <c r="N190" s="15"/>
      <c r="P190" s="15"/>
      <c r="Q190" s="15"/>
      <c r="R190" s="15"/>
      <c r="S190" s="15"/>
      <c r="T190" s="15"/>
      <c r="U190" s="15"/>
      <c r="V190" s="15"/>
      <c r="W190" s="22"/>
    </row>
    <row r="191" spans="1:23" x14ac:dyDescent="0.25">
      <c r="B191" s="15"/>
      <c r="C191" s="15" t="s">
        <v>182</v>
      </c>
      <c r="D191" s="15" t="s">
        <v>181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P191" s="15"/>
      <c r="Q191" s="15"/>
      <c r="R191" s="15"/>
      <c r="S191" s="15"/>
      <c r="T191" s="15"/>
      <c r="U191" s="15"/>
      <c r="V191" s="15"/>
      <c r="W191" s="22"/>
    </row>
    <row r="192" spans="1:23" ht="30" x14ac:dyDescent="0.25">
      <c r="B192" s="15"/>
      <c r="C192" s="15" t="s">
        <v>180</v>
      </c>
      <c r="D192" s="15" t="s">
        <v>179</v>
      </c>
      <c r="E192" s="15">
        <v>7</v>
      </c>
      <c r="F192" s="15">
        <f>SUM(J181,J168,M149,M136,M123,M108,M95,M83,M67)</f>
        <v>23</v>
      </c>
      <c r="G192" s="64">
        <f>SUM(F192*C201)</f>
        <v>1035</v>
      </c>
      <c r="H192" s="64">
        <f>SUM(G192*C202) +G192</f>
        <v>1226.4749999999999</v>
      </c>
      <c r="I192" s="15"/>
      <c r="J192" s="15"/>
      <c r="K192" s="15"/>
      <c r="L192" s="15"/>
      <c r="M192" s="15"/>
      <c r="N192" s="15"/>
      <c r="P192" s="15"/>
      <c r="Q192" s="15"/>
      <c r="R192" s="15"/>
      <c r="S192" s="15"/>
      <c r="T192" s="15"/>
      <c r="U192" s="15"/>
      <c r="V192" s="15"/>
      <c r="W192" s="22"/>
    </row>
    <row r="193" spans="1:23" ht="30" x14ac:dyDescent="0.25">
      <c r="B193" s="15"/>
      <c r="C193" s="15" t="s">
        <v>177</v>
      </c>
      <c r="D193" s="15" t="s">
        <v>176</v>
      </c>
      <c r="E193" s="15">
        <v>18</v>
      </c>
      <c r="F193" s="15">
        <f>SUM(E193*22.5)</f>
        <v>405</v>
      </c>
      <c r="G193" s="64">
        <f>SUM(F193*C201)</f>
        <v>18225</v>
      </c>
      <c r="H193" s="64">
        <f>SUM(G193*C202) +G193</f>
        <v>21596.625</v>
      </c>
      <c r="I193" s="15"/>
      <c r="J193" s="15"/>
      <c r="K193" s="15"/>
      <c r="L193" s="15"/>
      <c r="M193" s="15"/>
      <c r="N193" s="15"/>
      <c r="P193" s="15"/>
      <c r="Q193" s="15"/>
      <c r="R193" s="15"/>
      <c r="S193" s="15"/>
      <c r="T193" s="15"/>
      <c r="U193" s="15"/>
      <c r="V193" s="15"/>
      <c r="W193" s="22"/>
    </row>
    <row r="194" spans="1:23" ht="30" x14ac:dyDescent="0.25">
      <c r="B194" s="15"/>
      <c r="C194" s="32" t="s">
        <v>173</v>
      </c>
      <c r="D194" s="32" t="s">
        <v>172</v>
      </c>
      <c r="E194" s="32">
        <f>SUM(E189:E193)</f>
        <v>25</v>
      </c>
      <c r="F194" s="32">
        <f>SUM(F189:F193)</f>
        <v>428</v>
      </c>
      <c r="G194" s="64">
        <f>SUM(F194*C201)</f>
        <v>19260</v>
      </c>
      <c r="H194" s="64">
        <f>SUM(G194*C202) +G194</f>
        <v>22823.1</v>
      </c>
      <c r="I194" s="15"/>
      <c r="J194" s="15"/>
      <c r="K194" s="15"/>
      <c r="L194" s="15"/>
      <c r="M194" s="15"/>
      <c r="N194" s="15"/>
      <c r="P194" s="15"/>
      <c r="Q194" s="15"/>
      <c r="R194" s="15"/>
      <c r="S194" s="15"/>
      <c r="T194" s="15"/>
      <c r="U194" s="15"/>
      <c r="V194" s="15"/>
      <c r="W194" s="22"/>
    </row>
    <row r="195" spans="1:23" ht="30" x14ac:dyDescent="0.25">
      <c r="B195" s="15"/>
      <c r="C195" s="32"/>
      <c r="D195" s="32" t="s">
        <v>171</v>
      </c>
      <c r="E195" s="32">
        <f>SUM(E191:E193)</f>
        <v>25</v>
      </c>
      <c r="F195" s="32">
        <f>SUM(F191:F193)</f>
        <v>428</v>
      </c>
      <c r="G195" s="64">
        <f>SUM(F195*C201)</f>
        <v>19260</v>
      </c>
      <c r="H195" s="64">
        <f>SUM(G195*C202) +G195</f>
        <v>22823.1</v>
      </c>
      <c r="I195" s="15"/>
      <c r="J195" s="15"/>
      <c r="K195" s="15"/>
      <c r="L195" s="22"/>
      <c r="M195" s="22"/>
      <c r="N195" s="22"/>
      <c r="P195" s="15"/>
      <c r="Q195" s="15"/>
      <c r="R195" s="15"/>
      <c r="S195" s="15"/>
      <c r="T195" s="15"/>
      <c r="U195" s="15"/>
      <c r="V195" s="15"/>
      <c r="W195" s="22"/>
    </row>
    <row r="196" spans="1:23" ht="30" x14ac:dyDescent="0.25">
      <c r="B196" s="15"/>
      <c r="C196" s="32" t="s">
        <v>170</v>
      </c>
      <c r="D196" s="32" t="s">
        <v>168</v>
      </c>
      <c r="E196" s="32">
        <v>39</v>
      </c>
      <c r="F196" s="32">
        <f>SUM(22.5*E196)</f>
        <v>877.5</v>
      </c>
      <c r="G196" s="64">
        <f>SUM(F196*C201)</f>
        <v>39487.5</v>
      </c>
      <c r="H196" s="64">
        <f>SUM(G196*C202) + G196</f>
        <v>46792.6875</v>
      </c>
      <c r="I196" s="15"/>
      <c r="J196" s="15"/>
      <c r="K196" s="15"/>
      <c r="L196" s="22"/>
      <c r="M196" s="22"/>
      <c r="N196" s="22"/>
      <c r="P196" s="15"/>
      <c r="Q196" s="15"/>
      <c r="R196" s="15"/>
      <c r="S196" s="15"/>
      <c r="T196" s="15"/>
      <c r="U196" s="15"/>
      <c r="V196" s="15"/>
      <c r="W196" s="22"/>
    </row>
    <row r="197" spans="1:23" ht="30" x14ac:dyDescent="0.25">
      <c r="B197" s="15"/>
      <c r="C197" s="32" t="s">
        <v>169</v>
      </c>
      <c r="D197" s="32" t="s">
        <v>168</v>
      </c>
      <c r="E197" s="32">
        <v>39</v>
      </c>
      <c r="F197" s="32">
        <f>SUM(22.5*E197)</f>
        <v>877.5</v>
      </c>
      <c r="G197" s="64">
        <f>SUM(F197*C203)</f>
        <v>58573.125</v>
      </c>
      <c r="H197" s="64">
        <f>SUM(G197*C202) + G197</f>
        <v>69409.153124999997</v>
      </c>
      <c r="I197" s="15"/>
      <c r="J197" s="15"/>
      <c r="K197" s="15"/>
      <c r="L197" s="22"/>
      <c r="M197" s="22"/>
      <c r="N197" s="22"/>
      <c r="P197" s="15"/>
      <c r="Q197" s="15"/>
      <c r="R197" s="15"/>
      <c r="S197" s="15"/>
      <c r="T197" s="15"/>
      <c r="U197" s="15"/>
      <c r="V197" s="15"/>
      <c r="W197" s="22"/>
    </row>
    <row r="198" spans="1:23" x14ac:dyDescent="0.25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22"/>
      <c r="M198" s="22"/>
      <c r="N198" s="22"/>
      <c r="P198" s="15"/>
      <c r="Q198" s="15"/>
      <c r="R198" s="15"/>
      <c r="S198" s="15"/>
      <c r="T198" s="15"/>
      <c r="U198" s="15"/>
      <c r="V198" s="15"/>
      <c r="W198" s="22"/>
    </row>
    <row r="199" spans="1:23" ht="15.75" thickBot="1" x14ac:dyDescent="0.3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22"/>
      <c r="M199" s="22"/>
      <c r="N199" s="22"/>
      <c r="P199" s="15"/>
      <c r="Q199" s="15"/>
      <c r="R199" s="15"/>
      <c r="S199" s="15"/>
      <c r="T199" s="15"/>
      <c r="U199" s="15"/>
      <c r="V199" s="15"/>
      <c r="W199" s="22"/>
    </row>
    <row r="200" spans="1:23" ht="15.75" thickBot="1" x14ac:dyDescent="0.3">
      <c r="B200" s="165" t="s">
        <v>196</v>
      </c>
      <c r="C200" s="166"/>
      <c r="D200" s="15"/>
      <c r="E200" s="165" t="s">
        <v>178</v>
      </c>
      <c r="F200" s="166"/>
      <c r="G200" s="15"/>
      <c r="H200" s="15"/>
      <c r="I200" s="15"/>
      <c r="J200" s="15"/>
      <c r="K200" s="15"/>
      <c r="L200" s="22"/>
      <c r="M200" s="22"/>
      <c r="N200" s="22"/>
      <c r="P200" s="15"/>
      <c r="Q200" s="15"/>
      <c r="R200" s="15"/>
      <c r="S200" s="15"/>
      <c r="T200" s="15"/>
      <c r="U200" s="15"/>
      <c r="V200" s="15"/>
      <c r="W200" s="22"/>
    </row>
    <row r="201" spans="1:23" x14ac:dyDescent="0.25">
      <c r="B201" s="74" t="s">
        <v>189</v>
      </c>
      <c r="C201" s="73">
        <v>45</v>
      </c>
      <c r="D201" s="15"/>
      <c r="E201" s="68" t="s">
        <v>175</v>
      </c>
      <c r="F201" s="67" t="s">
        <v>174</v>
      </c>
      <c r="G201" s="15"/>
      <c r="H201" s="15"/>
      <c r="I201" s="15"/>
      <c r="J201" s="15"/>
      <c r="K201" s="15"/>
      <c r="L201" s="22"/>
      <c r="M201" s="22"/>
      <c r="N201" s="22"/>
      <c r="P201" s="15"/>
      <c r="Q201" s="15"/>
      <c r="R201" s="15"/>
      <c r="S201" s="15"/>
      <c r="T201" s="15"/>
      <c r="U201" s="15"/>
      <c r="V201" s="15"/>
      <c r="W201" s="22"/>
    </row>
    <row r="202" spans="1:23" ht="15.75" thickBot="1" x14ac:dyDescent="0.3">
      <c r="B202" s="72" t="s">
        <v>188</v>
      </c>
      <c r="C202" s="71">
        <v>0.185</v>
      </c>
      <c r="D202" s="15"/>
      <c r="E202" s="66">
        <f>H196</f>
        <v>46792.6875</v>
      </c>
      <c r="F202" s="65">
        <f>H197</f>
        <v>69409.153124999997</v>
      </c>
      <c r="G202" s="15"/>
      <c r="H202" s="15"/>
      <c r="I202" s="15"/>
      <c r="J202" s="15"/>
      <c r="K202" s="15"/>
      <c r="L202" s="22"/>
      <c r="M202" s="22"/>
      <c r="N202" s="22"/>
      <c r="P202" s="15"/>
      <c r="Q202" s="15"/>
      <c r="R202" s="15"/>
      <c r="S202" s="15"/>
      <c r="T202" s="15"/>
      <c r="U202" s="15"/>
      <c r="V202" s="15"/>
      <c r="W202" s="22"/>
    </row>
    <row r="203" spans="1:23" ht="15.75" thickBot="1" x14ac:dyDescent="0.3">
      <c r="B203" s="70" t="s">
        <v>183</v>
      </c>
      <c r="C203" s="69">
        <v>66.75</v>
      </c>
      <c r="D203" s="15"/>
      <c r="E203" s="15"/>
      <c r="F203" s="15"/>
      <c r="G203" s="15"/>
      <c r="H203" s="15"/>
      <c r="I203" s="15"/>
      <c r="J203" s="15"/>
      <c r="K203" s="15"/>
      <c r="L203" s="22"/>
      <c r="M203" s="22"/>
      <c r="N203" s="22"/>
      <c r="P203" s="15"/>
      <c r="Q203" s="15"/>
      <c r="R203" s="15"/>
      <c r="S203" s="15"/>
      <c r="T203" s="15"/>
      <c r="U203" s="15"/>
      <c r="V203" s="15"/>
      <c r="W203" s="22"/>
    </row>
    <row r="204" spans="1:23" x14ac:dyDescent="0.25">
      <c r="B204" s="15"/>
      <c r="C204" s="15"/>
      <c r="D204" s="15"/>
      <c r="E204" s="15"/>
      <c r="F204" s="22"/>
      <c r="G204" s="22"/>
      <c r="H204" s="22"/>
      <c r="I204" s="22"/>
      <c r="J204" s="15"/>
      <c r="K204" s="15"/>
      <c r="L204" s="22"/>
      <c r="M204" s="22"/>
      <c r="N204" s="22"/>
      <c r="P204" s="15"/>
      <c r="Q204" s="15"/>
      <c r="R204" s="15"/>
      <c r="S204" s="15"/>
      <c r="T204" s="15"/>
      <c r="U204" s="15"/>
      <c r="V204" s="15"/>
      <c r="W204" s="22"/>
    </row>
    <row r="205" spans="1:23" x14ac:dyDescent="0.2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22"/>
      <c r="M205" s="22"/>
      <c r="N205" s="22"/>
      <c r="P205" s="15"/>
      <c r="Q205" s="15"/>
      <c r="R205" s="15"/>
      <c r="S205" s="15"/>
      <c r="T205" s="15"/>
      <c r="U205" s="15"/>
      <c r="V205" s="22"/>
      <c r="W205" s="22"/>
    </row>
    <row r="206" spans="1:23" x14ac:dyDescent="0.25">
      <c r="A206" s="581" t="s">
        <v>307</v>
      </c>
      <c r="B206" s="581"/>
      <c r="C206" s="581"/>
      <c r="D206" s="581"/>
      <c r="E206" s="581"/>
      <c r="F206" s="581"/>
      <c r="G206" s="581"/>
      <c r="H206" s="581"/>
      <c r="I206" s="15"/>
      <c r="J206" s="15"/>
      <c r="K206" s="15"/>
      <c r="L206" s="22"/>
      <c r="M206" s="22"/>
      <c r="N206" s="22"/>
      <c r="P206" s="15"/>
      <c r="Q206" s="15"/>
      <c r="R206" s="15"/>
      <c r="S206" s="15"/>
      <c r="T206" s="15"/>
      <c r="U206" s="15"/>
      <c r="V206" s="22"/>
      <c r="W206" s="22"/>
    </row>
    <row r="207" spans="1:23" x14ac:dyDescent="0.25">
      <c r="A207" s="581"/>
      <c r="B207" s="581"/>
      <c r="C207" s="581"/>
      <c r="D207" s="581"/>
      <c r="E207" s="581"/>
      <c r="F207" s="581"/>
      <c r="G207" s="581"/>
      <c r="H207" s="581"/>
      <c r="I207" s="15"/>
      <c r="J207" s="15"/>
      <c r="K207" s="15"/>
      <c r="L207" s="22"/>
      <c r="M207" s="22"/>
      <c r="N207" s="22"/>
      <c r="P207" s="15"/>
      <c r="Q207" s="15"/>
      <c r="R207" s="15"/>
      <c r="S207" s="15"/>
      <c r="T207" s="15"/>
      <c r="U207" s="15"/>
      <c r="V207" s="22"/>
      <c r="W207" s="22"/>
    </row>
    <row r="208" spans="1:23" x14ac:dyDescent="0.25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22"/>
      <c r="M208" s="22"/>
      <c r="N208" s="22"/>
      <c r="P208" s="15"/>
      <c r="Q208" s="15"/>
      <c r="R208" s="15"/>
      <c r="S208" s="15"/>
      <c r="T208" s="15"/>
      <c r="U208" s="15"/>
      <c r="V208" s="22"/>
      <c r="W208" s="22"/>
    </row>
    <row r="209" spans="1:23" x14ac:dyDescent="0.25">
      <c r="B209" s="2" t="s">
        <v>304</v>
      </c>
      <c r="C209" s="2" t="s">
        <v>11</v>
      </c>
      <c r="D209" s="2" t="s">
        <v>12</v>
      </c>
      <c r="E209" s="2" t="s">
        <v>13</v>
      </c>
      <c r="F209" s="2" t="s">
        <v>14</v>
      </c>
      <c r="G209" s="2" t="s">
        <v>0</v>
      </c>
      <c r="H209" s="22"/>
      <c r="I209" s="15"/>
      <c r="J209" s="15"/>
      <c r="K209" s="15"/>
      <c r="L209" s="22"/>
      <c r="M209" s="22"/>
      <c r="N209" s="22"/>
      <c r="P209" s="15"/>
      <c r="Q209" s="15"/>
      <c r="R209" s="15"/>
      <c r="S209" s="15"/>
      <c r="T209" s="15"/>
      <c r="U209" s="15"/>
      <c r="V209" s="22"/>
      <c r="W209" s="22"/>
    </row>
    <row r="210" spans="1:23" x14ac:dyDescent="0.25">
      <c r="A210" s="32">
        <v>1</v>
      </c>
      <c r="B210" s="3" t="s">
        <v>2</v>
      </c>
      <c r="C210" s="6"/>
      <c r="D210" s="4"/>
      <c r="E210" s="3"/>
      <c r="F210" s="5"/>
      <c r="G210" s="3"/>
      <c r="H210" s="22"/>
      <c r="I210" s="15"/>
      <c r="J210" s="15"/>
      <c r="K210" s="15"/>
      <c r="L210" s="22"/>
      <c r="M210" s="22"/>
      <c r="N210" s="22"/>
      <c r="P210" s="15"/>
      <c r="Q210" s="15"/>
      <c r="R210" s="15"/>
      <c r="S210" s="15"/>
      <c r="T210" s="15"/>
      <c r="U210" s="15"/>
      <c r="V210" s="22"/>
      <c r="W210" s="22"/>
    </row>
    <row r="211" spans="1:23" x14ac:dyDescent="0.25">
      <c r="A211" s="32">
        <v>2</v>
      </c>
      <c r="B211" s="3" t="s">
        <v>3</v>
      </c>
      <c r="C211" s="7"/>
      <c r="D211" s="7"/>
      <c r="H211" s="22"/>
      <c r="I211" s="22"/>
      <c r="J211" s="22"/>
      <c r="K211" s="22"/>
      <c r="L211" s="22"/>
      <c r="M211" s="22"/>
      <c r="N211" s="22"/>
      <c r="P211" s="15"/>
      <c r="Q211" s="15"/>
      <c r="R211" s="15"/>
      <c r="S211" s="15"/>
      <c r="T211" s="15"/>
      <c r="U211" s="15"/>
      <c r="V211" s="22"/>
      <c r="W211" s="22"/>
    </row>
    <row r="212" spans="1:23" x14ac:dyDescent="0.25">
      <c r="A212" s="32">
        <v>3</v>
      </c>
      <c r="B212" s="3" t="s">
        <v>4</v>
      </c>
      <c r="C212" s="7"/>
      <c r="D212" s="7"/>
      <c r="G212" s="3"/>
      <c r="H212" s="22"/>
      <c r="I212" s="22"/>
      <c r="J212" s="22"/>
      <c r="K212" s="22"/>
      <c r="L212" s="22"/>
      <c r="M212" s="22"/>
      <c r="N212" s="22"/>
      <c r="P212" s="15"/>
      <c r="Q212" s="15"/>
      <c r="R212" s="15"/>
      <c r="S212" s="15"/>
      <c r="T212" s="15"/>
      <c r="U212" s="15"/>
      <c r="V212" s="22"/>
      <c r="W212" s="22"/>
    </row>
    <row r="213" spans="1:23" x14ac:dyDescent="0.25">
      <c r="A213" s="32">
        <v>4</v>
      </c>
      <c r="B213" s="3" t="s">
        <v>5</v>
      </c>
      <c r="C213" s="4"/>
      <c r="D213" s="4"/>
      <c r="E213" s="3"/>
      <c r="F213" s="5"/>
      <c r="G213" s="3"/>
      <c r="H213" s="22"/>
      <c r="I213" s="22"/>
      <c r="J213" s="22"/>
      <c r="K213" s="22"/>
      <c r="L213" s="22"/>
      <c r="M213" s="22"/>
      <c r="N213" s="22"/>
      <c r="P213" s="15"/>
      <c r="Q213" s="15"/>
      <c r="R213" s="15"/>
      <c r="S213" s="15"/>
      <c r="T213" s="15"/>
      <c r="U213" s="15"/>
      <c r="V213" s="22"/>
      <c r="W213" s="22"/>
    </row>
    <row r="214" spans="1:23" x14ac:dyDescent="0.25">
      <c r="A214" s="32">
        <v>5</v>
      </c>
      <c r="B214" s="3" t="s">
        <v>6</v>
      </c>
      <c r="C214" s="8"/>
      <c r="D214" s="8"/>
      <c r="E214" s="3"/>
      <c r="G214" s="5"/>
      <c r="H214" s="22"/>
      <c r="I214" s="15"/>
      <c r="J214" s="15"/>
      <c r="K214" s="15"/>
      <c r="L214" s="22"/>
      <c r="M214" s="22"/>
      <c r="N214" s="22"/>
      <c r="P214" s="15"/>
      <c r="Q214" s="15"/>
      <c r="R214" s="15"/>
      <c r="S214" s="15"/>
      <c r="T214" s="15"/>
      <c r="U214" s="15"/>
      <c r="V214" s="22"/>
      <c r="W214" s="22"/>
    </row>
    <row r="215" spans="1:23" x14ac:dyDescent="0.25">
      <c r="A215" s="32">
        <v>6</v>
      </c>
      <c r="B215" s="3" t="s">
        <v>7</v>
      </c>
      <c r="C215" s="8"/>
      <c r="D215" s="8"/>
      <c r="E215" s="3"/>
      <c r="F215" s="5"/>
      <c r="G215" s="3"/>
      <c r="H215" s="22"/>
      <c r="I215" s="15"/>
      <c r="J215" s="15"/>
      <c r="K215" s="15"/>
      <c r="L215" s="22"/>
      <c r="M215" s="22"/>
      <c r="N215" s="22"/>
      <c r="P215" s="15"/>
      <c r="Q215" s="15"/>
      <c r="R215" s="15"/>
      <c r="S215" s="15"/>
      <c r="T215" s="15"/>
      <c r="U215" s="15"/>
      <c r="V215" s="22"/>
      <c r="W215" s="22"/>
    </row>
    <row r="216" spans="1:23" x14ac:dyDescent="0.25">
      <c r="A216" s="32">
        <v>7</v>
      </c>
      <c r="B216" s="3" t="s">
        <v>8</v>
      </c>
      <c r="C216" s="4"/>
      <c r="D216" s="4"/>
      <c r="E216" s="3"/>
      <c r="F216" s="5"/>
      <c r="G216" s="3"/>
      <c r="H216" s="22"/>
      <c r="I216" s="22"/>
      <c r="J216" s="22"/>
      <c r="K216" s="22"/>
      <c r="L216" s="22"/>
      <c r="M216" s="22"/>
      <c r="N216" s="22"/>
      <c r="P216" s="15"/>
      <c r="Q216" s="15"/>
      <c r="R216" s="15"/>
      <c r="S216" s="15"/>
      <c r="T216" s="15"/>
      <c r="U216" s="15"/>
      <c r="V216" s="22"/>
      <c r="W216" s="22"/>
    </row>
    <row r="217" spans="1:23" x14ac:dyDescent="0.25">
      <c r="A217" s="32"/>
      <c r="B217" s="2" t="s">
        <v>26</v>
      </c>
      <c r="C217" s="1"/>
      <c r="D217" s="1"/>
      <c r="E217" s="1">
        <f>SUM(E209:E216)</f>
        <v>0</v>
      </c>
      <c r="G217" s="144" t="s">
        <v>292</v>
      </c>
      <c r="H217" s="15"/>
      <c r="I217" s="22"/>
      <c r="J217" s="22"/>
      <c r="K217" s="22"/>
      <c r="L217" s="22"/>
      <c r="M217" s="22"/>
      <c r="N217" s="22"/>
      <c r="P217" s="15"/>
      <c r="Q217" s="15"/>
      <c r="R217" s="15"/>
      <c r="S217" s="15"/>
      <c r="T217" s="15"/>
      <c r="U217" s="15"/>
      <c r="V217" s="22"/>
      <c r="W217" s="22"/>
    </row>
    <row r="218" spans="1:23" ht="30" x14ac:dyDescent="0.25">
      <c r="A218" s="144" t="s">
        <v>305</v>
      </c>
      <c r="B218" s="35" t="s">
        <v>227</v>
      </c>
      <c r="C218" s="60"/>
      <c r="D218" s="61"/>
      <c r="E218" s="35"/>
      <c r="F218" s="115" t="s">
        <v>293</v>
      </c>
      <c r="G218" s="144" t="s">
        <v>292</v>
      </c>
      <c r="H218" s="151" t="s">
        <v>103</v>
      </c>
      <c r="I218" s="22"/>
      <c r="J218" s="22"/>
      <c r="K218" s="22"/>
      <c r="L218" s="22"/>
      <c r="M218" s="22"/>
      <c r="N218" s="22"/>
      <c r="P218" s="15"/>
      <c r="Q218" s="15"/>
      <c r="R218" s="15"/>
      <c r="S218" s="15"/>
      <c r="T218" s="15"/>
      <c r="U218" s="15"/>
      <c r="V218" s="22"/>
      <c r="W218" s="22"/>
    </row>
    <row r="219" spans="1:23" x14ac:dyDescent="0.25">
      <c r="A219" s="32"/>
      <c r="B219" s="15"/>
      <c r="C219" s="15"/>
      <c r="D219" s="15"/>
      <c r="E219" s="15"/>
      <c r="F219" s="15"/>
      <c r="G219" s="15"/>
      <c r="H219" s="22"/>
      <c r="I219" s="22"/>
      <c r="J219" s="22"/>
      <c r="K219" s="22"/>
      <c r="L219" s="22"/>
      <c r="M219" s="22"/>
      <c r="N219" s="22"/>
      <c r="P219" s="15"/>
      <c r="Q219" s="15"/>
      <c r="R219" s="15"/>
      <c r="S219" s="15"/>
      <c r="T219" s="15"/>
      <c r="U219" s="15"/>
      <c r="V219" s="22"/>
      <c r="W219" s="22"/>
    </row>
    <row r="220" spans="1:23" x14ac:dyDescent="0.25">
      <c r="A220" s="32"/>
      <c r="B220" s="2" t="s">
        <v>304</v>
      </c>
      <c r="C220" s="13" t="s">
        <v>11</v>
      </c>
      <c r="D220" s="13" t="s">
        <v>12</v>
      </c>
      <c r="E220" s="13" t="s">
        <v>13</v>
      </c>
      <c r="F220" s="13" t="s">
        <v>14</v>
      </c>
      <c r="G220" s="20" t="s">
        <v>0</v>
      </c>
      <c r="H220" s="15"/>
      <c r="I220" s="22"/>
      <c r="J220" s="22"/>
      <c r="K220" s="22"/>
      <c r="L220" s="22"/>
      <c r="M220" s="22"/>
      <c r="N220" s="22"/>
      <c r="P220" s="15"/>
      <c r="Q220" s="15"/>
      <c r="R220" s="15"/>
      <c r="S220" s="15"/>
      <c r="T220" s="15"/>
      <c r="U220" s="15"/>
      <c r="V220" s="22"/>
      <c r="W220" s="22"/>
    </row>
    <row r="221" spans="1:23" x14ac:dyDescent="0.25">
      <c r="A221" s="32">
        <v>12</v>
      </c>
      <c r="B221" s="21" t="s">
        <v>2</v>
      </c>
      <c r="C221" s="49"/>
      <c r="D221" s="49"/>
      <c r="E221" s="138"/>
      <c r="F221" s="23"/>
      <c r="G221" s="21"/>
      <c r="H221" s="606"/>
      <c r="I221" s="22"/>
      <c r="J221" s="22"/>
      <c r="K221" s="22"/>
      <c r="L221" s="22"/>
      <c r="M221" s="22"/>
      <c r="N221" s="22"/>
      <c r="P221" s="15"/>
      <c r="Q221" s="15"/>
      <c r="R221" s="15"/>
      <c r="S221" s="15"/>
      <c r="T221" s="15"/>
      <c r="U221" s="15"/>
      <c r="V221" s="22"/>
      <c r="W221" s="22"/>
    </row>
    <row r="222" spans="1:23" x14ac:dyDescent="0.25">
      <c r="A222" s="32">
        <v>13</v>
      </c>
      <c r="B222" s="21" t="s">
        <v>3</v>
      </c>
      <c r="C222" s="48"/>
      <c r="D222" s="49"/>
      <c r="E222" s="138"/>
      <c r="F222" s="23"/>
      <c r="G222" s="21"/>
      <c r="H222" s="606"/>
      <c r="I222" s="22"/>
      <c r="J222" s="22"/>
      <c r="K222" s="22"/>
      <c r="L222" s="22"/>
      <c r="M222" s="22"/>
      <c r="N222" s="22"/>
      <c r="P222" s="15"/>
      <c r="Q222" s="15"/>
      <c r="R222" s="15"/>
      <c r="S222" s="15"/>
      <c r="T222" s="15"/>
      <c r="U222" s="15"/>
      <c r="V222" s="22"/>
      <c r="W222" s="22"/>
    </row>
    <row r="223" spans="1:23" x14ac:dyDescent="0.25">
      <c r="A223" s="32">
        <v>14</v>
      </c>
      <c r="B223" s="21" t="s">
        <v>4</v>
      </c>
      <c r="C223" s="51"/>
      <c r="D223" s="51"/>
      <c r="E223" s="138"/>
      <c r="F223" s="23"/>
      <c r="G223" s="22"/>
      <c r="H223" s="606"/>
      <c r="I223" s="22"/>
      <c r="J223" s="22"/>
      <c r="K223" s="22"/>
      <c r="L223" s="22"/>
      <c r="M223" s="22"/>
      <c r="N223" s="22"/>
      <c r="P223" s="15"/>
      <c r="Q223" s="15"/>
      <c r="R223" s="15"/>
      <c r="S223" s="15"/>
      <c r="T223" s="15"/>
      <c r="U223" s="15"/>
      <c r="V223" s="22"/>
      <c r="W223" s="22"/>
    </row>
    <row r="224" spans="1:23" x14ac:dyDescent="0.25">
      <c r="A224" s="32">
        <v>15</v>
      </c>
      <c r="B224" s="21" t="s">
        <v>5</v>
      </c>
      <c r="C224" s="51"/>
      <c r="D224" s="51"/>
      <c r="E224" s="22"/>
      <c r="F224" s="22"/>
      <c r="G224" s="22"/>
      <c r="H224" s="606"/>
      <c r="I224" s="22"/>
      <c r="J224" s="22"/>
      <c r="K224" s="22"/>
      <c r="L224" s="22"/>
      <c r="M224" s="22"/>
      <c r="N224" s="22"/>
      <c r="P224" s="15"/>
      <c r="Q224" s="15"/>
      <c r="R224" s="15"/>
      <c r="S224" s="15"/>
      <c r="T224" s="15"/>
      <c r="U224" s="15"/>
      <c r="V224" s="22"/>
      <c r="W224" s="22"/>
    </row>
    <row r="225" spans="1:23" x14ac:dyDescent="0.25">
      <c r="A225" s="32">
        <v>16</v>
      </c>
      <c r="B225" s="21" t="s">
        <v>6</v>
      </c>
      <c r="C225" s="51"/>
      <c r="D225" s="51"/>
      <c r="E225" s="138"/>
      <c r="F225" s="23"/>
      <c r="G225" s="21"/>
      <c r="H225" s="606"/>
      <c r="I225" s="15"/>
      <c r="J225" s="15"/>
      <c r="K225" s="15"/>
      <c r="L225" s="22"/>
      <c r="M225" s="22"/>
      <c r="N225" s="22"/>
      <c r="P225" s="15"/>
      <c r="Q225" s="15"/>
      <c r="R225" s="15"/>
      <c r="S225" s="15"/>
      <c r="T225" s="15"/>
      <c r="U225" s="15"/>
      <c r="V225" s="22"/>
      <c r="W225" s="22"/>
    </row>
    <row r="226" spans="1:23" x14ac:dyDescent="0.25">
      <c r="A226" s="32">
        <v>17</v>
      </c>
      <c r="B226" s="21" t="s">
        <v>7</v>
      </c>
      <c r="C226" s="51"/>
      <c r="D226" s="51"/>
      <c r="E226" s="138"/>
      <c r="F226" s="23"/>
      <c r="G226" s="21"/>
      <c r="H226" s="606"/>
      <c r="I226" s="15"/>
      <c r="J226" s="15"/>
      <c r="K226" s="15"/>
      <c r="L226" s="22"/>
      <c r="M226" s="22"/>
      <c r="N226" s="22"/>
      <c r="P226" s="15"/>
      <c r="Q226" s="15"/>
      <c r="R226" s="15"/>
      <c r="S226" s="15"/>
      <c r="T226" s="15"/>
      <c r="U226" s="15"/>
      <c r="V226" s="22"/>
      <c r="W226" s="22"/>
    </row>
    <row r="227" spans="1:23" x14ac:dyDescent="0.25">
      <c r="A227" s="32">
        <v>18</v>
      </c>
      <c r="B227" s="3" t="s">
        <v>8</v>
      </c>
      <c r="C227" s="4">
        <v>0.41666666666666669</v>
      </c>
      <c r="D227" s="4">
        <v>0.45833333333333331</v>
      </c>
      <c r="E227" s="3">
        <v>2</v>
      </c>
      <c r="F227" s="5"/>
      <c r="G227" s="3" t="s">
        <v>125</v>
      </c>
      <c r="H227" s="606"/>
      <c r="I227" s="15"/>
      <c r="J227" s="15"/>
      <c r="K227" s="22"/>
      <c r="L227" s="22"/>
      <c r="M227" s="22"/>
      <c r="N227" s="22"/>
      <c r="P227" s="15"/>
      <c r="Q227" s="15"/>
      <c r="R227" s="15"/>
      <c r="S227" s="15"/>
      <c r="T227" s="15"/>
      <c r="U227" s="15"/>
      <c r="V227" s="22"/>
      <c r="W227" s="22"/>
    </row>
    <row r="228" spans="1:23" x14ac:dyDescent="0.25">
      <c r="A228" s="32"/>
      <c r="B228" s="13" t="s">
        <v>26</v>
      </c>
      <c r="C228" s="32"/>
      <c r="D228" s="32"/>
      <c r="E228" s="32">
        <f>SUM(E221:E227)</f>
        <v>2</v>
      </c>
      <c r="F228" s="15"/>
      <c r="G228" s="144" t="s">
        <v>291</v>
      </c>
      <c r="H228" s="22"/>
      <c r="I228" s="15"/>
      <c r="J228" s="15"/>
      <c r="K228" s="15"/>
      <c r="L228" s="22"/>
      <c r="M228" s="22"/>
      <c r="N228" s="22"/>
      <c r="P228" s="15"/>
      <c r="Q228" s="15"/>
      <c r="R228" s="15"/>
      <c r="S228" s="15"/>
      <c r="T228" s="15"/>
      <c r="U228" s="15"/>
      <c r="V228" s="22"/>
      <c r="W228" s="22"/>
    </row>
    <row r="229" spans="1:23" x14ac:dyDescent="0.25">
      <c r="A229" s="32"/>
      <c r="B229" s="13"/>
      <c r="C229" s="32"/>
      <c r="D229" s="32"/>
      <c r="E229" s="32"/>
      <c r="F229" s="15"/>
      <c r="G229" s="22"/>
      <c r="H229" s="22"/>
      <c r="I229" s="15"/>
      <c r="J229" s="15"/>
      <c r="K229" s="15"/>
      <c r="L229" s="22"/>
      <c r="M229" s="22"/>
      <c r="N229" s="22"/>
      <c r="P229" s="15"/>
      <c r="Q229" s="15"/>
      <c r="R229" s="15"/>
      <c r="S229" s="15"/>
      <c r="T229" s="15"/>
      <c r="U229" s="22"/>
      <c r="V229" s="22"/>
      <c r="W229" s="22"/>
    </row>
    <row r="230" spans="1:23" x14ac:dyDescent="0.25">
      <c r="A230" s="32"/>
      <c r="B230" s="2" t="s">
        <v>304</v>
      </c>
      <c r="C230" s="20" t="s">
        <v>11</v>
      </c>
      <c r="D230" s="20" t="s">
        <v>12</v>
      </c>
      <c r="E230" s="20" t="s">
        <v>13</v>
      </c>
      <c r="F230" s="20" t="s">
        <v>14</v>
      </c>
      <c r="G230" s="20" t="s">
        <v>0</v>
      </c>
      <c r="H230" s="22"/>
      <c r="I230" s="15"/>
      <c r="J230" s="15"/>
      <c r="K230" s="15"/>
      <c r="L230" s="22"/>
      <c r="M230" s="22"/>
      <c r="N230" s="22"/>
      <c r="P230" s="15"/>
      <c r="Q230" s="15"/>
      <c r="R230" s="15"/>
      <c r="S230" s="15"/>
      <c r="T230" s="15"/>
      <c r="U230" s="15"/>
      <c r="V230" s="22"/>
      <c r="W230" s="22"/>
    </row>
    <row r="231" spans="1:23" x14ac:dyDescent="0.25">
      <c r="A231" s="32">
        <v>23</v>
      </c>
      <c r="B231" s="3" t="s">
        <v>2</v>
      </c>
      <c r="C231" s="6">
        <v>0.45833333333333331</v>
      </c>
      <c r="D231" s="4">
        <v>0.47916666666666669</v>
      </c>
      <c r="E231" s="3">
        <v>0.5</v>
      </c>
      <c r="F231" s="5"/>
      <c r="G231" s="3" t="s">
        <v>277</v>
      </c>
      <c r="H231" s="22"/>
      <c r="I231" s="15"/>
      <c r="J231" s="15"/>
      <c r="K231" s="15"/>
      <c r="L231" s="22"/>
      <c r="M231" s="22"/>
      <c r="N231" s="22"/>
      <c r="P231" s="15"/>
      <c r="Q231" s="15"/>
      <c r="R231" s="15"/>
      <c r="S231" s="15"/>
      <c r="T231" s="15"/>
      <c r="U231" s="15"/>
      <c r="V231" s="22"/>
      <c r="W231" s="22"/>
    </row>
    <row r="232" spans="1:23" x14ac:dyDescent="0.25">
      <c r="A232" s="32">
        <v>24</v>
      </c>
      <c r="B232" s="3" t="s">
        <v>3</v>
      </c>
      <c r="C232" s="7">
        <v>0.45833333333333331</v>
      </c>
      <c r="D232" s="7">
        <v>0.52083333333333337</v>
      </c>
      <c r="E232">
        <v>1.5</v>
      </c>
      <c r="G232" t="s">
        <v>278</v>
      </c>
      <c r="H232" s="22"/>
      <c r="I232" s="15"/>
      <c r="J232" s="15"/>
      <c r="K232" s="15"/>
      <c r="L232" s="22"/>
      <c r="M232" s="22"/>
      <c r="N232" s="22"/>
      <c r="P232" s="15"/>
      <c r="Q232" s="15"/>
      <c r="R232" s="15"/>
      <c r="S232" s="15"/>
      <c r="T232" s="15"/>
      <c r="U232" s="15"/>
      <c r="V232" s="22"/>
      <c r="W232" s="22"/>
    </row>
    <row r="233" spans="1:23" x14ac:dyDescent="0.25">
      <c r="A233" s="32">
        <v>25</v>
      </c>
      <c r="B233" s="3" t="s">
        <v>4</v>
      </c>
      <c r="C233" s="7">
        <v>0.4375</v>
      </c>
      <c r="D233" s="7">
        <v>0.47916666666666669</v>
      </c>
      <c r="E233">
        <v>1</v>
      </c>
      <c r="G233" s="3" t="s">
        <v>279</v>
      </c>
      <c r="H233" s="15"/>
      <c r="I233" s="15"/>
      <c r="J233" s="15"/>
      <c r="K233" s="15"/>
      <c r="L233" s="22"/>
      <c r="M233" s="22"/>
      <c r="N233" s="22"/>
      <c r="P233" s="15"/>
      <c r="Q233" s="15"/>
      <c r="R233" s="15"/>
      <c r="S233" s="15"/>
      <c r="T233" s="15"/>
      <c r="U233" s="15"/>
      <c r="V233" s="22"/>
      <c r="W233" s="22"/>
    </row>
    <row r="234" spans="1:23" x14ac:dyDescent="0.25">
      <c r="A234" s="32">
        <v>26</v>
      </c>
      <c r="B234" s="3"/>
      <c r="C234" s="7">
        <v>0.29166666666666669</v>
      </c>
      <c r="D234" s="7">
        <v>0.41666666666666669</v>
      </c>
      <c r="E234">
        <v>3</v>
      </c>
      <c r="G234" s="3" t="s">
        <v>280</v>
      </c>
      <c r="H234" s="22"/>
      <c r="I234" s="15"/>
      <c r="J234" s="15"/>
      <c r="K234" s="15"/>
      <c r="L234" s="22"/>
      <c r="M234" s="22"/>
      <c r="N234" s="22"/>
      <c r="P234" s="15"/>
      <c r="Q234" s="15"/>
      <c r="R234" s="15"/>
      <c r="S234" s="15"/>
      <c r="T234" s="15"/>
      <c r="U234" s="15"/>
      <c r="V234" s="22"/>
      <c r="W234" s="22"/>
    </row>
    <row r="235" spans="1:23" x14ac:dyDescent="0.25">
      <c r="A235" s="32">
        <v>27</v>
      </c>
      <c r="B235" s="3" t="s">
        <v>5</v>
      </c>
      <c r="C235" s="4">
        <v>0.41666666666666669</v>
      </c>
      <c r="D235" s="4">
        <v>0.45833333333333331</v>
      </c>
      <c r="E235" s="3">
        <v>1</v>
      </c>
      <c r="F235" s="5"/>
      <c r="G235" s="3" t="s">
        <v>281</v>
      </c>
      <c r="H235" s="15"/>
      <c r="I235" s="15"/>
      <c r="J235" s="15"/>
      <c r="K235" s="15"/>
      <c r="L235" s="22"/>
      <c r="M235" s="22"/>
      <c r="N235" s="22"/>
      <c r="P235" s="15"/>
      <c r="Q235" s="15"/>
      <c r="R235" s="15"/>
      <c r="S235" s="15"/>
      <c r="T235" s="15"/>
      <c r="U235" s="15"/>
      <c r="V235" s="22"/>
      <c r="W235" s="22"/>
    </row>
    <row r="236" spans="1:23" x14ac:dyDescent="0.25">
      <c r="A236" s="32">
        <v>28</v>
      </c>
      <c r="B236" s="3" t="s">
        <v>6</v>
      </c>
      <c r="C236" s="8">
        <v>0.45833333333333331</v>
      </c>
      <c r="D236" s="8">
        <v>0.5</v>
      </c>
      <c r="E236" s="3">
        <v>1</v>
      </c>
      <c r="G236" s="5" t="s">
        <v>282</v>
      </c>
      <c r="H236" s="22"/>
      <c r="I236" s="15"/>
      <c r="J236" s="15"/>
      <c r="K236" s="15"/>
      <c r="L236" s="22"/>
      <c r="M236" s="22"/>
      <c r="N236" s="22"/>
      <c r="P236" s="15"/>
      <c r="Q236" s="15"/>
      <c r="R236" s="15"/>
      <c r="S236" s="15"/>
      <c r="T236" s="15"/>
      <c r="U236" s="15"/>
      <c r="V236" s="22"/>
      <c r="W236" s="22"/>
    </row>
    <row r="237" spans="1:23" x14ac:dyDescent="0.25">
      <c r="A237" s="32">
        <v>29</v>
      </c>
      <c r="B237" s="3" t="s">
        <v>7</v>
      </c>
      <c r="C237" s="8">
        <v>0.41666666666666669</v>
      </c>
      <c r="D237" s="8">
        <v>0.54166666666666663</v>
      </c>
      <c r="E237" s="3">
        <v>3</v>
      </c>
      <c r="F237" s="5"/>
      <c r="G237" s="3" t="s">
        <v>283</v>
      </c>
      <c r="H237" s="22"/>
      <c r="I237" s="15"/>
      <c r="J237" s="15"/>
      <c r="K237" s="15"/>
      <c r="L237" s="22"/>
      <c r="M237" s="22"/>
      <c r="N237" s="22"/>
      <c r="P237" s="15"/>
      <c r="Q237" s="15"/>
      <c r="R237" s="15"/>
      <c r="S237" s="15"/>
      <c r="T237" s="15"/>
      <c r="U237" s="15"/>
      <c r="V237" s="22"/>
      <c r="W237" s="22"/>
    </row>
    <row r="238" spans="1:23" x14ac:dyDescent="0.25">
      <c r="A238" s="32">
        <v>30</v>
      </c>
      <c r="B238" s="3" t="s">
        <v>8</v>
      </c>
      <c r="C238" s="4"/>
      <c r="D238" s="4"/>
      <c r="E238" s="3"/>
      <c r="F238" s="5"/>
      <c r="G238" s="3"/>
      <c r="H238" s="22"/>
      <c r="I238" s="15"/>
      <c r="J238" s="15"/>
      <c r="K238" s="15"/>
      <c r="L238" s="22"/>
      <c r="M238" s="22"/>
      <c r="N238" s="22"/>
      <c r="P238" s="15"/>
      <c r="Q238" s="15"/>
      <c r="R238" s="15"/>
      <c r="S238" s="15"/>
      <c r="T238" s="15"/>
      <c r="U238" s="15"/>
      <c r="V238" s="22"/>
      <c r="W238" s="22"/>
    </row>
    <row r="239" spans="1:23" x14ac:dyDescent="0.25">
      <c r="A239" s="32"/>
      <c r="B239" s="2" t="s">
        <v>26</v>
      </c>
      <c r="C239" s="1"/>
      <c r="D239" s="1"/>
      <c r="E239" s="1">
        <f>SUM(E231:E238)</f>
        <v>11</v>
      </c>
      <c r="G239" s="144" t="s">
        <v>292</v>
      </c>
      <c r="H239" s="15"/>
      <c r="I239" s="15"/>
      <c r="J239" s="15"/>
      <c r="K239" s="15"/>
      <c r="L239" s="22"/>
      <c r="M239" s="22"/>
      <c r="N239" s="22"/>
      <c r="P239" s="15"/>
      <c r="Q239" s="15"/>
      <c r="R239" s="15"/>
      <c r="S239" s="15"/>
      <c r="T239" s="15"/>
      <c r="U239" s="15"/>
      <c r="V239" s="22"/>
      <c r="W239" s="22"/>
    </row>
    <row r="240" spans="1:23" ht="30" x14ac:dyDescent="0.25">
      <c r="A240" s="144" t="s">
        <v>305</v>
      </c>
      <c r="B240" s="35" t="s">
        <v>227</v>
      </c>
      <c r="C240" s="60"/>
      <c r="D240" s="61"/>
      <c r="E240" s="35"/>
      <c r="F240" s="115" t="s">
        <v>293</v>
      </c>
      <c r="G240" s="144" t="s">
        <v>292</v>
      </c>
      <c r="H240" s="151" t="s">
        <v>103</v>
      </c>
      <c r="I240" s="15"/>
      <c r="J240" s="15"/>
      <c r="K240" s="15"/>
      <c r="L240" s="22"/>
      <c r="M240" s="22"/>
      <c r="N240" s="22"/>
      <c r="P240" s="15"/>
      <c r="Q240" s="15"/>
      <c r="R240" s="15"/>
      <c r="S240" s="15"/>
      <c r="T240" s="15"/>
      <c r="U240" s="15"/>
      <c r="V240" s="22"/>
      <c r="W240" s="22"/>
    </row>
    <row r="241" spans="2:23" x14ac:dyDescent="0.25">
      <c r="B241" s="15"/>
      <c r="C241" s="15"/>
      <c r="D241" s="15"/>
      <c r="E241" s="22"/>
      <c r="F241" s="22"/>
      <c r="G241" s="22"/>
      <c r="H241" s="22"/>
      <c r="I241" s="15"/>
      <c r="J241" s="15"/>
      <c r="K241" s="15"/>
      <c r="L241" s="22"/>
      <c r="M241" s="22"/>
      <c r="N241" s="22"/>
      <c r="P241" s="15"/>
      <c r="Q241" s="15"/>
      <c r="R241" s="15"/>
      <c r="S241" s="15"/>
      <c r="T241" s="15"/>
      <c r="U241" s="15"/>
      <c r="V241" s="22"/>
      <c r="W241" s="22"/>
    </row>
    <row r="242" spans="2:23" x14ac:dyDescent="0.25"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22"/>
      <c r="M242" s="22"/>
      <c r="N242" s="22"/>
      <c r="P242" s="15"/>
      <c r="Q242" s="15"/>
      <c r="R242" s="15"/>
      <c r="S242" s="15"/>
      <c r="T242" s="15"/>
      <c r="U242" s="15"/>
      <c r="V242" s="22"/>
      <c r="W242" s="22"/>
    </row>
  </sheetData>
  <mergeCells count="144">
    <mergeCell ref="A157:M158"/>
    <mergeCell ref="A166:U166"/>
    <mergeCell ref="A168:K169"/>
    <mergeCell ref="A185:K186"/>
    <mergeCell ref="A206:H207"/>
    <mergeCell ref="H221:H227"/>
    <mergeCell ref="H147:I148"/>
    <mergeCell ref="B149:B150"/>
    <mergeCell ref="C149:C150"/>
    <mergeCell ref="D149:D150"/>
    <mergeCell ref="E149:E150"/>
    <mergeCell ref="G149:G150"/>
    <mergeCell ref="H149:H150"/>
    <mergeCell ref="I149:I150"/>
    <mergeCell ref="B147:B148"/>
    <mergeCell ref="C147:C148"/>
    <mergeCell ref="D147:D148"/>
    <mergeCell ref="E147:E148"/>
    <mergeCell ref="F147:F148"/>
    <mergeCell ref="G147:G148"/>
    <mergeCell ref="A142:A151"/>
    <mergeCell ref="B143:B144"/>
    <mergeCell ref="K143:K151"/>
    <mergeCell ref="C144:G144"/>
    <mergeCell ref="B145:B146"/>
    <mergeCell ref="E145:E146"/>
    <mergeCell ref="I145:I146"/>
    <mergeCell ref="C146:D146"/>
    <mergeCell ref="A129:A138"/>
    <mergeCell ref="B130:B131"/>
    <mergeCell ref="K130:K138"/>
    <mergeCell ref="C131:G131"/>
    <mergeCell ref="B132:B133"/>
    <mergeCell ref="E132:E133"/>
    <mergeCell ref="I132:I133"/>
    <mergeCell ref="C133:D133"/>
    <mergeCell ref="H134:I135"/>
    <mergeCell ref="B136:B137"/>
    <mergeCell ref="C136:C137"/>
    <mergeCell ref="D136:D137"/>
    <mergeCell ref="E136:E137"/>
    <mergeCell ref="G136:G137"/>
    <mergeCell ref="B134:B135"/>
    <mergeCell ref="C134:C135"/>
    <mergeCell ref="H136:H137"/>
    <mergeCell ref="I136:I137"/>
    <mergeCell ref="B121:B122"/>
    <mergeCell ref="C121:C122"/>
    <mergeCell ref="D121:D122"/>
    <mergeCell ref="E121:E122"/>
    <mergeCell ref="F121:F122"/>
    <mergeCell ref="G121:G122"/>
    <mergeCell ref="D134:D135"/>
    <mergeCell ref="E134:E135"/>
    <mergeCell ref="F134:F135"/>
    <mergeCell ref="G134:G135"/>
    <mergeCell ref="A116:A125"/>
    <mergeCell ref="B117:B118"/>
    <mergeCell ref="K117:K125"/>
    <mergeCell ref="C118:G118"/>
    <mergeCell ref="B119:B120"/>
    <mergeCell ref="E119:E120"/>
    <mergeCell ref="I119:I120"/>
    <mergeCell ref="C120:D120"/>
    <mergeCell ref="A103:A112"/>
    <mergeCell ref="B104:B105"/>
    <mergeCell ref="K104:K112"/>
    <mergeCell ref="C105:G105"/>
    <mergeCell ref="B106:B107"/>
    <mergeCell ref="E106:E107"/>
    <mergeCell ref="I106:I107"/>
    <mergeCell ref="C107:D107"/>
    <mergeCell ref="H121:I122"/>
    <mergeCell ref="B123:B124"/>
    <mergeCell ref="C123:C124"/>
    <mergeCell ref="D123:D124"/>
    <mergeCell ref="E123:E124"/>
    <mergeCell ref="G123:G124"/>
    <mergeCell ref="H123:H124"/>
    <mergeCell ref="I123:I124"/>
    <mergeCell ref="H108:I109"/>
    <mergeCell ref="B110:B111"/>
    <mergeCell ref="C110:C111"/>
    <mergeCell ref="D110:D111"/>
    <mergeCell ref="E110:E111"/>
    <mergeCell ref="G110:G111"/>
    <mergeCell ref="B108:B109"/>
    <mergeCell ref="C108:C109"/>
    <mergeCell ref="H110:H111"/>
    <mergeCell ref="I110:I111"/>
    <mergeCell ref="B93:B94"/>
    <mergeCell ref="C93:C94"/>
    <mergeCell ref="D93:D94"/>
    <mergeCell ref="E93:E94"/>
    <mergeCell ref="F93:F94"/>
    <mergeCell ref="G93:G94"/>
    <mergeCell ref="D108:D109"/>
    <mergeCell ref="E108:E109"/>
    <mergeCell ref="F108:F109"/>
    <mergeCell ref="G108:G109"/>
    <mergeCell ref="A88:A99"/>
    <mergeCell ref="B89:B90"/>
    <mergeCell ref="K89:K99"/>
    <mergeCell ref="C90:G90"/>
    <mergeCell ref="B91:B92"/>
    <mergeCell ref="E91:E92"/>
    <mergeCell ref="I91:I92"/>
    <mergeCell ref="C92:D92"/>
    <mergeCell ref="A75:A84"/>
    <mergeCell ref="B76:B77"/>
    <mergeCell ref="K76:K84"/>
    <mergeCell ref="C77:G77"/>
    <mergeCell ref="B78:B79"/>
    <mergeCell ref="E78:E79"/>
    <mergeCell ref="I78:I79"/>
    <mergeCell ref="C79:D79"/>
    <mergeCell ref="H93:I94"/>
    <mergeCell ref="B97:B98"/>
    <mergeCell ref="C97:C98"/>
    <mergeCell ref="D97:D98"/>
    <mergeCell ref="E97:E98"/>
    <mergeCell ref="G97:G98"/>
    <mergeCell ref="H97:H98"/>
    <mergeCell ref="I97:I98"/>
    <mergeCell ref="B82:B83"/>
    <mergeCell ref="C82:C83"/>
    <mergeCell ref="D82:D83"/>
    <mergeCell ref="E82:E83"/>
    <mergeCell ref="G82:G83"/>
    <mergeCell ref="B80:B81"/>
    <mergeCell ref="C80:C81"/>
    <mergeCell ref="H82:H83"/>
    <mergeCell ref="I82:I83"/>
    <mergeCell ref="G4:J10"/>
    <mergeCell ref="A15:F17"/>
    <mergeCell ref="A44:A46"/>
    <mergeCell ref="A48:T49"/>
    <mergeCell ref="A50:H50"/>
    <mergeCell ref="N50:T50"/>
    <mergeCell ref="D80:D81"/>
    <mergeCell ref="E80:E81"/>
    <mergeCell ref="F80:F81"/>
    <mergeCell ref="G80:G81"/>
    <mergeCell ref="H80:I8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3276-7814-4FA7-83C8-545A7B5850D8}">
  <dimension ref="A1:K171"/>
  <sheetViews>
    <sheetView zoomScale="25" zoomScaleNormal="25" workbookViewId="0">
      <selection activeCell="AD61" sqref="AD61"/>
    </sheetView>
  </sheetViews>
  <sheetFormatPr defaultRowHeight="15" x14ac:dyDescent="0.25"/>
  <cols>
    <col min="1" max="1" width="33.7109375" bestFit="1" customWidth="1"/>
    <col min="2" max="2" width="15.5703125" bestFit="1" customWidth="1"/>
    <col min="3" max="3" width="10.140625" bestFit="1" customWidth="1"/>
    <col min="4" max="4" width="13.140625" customWidth="1"/>
    <col min="5" max="5" width="14.85546875" bestFit="1" customWidth="1"/>
    <col min="6" max="6" width="12.140625" customWidth="1"/>
    <col min="7" max="7" width="19.42578125" bestFit="1" customWidth="1"/>
    <col min="8" max="8" width="30.7109375" bestFit="1" customWidth="1"/>
    <col min="9" max="9" width="13.7109375" customWidth="1"/>
    <col min="10" max="10" width="28.85546875" bestFit="1" customWidth="1"/>
    <col min="11" max="11" width="40.85546875" bestFit="1" customWidth="1"/>
  </cols>
  <sheetData>
    <row r="1" spans="1:11" ht="63.75" customHeight="1" x14ac:dyDescent="0.55000000000000004">
      <c r="A1" s="564" t="s">
        <v>437</v>
      </c>
      <c r="B1" s="564"/>
      <c r="C1" s="564"/>
      <c r="D1" s="564"/>
      <c r="E1" s="564"/>
      <c r="F1" s="564"/>
      <c r="G1" s="564"/>
      <c r="H1" s="300" t="s">
        <v>441</v>
      </c>
      <c r="I1" s="300" t="s">
        <v>442</v>
      </c>
      <c r="J1" s="300" t="s">
        <v>443</v>
      </c>
      <c r="K1" s="300" t="s">
        <v>444</v>
      </c>
    </row>
    <row r="2" spans="1:11" ht="30" x14ac:dyDescent="0.25">
      <c r="A2" s="620" t="s">
        <v>438</v>
      </c>
      <c r="B2" s="620"/>
      <c r="C2" s="620"/>
      <c r="D2" s="620"/>
      <c r="E2" s="620"/>
      <c r="F2" s="620"/>
      <c r="H2" s="258" t="s">
        <v>187</v>
      </c>
      <c r="I2" s="258" t="s">
        <v>186</v>
      </c>
      <c r="J2" s="350" t="s">
        <v>439</v>
      </c>
      <c r="K2" s="351"/>
    </row>
    <row r="3" spans="1:11" ht="30" x14ac:dyDescent="0.25">
      <c r="H3" s="258" t="s">
        <v>182</v>
      </c>
      <c r="I3" s="258" t="s">
        <v>181</v>
      </c>
      <c r="J3" s="350" t="s">
        <v>439</v>
      </c>
      <c r="K3" s="351"/>
    </row>
    <row r="4" spans="1:11" ht="60" x14ac:dyDescent="0.25">
      <c r="H4" s="353" t="s">
        <v>449</v>
      </c>
      <c r="I4" s="353" t="s">
        <v>179</v>
      </c>
      <c r="J4" s="354" t="s">
        <v>440</v>
      </c>
      <c r="K4" s="354" t="s">
        <v>447</v>
      </c>
    </row>
    <row r="5" spans="1:11" ht="75" x14ac:dyDescent="0.25">
      <c r="H5" s="352" t="s">
        <v>445</v>
      </c>
      <c r="I5" s="352" t="s">
        <v>310</v>
      </c>
      <c r="J5" s="350" t="s">
        <v>446</v>
      </c>
      <c r="K5" s="350" t="s">
        <v>448</v>
      </c>
    </row>
    <row r="7" spans="1:11" x14ac:dyDescent="0.25">
      <c r="G7" s="227"/>
      <c r="H7" s="188"/>
      <c r="I7" s="188"/>
      <c r="J7" s="227"/>
    </row>
    <row r="8" spans="1:11" ht="15.75" thickBot="1" x14ac:dyDescent="0.3">
      <c r="K8" s="227"/>
    </row>
    <row r="9" spans="1:11" ht="15.75" customHeight="1" thickBot="1" x14ac:dyDescent="0.3">
      <c r="A9" s="539" t="s">
        <v>225</v>
      </c>
      <c r="B9" s="105" t="s">
        <v>224</v>
      </c>
      <c r="C9" s="347" t="s">
        <v>2</v>
      </c>
      <c r="D9" s="347" t="s">
        <v>3</v>
      </c>
      <c r="E9" s="347" t="s">
        <v>4</v>
      </c>
      <c r="F9" s="347" t="s">
        <v>5</v>
      </c>
      <c r="G9" s="347" t="s">
        <v>6</v>
      </c>
      <c r="H9" s="347" t="s">
        <v>7</v>
      </c>
      <c r="I9" s="104" t="s">
        <v>8</v>
      </c>
      <c r="J9" s="103" t="s">
        <v>197</v>
      </c>
      <c r="K9" s="355"/>
    </row>
    <row r="10" spans="1:11" ht="30" x14ac:dyDescent="0.25">
      <c r="A10" s="539"/>
      <c r="B10" s="569" t="s">
        <v>207</v>
      </c>
      <c r="C10" s="102"/>
      <c r="D10" s="15">
        <v>4</v>
      </c>
      <c r="E10" s="15"/>
      <c r="F10" s="15"/>
      <c r="G10" s="15">
        <v>4</v>
      </c>
      <c r="H10" s="101"/>
      <c r="I10" s="101"/>
      <c r="J10" s="89">
        <f>SUM(C10:I10)</f>
        <v>8</v>
      </c>
      <c r="K10" s="180" t="s">
        <v>223</v>
      </c>
    </row>
    <row r="11" spans="1:11" x14ac:dyDescent="0.25">
      <c r="A11" s="539"/>
      <c r="B11" s="541"/>
      <c r="C11" s="545" t="s">
        <v>205</v>
      </c>
      <c r="D11" s="546"/>
      <c r="E11" s="546"/>
      <c r="F11" s="546"/>
      <c r="G11" s="546"/>
      <c r="H11" s="100"/>
      <c r="I11" s="100"/>
      <c r="J11" s="89"/>
      <c r="K11" s="180"/>
    </row>
    <row r="12" spans="1:11" x14ac:dyDescent="0.25">
      <c r="A12" s="539"/>
      <c r="B12" s="535" t="s">
        <v>9</v>
      </c>
      <c r="C12" s="99">
        <v>0</v>
      </c>
      <c r="D12" s="99">
        <v>0</v>
      </c>
      <c r="E12" s="533" t="s">
        <v>200</v>
      </c>
      <c r="F12" s="87">
        <v>7</v>
      </c>
      <c r="G12" s="99">
        <v>0</v>
      </c>
      <c r="H12" s="86"/>
      <c r="I12" s="548"/>
      <c r="J12" s="89">
        <f t="shared" ref="J12:J16" si="0">SUM(C12:I12)</f>
        <v>7</v>
      </c>
      <c r="K12" s="180"/>
    </row>
    <row r="13" spans="1:11" ht="60" x14ac:dyDescent="0.25">
      <c r="A13" s="539"/>
      <c r="B13" s="547"/>
      <c r="C13" s="550" t="s">
        <v>203</v>
      </c>
      <c r="D13" s="551"/>
      <c r="E13" s="534"/>
      <c r="F13" s="98" t="s">
        <v>204</v>
      </c>
      <c r="G13" s="97" t="s">
        <v>203</v>
      </c>
      <c r="H13" s="96"/>
      <c r="I13" s="549"/>
      <c r="J13" s="89"/>
      <c r="K13" s="180"/>
    </row>
    <row r="14" spans="1:11" ht="39" customHeight="1" x14ac:dyDescent="0.25">
      <c r="A14" s="539"/>
      <c r="B14" s="535" t="s">
        <v>202</v>
      </c>
      <c r="C14" s="533" t="s">
        <v>200</v>
      </c>
      <c r="D14" s="533" t="s">
        <v>200</v>
      </c>
      <c r="E14" s="533" t="s">
        <v>200</v>
      </c>
      <c r="F14" s="533" t="s">
        <v>200</v>
      </c>
      <c r="G14" s="533" t="s">
        <v>200</v>
      </c>
      <c r="H14" s="247" t="s">
        <v>222</v>
      </c>
      <c r="I14" s="248">
        <v>5</v>
      </c>
      <c r="J14" s="89">
        <f t="shared" si="0"/>
        <v>5</v>
      </c>
      <c r="K14" s="180"/>
    </row>
    <row r="15" spans="1:11" x14ac:dyDescent="0.25">
      <c r="A15" s="539"/>
      <c r="B15" s="547"/>
      <c r="C15" s="534"/>
      <c r="D15" s="534"/>
      <c r="E15" s="534"/>
      <c r="F15" s="534"/>
      <c r="G15" s="534"/>
      <c r="H15" s="249"/>
      <c r="I15" s="250"/>
      <c r="J15" s="89"/>
      <c r="K15" s="180"/>
    </row>
    <row r="16" spans="1:11" x14ac:dyDescent="0.25">
      <c r="A16" s="539"/>
      <c r="B16" s="535" t="s">
        <v>1</v>
      </c>
      <c r="C16" s="533" t="s">
        <v>200</v>
      </c>
      <c r="D16" s="533" t="s">
        <v>200</v>
      </c>
      <c r="E16" s="533" t="s">
        <v>200</v>
      </c>
      <c r="F16" s="109">
        <v>2</v>
      </c>
      <c r="G16" s="533" t="s">
        <v>200</v>
      </c>
      <c r="H16" s="528"/>
      <c r="I16" s="528"/>
      <c r="J16" s="89">
        <f t="shared" si="0"/>
        <v>2</v>
      </c>
      <c r="K16" s="180"/>
    </row>
    <row r="17" spans="1:11" ht="30.75" thickBot="1" x14ac:dyDescent="0.3">
      <c r="A17" s="539"/>
      <c r="B17" s="536"/>
      <c r="C17" s="534"/>
      <c r="D17" s="534"/>
      <c r="E17" s="534"/>
      <c r="F17" s="108" t="s">
        <v>146</v>
      </c>
      <c r="G17" s="534"/>
      <c r="H17" s="529"/>
      <c r="I17" s="529"/>
      <c r="J17" s="89"/>
      <c r="K17" s="180"/>
    </row>
    <row r="18" spans="1:11" ht="30.75" thickBot="1" x14ac:dyDescent="0.3">
      <c r="A18" s="539"/>
      <c r="B18" s="91" t="s">
        <v>198</v>
      </c>
      <c r="C18" s="90"/>
      <c r="D18" s="90"/>
      <c r="E18" s="90"/>
      <c r="F18" s="90"/>
      <c r="G18" s="90"/>
      <c r="H18" s="90"/>
      <c r="I18" s="90"/>
      <c r="J18" s="89"/>
      <c r="K18" s="180"/>
    </row>
    <row r="19" spans="1:11" ht="15.75" thickBot="1" x14ac:dyDescent="0.3">
      <c r="A19" s="84"/>
      <c r="B19" s="88" t="s">
        <v>197</v>
      </c>
      <c r="C19" s="87">
        <v>2</v>
      </c>
      <c r="D19" s="87">
        <v>4</v>
      </c>
      <c r="E19" s="87">
        <v>2</v>
      </c>
      <c r="F19" s="87">
        <v>7</v>
      </c>
      <c r="G19" s="87">
        <v>4</v>
      </c>
      <c r="H19" s="86"/>
      <c r="I19" s="86"/>
      <c r="J19" s="85">
        <f>SUM(J10:J18)</f>
        <v>22</v>
      </c>
      <c r="K19" s="7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15.75" thickBot="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.75" thickBot="1" x14ac:dyDescent="0.3">
      <c r="A22" s="539" t="s">
        <v>221</v>
      </c>
      <c r="B22" s="105" t="s">
        <v>220</v>
      </c>
      <c r="C22" s="104" t="s">
        <v>2</v>
      </c>
      <c r="D22" s="104" t="s">
        <v>3</v>
      </c>
      <c r="E22" s="104" t="s">
        <v>4</v>
      </c>
      <c r="F22" s="104" t="s">
        <v>5</v>
      </c>
      <c r="G22" s="104" t="s">
        <v>6</v>
      </c>
      <c r="H22" s="104" t="s">
        <v>7</v>
      </c>
      <c r="I22" s="104" t="s">
        <v>8</v>
      </c>
      <c r="J22" s="103" t="s">
        <v>197</v>
      </c>
      <c r="K22" s="15"/>
    </row>
    <row r="23" spans="1:11" x14ac:dyDescent="0.25">
      <c r="A23" s="539"/>
      <c r="B23" s="540" t="s">
        <v>207</v>
      </c>
      <c r="C23" s="102"/>
      <c r="D23" s="15">
        <v>4</v>
      </c>
      <c r="E23" s="15"/>
      <c r="F23" s="15"/>
      <c r="G23" s="15">
        <v>4</v>
      </c>
      <c r="H23" s="101"/>
      <c r="I23" s="101"/>
      <c r="J23" s="89">
        <f>SUM(C23:I23)</f>
        <v>8</v>
      </c>
      <c r="K23" s="599" t="s">
        <v>219</v>
      </c>
    </row>
    <row r="24" spans="1:11" x14ac:dyDescent="0.25">
      <c r="A24" s="539"/>
      <c r="B24" s="541"/>
      <c r="C24" s="545" t="s">
        <v>205</v>
      </c>
      <c r="D24" s="546"/>
      <c r="E24" s="546"/>
      <c r="F24" s="546"/>
      <c r="G24" s="546"/>
      <c r="H24" s="100"/>
      <c r="I24" s="100"/>
      <c r="J24" s="95"/>
      <c r="K24" s="599"/>
    </row>
    <row r="25" spans="1:11" x14ac:dyDescent="0.25">
      <c r="A25" s="539"/>
      <c r="B25" s="535" t="s">
        <v>9</v>
      </c>
      <c r="C25" s="99">
        <v>2</v>
      </c>
      <c r="D25" s="99">
        <v>0</v>
      </c>
      <c r="E25" s="533" t="s">
        <v>200</v>
      </c>
      <c r="F25" s="87">
        <v>7</v>
      </c>
      <c r="G25" s="99">
        <v>2</v>
      </c>
      <c r="H25" s="86"/>
      <c r="I25" s="548"/>
      <c r="J25" s="89">
        <f>SUM(C25:I25)</f>
        <v>11</v>
      </c>
      <c r="K25" s="599"/>
    </row>
    <row r="26" spans="1:11" ht="60" x14ac:dyDescent="0.25">
      <c r="A26" s="539"/>
      <c r="B26" s="547"/>
      <c r="C26" s="550" t="s">
        <v>203</v>
      </c>
      <c r="D26" s="551"/>
      <c r="E26" s="534"/>
      <c r="F26" s="98" t="s">
        <v>204</v>
      </c>
      <c r="G26" s="97" t="s">
        <v>203</v>
      </c>
      <c r="H26" s="96"/>
      <c r="I26" s="549"/>
      <c r="J26" s="95"/>
      <c r="K26" s="599"/>
    </row>
    <row r="27" spans="1:11" ht="30" x14ac:dyDescent="0.25">
      <c r="A27" s="539"/>
      <c r="B27" s="535" t="s">
        <v>202</v>
      </c>
      <c r="C27" s="533" t="s">
        <v>200</v>
      </c>
      <c r="D27" s="533" t="s">
        <v>200</v>
      </c>
      <c r="E27" s="533" t="s">
        <v>200</v>
      </c>
      <c r="F27" s="533" t="s">
        <v>200</v>
      </c>
      <c r="G27" s="533" t="s">
        <v>200</v>
      </c>
      <c r="H27" s="247" t="s">
        <v>218</v>
      </c>
      <c r="I27" s="248"/>
      <c r="J27" s="89">
        <v>2</v>
      </c>
      <c r="K27" s="599"/>
    </row>
    <row r="28" spans="1:11" x14ac:dyDescent="0.25">
      <c r="A28" s="539"/>
      <c r="B28" s="547"/>
      <c r="C28" s="534"/>
      <c r="D28" s="534"/>
      <c r="E28" s="534"/>
      <c r="F28" s="534"/>
      <c r="G28" s="534"/>
      <c r="H28" s="249"/>
      <c r="I28" s="250"/>
      <c r="J28" s="95"/>
      <c r="K28" s="599"/>
    </row>
    <row r="29" spans="1:11" x14ac:dyDescent="0.25">
      <c r="A29" s="539"/>
      <c r="B29" s="112" t="s">
        <v>217</v>
      </c>
      <c r="C29" s="111"/>
      <c r="D29" s="111"/>
      <c r="E29" s="111"/>
      <c r="F29" s="109">
        <v>2</v>
      </c>
      <c r="G29" s="111"/>
      <c r="H29" s="110"/>
      <c r="I29" s="110"/>
      <c r="J29" s="110">
        <v>2</v>
      </c>
      <c r="K29" s="599"/>
    </row>
    <row r="30" spans="1:11" ht="30" x14ac:dyDescent="0.25">
      <c r="A30" s="539"/>
      <c r="B30" s="112"/>
      <c r="C30" s="111"/>
      <c r="D30" s="111"/>
      <c r="E30" s="111"/>
      <c r="F30" s="108" t="s">
        <v>146</v>
      </c>
      <c r="G30" s="111"/>
      <c r="H30" s="110"/>
      <c r="I30" s="110"/>
      <c r="J30" s="110"/>
      <c r="K30" s="599"/>
    </row>
    <row r="31" spans="1:11" x14ac:dyDescent="0.25">
      <c r="A31" s="539"/>
      <c r="B31" s="535" t="s">
        <v>1</v>
      </c>
      <c r="C31" s="533" t="s">
        <v>200</v>
      </c>
      <c r="D31" s="533" t="s">
        <v>200</v>
      </c>
      <c r="E31" s="533" t="s">
        <v>200</v>
      </c>
      <c r="F31" s="109">
        <v>2</v>
      </c>
      <c r="G31" s="533" t="s">
        <v>200</v>
      </c>
      <c r="H31" s="528"/>
      <c r="I31" s="528"/>
      <c r="J31" s="89">
        <f>SUM(C31:I31)</f>
        <v>2</v>
      </c>
      <c r="K31" s="599"/>
    </row>
    <row r="32" spans="1:11" ht="30.75" thickBot="1" x14ac:dyDescent="0.3">
      <c r="A32" s="539"/>
      <c r="B32" s="536"/>
      <c r="C32" s="534"/>
      <c r="D32" s="534"/>
      <c r="E32" s="534"/>
      <c r="F32" s="108" t="s">
        <v>146</v>
      </c>
      <c r="G32" s="534"/>
      <c r="H32" s="529"/>
      <c r="I32" s="529"/>
      <c r="J32" s="95"/>
      <c r="K32" s="599"/>
    </row>
    <row r="33" spans="1:11" ht="30.75" thickBot="1" x14ac:dyDescent="0.3">
      <c r="A33" s="539"/>
      <c r="B33" s="91" t="s">
        <v>198</v>
      </c>
      <c r="C33" s="90"/>
      <c r="D33" s="90"/>
      <c r="E33" s="90"/>
      <c r="F33" s="90"/>
      <c r="G33" s="90"/>
      <c r="H33" s="90"/>
      <c r="I33" s="90"/>
      <c r="J33" s="89">
        <f>SUM(C32:I32)</f>
        <v>0</v>
      </c>
      <c r="K33" s="599"/>
    </row>
    <row r="34" spans="1:11" ht="15.75" thickBot="1" x14ac:dyDescent="0.3">
      <c r="A34" s="84"/>
      <c r="B34" s="88" t="s">
        <v>197</v>
      </c>
      <c r="C34" s="87">
        <v>2</v>
      </c>
      <c r="D34" s="87">
        <v>4</v>
      </c>
      <c r="E34" s="87">
        <v>2</v>
      </c>
      <c r="F34" s="87">
        <v>7</v>
      </c>
      <c r="G34" s="87">
        <v>4</v>
      </c>
      <c r="H34" s="86"/>
      <c r="I34" s="86"/>
      <c r="J34" s="85">
        <f>SUM(J23:J33)</f>
        <v>25</v>
      </c>
      <c r="K34" s="75"/>
    </row>
    <row r="35" spans="1:1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15.75" thickBo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ht="15.75" thickBot="1" x14ac:dyDescent="0.3">
      <c r="A37" s="539" t="s">
        <v>216</v>
      </c>
      <c r="B37" s="105" t="s">
        <v>215</v>
      </c>
      <c r="C37" s="104" t="s">
        <v>2</v>
      </c>
      <c r="D37" s="104" t="s">
        <v>3</v>
      </c>
      <c r="E37" s="104" t="s">
        <v>4</v>
      </c>
      <c r="F37" s="104" t="s">
        <v>5</v>
      </c>
      <c r="G37" s="104" t="s">
        <v>6</v>
      </c>
      <c r="H37" s="104" t="s">
        <v>7</v>
      </c>
      <c r="I37" s="104" t="s">
        <v>8</v>
      </c>
      <c r="J37" s="103" t="s">
        <v>197</v>
      </c>
      <c r="K37" s="15"/>
    </row>
    <row r="38" spans="1:11" x14ac:dyDescent="0.25">
      <c r="A38" s="539"/>
      <c r="B38" s="540" t="s">
        <v>207</v>
      </c>
      <c r="C38" s="102"/>
      <c r="D38" s="15">
        <v>4</v>
      </c>
      <c r="E38" s="15"/>
      <c r="F38" s="15"/>
      <c r="G38" s="15">
        <v>4</v>
      </c>
      <c r="H38" s="101"/>
      <c r="I38" s="101"/>
      <c r="J38" s="89">
        <f>SUM(C38:I38)</f>
        <v>8</v>
      </c>
      <c r="K38" s="599" t="s">
        <v>214</v>
      </c>
    </row>
    <row r="39" spans="1:11" x14ac:dyDescent="0.25">
      <c r="A39" s="539"/>
      <c r="B39" s="541"/>
      <c r="C39" s="545" t="s">
        <v>205</v>
      </c>
      <c r="D39" s="546"/>
      <c r="E39" s="546"/>
      <c r="F39" s="546"/>
      <c r="G39" s="546"/>
      <c r="H39" s="100"/>
      <c r="I39" s="100"/>
      <c r="J39" s="95"/>
      <c r="K39" s="599"/>
    </row>
    <row r="40" spans="1:11" x14ac:dyDescent="0.25">
      <c r="A40" s="539"/>
      <c r="B40" s="535" t="s">
        <v>9</v>
      </c>
      <c r="C40" s="99">
        <v>2</v>
      </c>
      <c r="D40" s="99">
        <v>4</v>
      </c>
      <c r="E40" s="533" t="s">
        <v>200</v>
      </c>
      <c r="F40" s="87">
        <v>7</v>
      </c>
      <c r="G40" s="99">
        <v>2</v>
      </c>
      <c r="H40" s="86"/>
      <c r="I40" s="548"/>
      <c r="J40" s="89">
        <f>SUM(C40:I40)</f>
        <v>15</v>
      </c>
      <c r="K40" s="599"/>
    </row>
    <row r="41" spans="1:11" ht="60" x14ac:dyDescent="0.25">
      <c r="A41" s="539"/>
      <c r="B41" s="547"/>
      <c r="C41" s="550" t="s">
        <v>203</v>
      </c>
      <c r="D41" s="551"/>
      <c r="E41" s="534"/>
      <c r="F41" s="98" t="s">
        <v>204</v>
      </c>
      <c r="G41" s="272" t="s">
        <v>203</v>
      </c>
      <c r="H41" s="96"/>
      <c r="I41" s="549"/>
      <c r="J41" s="95"/>
      <c r="K41" s="599"/>
    </row>
    <row r="42" spans="1:11" ht="30" x14ac:dyDescent="0.25">
      <c r="A42" s="539"/>
      <c r="B42" s="112" t="s">
        <v>217</v>
      </c>
      <c r="C42" s="533" t="s">
        <v>200</v>
      </c>
      <c r="D42" s="533" t="s">
        <v>200</v>
      </c>
      <c r="E42" s="533" t="s">
        <v>200</v>
      </c>
      <c r="F42" s="274">
        <v>2</v>
      </c>
      <c r="G42" s="533" t="s">
        <v>200</v>
      </c>
      <c r="H42" s="247" t="s">
        <v>201</v>
      </c>
      <c r="I42" s="248"/>
      <c r="J42" s="89">
        <f>SUM(C42:I42)</f>
        <v>2</v>
      </c>
      <c r="K42" s="599"/>
    </row>
    <row r="43" spans="1:11" ht="30" x14ac:dyDescent="0.25">
      <c r="A43" s="539"/>
      <c r="B43" s="112"/>
      <c r="C43" s="534"/>
      <c r="D43" s="534"/>
      <c r="E43" s="534"/>
      <c r="F43" s="108" t="s">
        <v>146</v>
      </c>
      <c r="G43" s="534"/>
      <c r="H43" s="249"/>
      <c r="I43" s="250"/>
      <c r="J43" s="95"/>
      <c r="K43" s="599"/>
    </row>
    <row r="44" spans="1:11" x14ac:dyDescent="0.25">
      <c r="A44" s="539"/>
      <c r="B44" s="535" t="s">
        <v>1</v>
      </c>
      <c r="C44" s="533" t="s">
        <v>200</v>
      </c>
      <c r="D44" s="533" t="s">
        <v>200</v>
      </c>
      <c r="E44" s="533" t="s">
        <v>200</v>
      </c>
      <c r="F44" s="109">
        <v>2</v>
      </c>
      <c r="G44" s="533" t="s">
        <v>200</v>
      </c>
      <c r="H44" s="528"/>
      <c r="I44" s="528"/>
      <c r="J44" s="89">
        <f>SUM(C44:I44)</f>
        <v>2</v>
      </c>
      <c r="K44" s="599"/>
    </row>
    <row r="45" spans="1:11" ht="30.75" thickBot="1" x14ac:dyDescent="0.3">
      <c r="A45" s="539"/>
      <c r="B45" s="536"/>
      <c r="C45" s="534"/>
      <c r="D45" s="534"/>
      <c r="E45" s="534"/>
      <c r="F45" s="108" t="s">
        <v>146</v>
      </c>
      <c r="G45" s="534"/>
      <c r="H45" s="529"/>
      <c r="I45" s="529"/>
      <c r="J45" s="95"/>
      <c r="K45" s="599"/>
    </row>
    <row r="46" spans="1:11" ht="30.75" thickBot="1" x14ac:dyDescent="0.3">
      <c r="A46" s="539"/>
      <c r="B46" s="91" t="s">
        <v>198</v>
      </c>
      <c r="C46" s="90"/>
      <c r="D46" s="90"/>
      <c r="E46" s="90"/>
      <c r="F46" s="90"/>
      <c r="G46" s="90"/>
      <c r="H46" s="90"/>
      <c r="I46" s="90"/>
      <c r="J46" s="89">
        <f>SUM(C45:I45)</f>
        <v>0</v>
      </c>
      <c r="K46" s="599"/>
    </row>
    <row r="47" spans="1:11" ht="15.75" thickBot="1" x14ac:dyDescent="0.3">
      <c r="A47" s="84"/>
      <c r="B47" s="88" t="s">
        <v>197</v>
      </c>
      <c r="C47" s="87">
        <v>2</v>
      </c>
      <c r="D47" s="87">
        <v>4</v>
      </c>
      <c r="E47" s="87">
        <v>2</v>
      </c>
      <c r="F47" s="87">
        <v>7</v>
      </c>
      <c r="G47" s="87">
        <v>4</v>
      </c>
      <c r="H47" s="86"/>
      <c r="I47" s="86"/>
      <c r="J47" s="85">
        <f>SUM(J38:J46)</f>
        <v>27</v>
      </c>
      <c r="K47" s="75"/>
    </row>
    <row r="48" spans="1:1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15.75" thickBot="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75" thickBot="1" x14ac:dyDescent="0.3">
      <c r="A50" s="539" t="s">
        <v>213</v>
      </c>
      <c r="B50" s="105" t="s">
        <v>208</v>
      </c>
      <c r="C50" s="104" t="s">
        <v>2</v>
      </c>
      <c r="D50" s="104" t="s">
        <v>3</v>
      </c>
      <c r="E50" s="104" t="s">
        <v>4</v>
      </c>
      <c r="F50" s="104" t="s">
        <v>5</v>
      </c>
      <c r="G50" s="104" t="s">
        <v>6</v>
      </c>
      <c r="H50" s="104" t="s">
        <v>7</v>
      </c>
      <c r="I50" s="104" t="s">
        <v>8</v>
      </c>
      <c r="J50" s="103" t="s">
        <v>197</v>
      </c>
      <c r="K50" s="15"/>
    </row>
    <row r="51" spans="1:11" x14ac:dyDescent="0.25">
      <c r="A51" s="539"/>
      <c r="B51" s="540" t="s">
        <v>207</v>
      </c>
      <c r="C51" s="102"/>
      <c r="D51" s="15">
        <v>4</v>
      </c>
      <c r="E51" s="15"/>
      <c r="F51" s="15"/>
      <c r="G51" s="15">
        <v>4</v>
      </c>
      <c r="H51" s="101"/>
      <c r="I51" s="101"/>
      <c r="J51" s="89">
        <f>SUM(C51:I51)</f>
        <v>8</v>
      </c>
      <c r="K51" s="599" t="s">
        <v>212</v>
      </c>
    </row>
    <row r="52" spans="1:11" x14ac:dyDescent="0.25">
      <c r="A52" s="539"/>
      <c r="B52" s="541"/>
      <c r="C52" s="545" t="s">
        <v>205</v>
      </c>
      <c r="D52" s="546"/>
      <c r="E52" s="546"/>
      <c r="F52" s="546"/>
      <c r="G52" s="546"/>
      <c r="H52" s="100"/>
      <c r="I52" s="100"/>
      <c r="J52" s="95"/>
      <c r="K52" s="599"/>
    </row>
    <row r="53" spans="1:11" x14ac:dyDescent="0.25">
      <c r="A53" s="539"/>
      <c r="B53" s="535" t="s">
        <v>9</v>
      </c>
      <c r="C53" s="99">
        <v>2</v>
      </c>
      <c r="D53" s="99">
        <v>4</v>
      </c>
      <c r="E53" s="533" t="s">
        <v>200</v>
      </c>
      <c r="F53" s="87">
        <v>7</v>
      </c>
      <c r="G53" s="99">
        <v>2</v>
      </c>
      <c r="H53" s="86"/>
      <c r="I53" s="548"/>
      <c r="J53" s="89">
        <f>SUM(C53:I53)</f>
        <v>15</v>
      </c>
      <c r="K53" s="599"/>
    </row>
    <row r="54" spans="1:11" ht="60" x14ac:dyDescent="0.25">
      <c r="A54" s="539"/>
      <c r="B54" s="547"/>
      <c r="C54" s="550" t="s">
        <v>203</v>
      </c>
      <c r="D54" s="551"/>
      <c r="E54" s="534"/>
      <c r="F54" s="98" t="s">
        <v>204</v>
      </c>
      <c r="G54" s="272" t="s">
        <v>203</v>
      </c>
      <c r="H54" s="96"/>
      <c r="I54" s="549"/>
      <c r="J54" s="95"/>
      <c r="K54" s="599"/>
    </row>
    <row r="55" spans="1:11" ht="30" customHeight="1" x14ac:dyDescent="0.25">
      <c r="A55" s="539"/>
      <c r="B55" s="112" t="s">
        <v>217</v>
      </c>
      <c r="C55" s="533" t="s">
        <v>200</v>
      </c>
      <c r="D55" s="533" t="s">
        <v>200</v>
      </c>
      <c r="E55" s="533" t="s">
        <v>200</v>
      </c>
      <c r="F55" s="274">
        <v>2</v>
      </c>
      <c r="G55" s="533" t="s">
        <v>200</v>
      </c>
      <c r="H55" s="562" t="s">
        <v>201</v>
      </c>
      <c r="I55" s="563"/>
      <c r="J55" s="89">
        <f>SUM(C55:I55)</f>
        <v>2</v>
      </c>
      <c r="K55" s="599"/>
    </row>
    <row r="56" spans="1:11" ht="30" x14ac:dyDescent="0.25">
      <c r="A56" s="539"/>
      <c r="B56" s="112"/>
      <c r="C56" s="534"/>
      <c r="D56" s="534"/>
      <c r="E56" s="534"/>
      <c r="F56" s="108" t="s">
        <v>146</v>
      </c>
      <c r="G56" s="534"/>
      <c r="H56" s="558"/>
      <c r="I56" s="559"/>
      <c r="J56" s="95"/>
      <c r="K56" s="599"/>
    </row>
    <row r="57" spans="1:11" x14ac:dyDescent="0.25">
      <c r="A57" s="539"/>
      <c r="B57" s="535" t="s">
        <v>1</v>
      </c>
      <c r="C57" s="533" t="s">
        <v>200</v>
      </c>
      <c r="D57" s="533" t="s">
        <v>200</v>
      </c>
      <c r="E57" s="533" t="s">
        <v>200</v>
      </c>
      <c r="F57" s="94">
        <v>2</v>
      </c>
      <c r="G57" s="533" t="s">
        <v>200</v>
      </c>
      <c r="H57" s="528"/>
      <c r="I57" s="528"/>
      <c r="J57" s="89">
        <f>SUM(C57:I57)</f>
        <v>2</v>
      </c>
      <c r="K57" s="599"/>
    </row>
    <row r="58" spans="1:11" ht="30" x14ac:dyDescent="0.25">
      <c r="A58" s="539"/>
      <c r="B58" s="536"/>
      <c r="C58" s="561"/>
      <c r="D58" s="561"/>
      <c r="E58" s="561"/>
      <c r="F58" s="196" t="s">
        <v>146</v>
      </c>
      <c r="G58" s="561"/>
      <c r="H58" s="529"/>
      <c r="I58" s="529"/>
      <c r="J58" s="95"/>
      <c r="K58" s="599"/>
    </row>
    <row r="59" spans="1:11" x14ac:dyDescent="0.25">
      <c r="A59" s="539"/>
      <c r="B59" s="535" t="s">
        <v>436</v>
      </c>
      <c r="C59" s="537" t="s">
        <v>435</v>
      </c>
      <c r="D59" s="537"/>
      <c r="E59" s="537"/>
      <c r="F59" s="537"/>
      <c r="G59" s="537"/>
      <c r="H59" s="273"/>
      <c r="I59" s="273"/>
      <c r="J59" s="348"/>
      <c r="K59" s="599"/>
    </row>
    <row r="60" spans="1:11" x14ac:dyDescent="0.25">
      <c r="A60" s="539"/>
      <c r="B60" s="536"/>
      <c r="C60" s="538"/>
      <c r="D60" s="538"/>
      <c r="E60" s="538"/>
      <c r="F60" s="538"/>
      <c r="G60" s="538"/>
      <c r="H60" s="273"/>
      <c r="I60" s="273"/>
      <c r="J60" s="348"/>
      <c r="K60" s="599"/>
    </row>
    <row r="61" spans="1:11" ht="30.75" thickBot="1" x14ac:dyDescent="0.3">
      <c r="A61" s="539"/>
      <c r="B61" s="349" t="s">
        <v>198</v>
      </c>
      <c r="C61" s="271"/>
      <c r="D61" s="271"/>
      <c r="E61" s="271"/>
      <c r="F61" s="271"/>
      <c r="G61" s="271"/>
      <c r="H61" s="90"/>
      <c r="I61" s="90"/>
      <c r="J61" s="89">
        <f>SUM(C58:I58)</f>
        <v>0</v>
      </c>
      <c r="K61" s="599"/>
    </row>
    <row r="62" spans="1:11" ht="15.75" thickBot="1" x14ac:dyDescent="0.3">
      <c r="A62" s="84"/>
      <c r="B62" s="88" t="s">
        <v>197</v>
      </c>
      <c r="C62" s="87">
        <v>2</v>
      </c>
      <c r="D62" s="87">
        <v>4</v>
      </c>
      <c r="E62" s="87">
        <v>2</v>
      </c>
      <c r="F62" s="87">
        <v>7</v>
      </c>
      <c r="G62" s="87">
        <v>4</v>
      </c>
      <c r="H62" s="86"/>
      <c r="I62" s="86"/>
      <c r="J62" s="85">
        <f>SUM(J51:J61)</f>
        <v>27</v>
      </c>
      <c r="K62" s="75"/>
    </row>
    <row r="63" spans="1:11" x14ac:dyDescent="0.25">
      <c r="A63" s="80"/>
      <c r="B63" s="79"/>
      <c r="C63" s="78"/>
      <c r="D63" s="78"/>
      <c r="E63" s="78"/>
      <c r="F63" s="78"/>
      <c r="G63" s="78"/>
      <c r="H63" s="77"/>
      <c r="I63" s="77"/>
      <c r="J63" s="76"/>
      <c r="K63" s="75"/>
    </row>
    <row r="64" spans="1:11" ht="15.75" thickBot="1" x14ac:dyDescent="0.3">
      <c r="A64" s="80"/>
      <c r="B64" s="79"/>
      <c r="C64" s="78"/>
      <c r="D64" s="78"/>
      <c r="E64" s="78"/>
      <c r="F64" s="78"/>
      <c r="G64" s="78"/>
      <c r="H64" s="77"/>
      <c r="I64" s="77"/>
      <c r="J64" s="76"/>
      <c r="K64" s="75"/>
    </row>
    <row r="65" spans="1:11" ht="15.75" thickBot="1" x14ac:dyDescent="0.3">
      <c r="A65" s="539" t="s">
        <v>211</v>
      </c>
      <c r="B65" s="105" t="s">
        <v>208</v>
      </c>
      <c r="C65" s="104" t="s">
        <v>2</v>
      </c>
      <c r="D65" s="104" t="s">
        <v>3</v>
      </c>
      <c r="E65" s="104" t="s">
        <v>4</v>
      </c>
      <c r="F65" s="104" t="s">
        <v>5</v>
      </c>
      <c r="G65" s="104" t="s">
        <v>6</v>
      </c>
      <c r="H65" s="104" t="s">
        <v>7</v>
      </c>
      <c r="I65" s="104" t="s">
        <v>8</v>
      </c>
      <c r="J65" s="103" t="s">
        <v>197</v>
      </c>
      <c r="K65" s="15"/>
    </row>
    <row r="66" spans="1:11" x14ac:dyDescent="0.25">
      <c r="A66" s="539"/>
      <c r="B66" s="540" t="s">
        <v>207</v>
      </c>
      <c r="C66" s="102"/>
      <c r="D66" s="15">
        <v>4</v>
      </c>
      <c r="E66" s="15"/>
      <c r="F66" s="15"/>
      <c r="G66" s="15"/>
      <c r="H66" s="101"/>
      <c r="I66" s="101"/>
      <c r="J66" s="89">
        <f>SUM(C66:I66)</f>
        <v>4</v>
      </c>
      <c r="K66" s="599" t="s">
        <v>210</v>
      </c>
    </row>
    <row r="67" spans="1:11" x14ac:dyDescent="0.25">
      <c r="A67" s="539"/>
      <c r="B67" s="541"/>
      <c r="C67" s="545" t="s">
        <v>205</v>
      </c>
      <c r="D67" s="546"/>
      <c r="E67" s="546"/>
      <c r="F67" s="546"/>
      <c r="G67" s="546"/>
      <c r="H67" s="100"/>
      <c r="I67" s="100"/>
      <c r="J67" s="95"/>
      <c r="K67" s="599"/>
    </row>
    <row r="68" spans="1:11" x14ac:dyDescent="0.25">
      <c r="A68" s="539"/>
      <c r="B68" s="535" t="s">
        <v>9</v>
      </c>
      <c r="C68" s="99">
        <v>2</v>
      </c>
      <c r="D68" s="99">
        <v>4</v>
      </c>
      <c r="E68" s="533" t="s">
        <v>200</v>
      </c>
      <c r="F68" s="87">
        <v>7</v>
      </c>
      <c r="G68" s="99">
        <v>2</v>
      </c>
      <c r="H68" s="86"/>
      <c r="I68" s="548"/>
      <c r="J68" s="89">
        <f>SUM(C68:I68)</f>
        <v>15</v>
      </c>
      <c r="K68" s="599"/>
    </row>
    <row r="69" spans="1:11" ht="60" x14ac:dyDescent="0.25">
      <c r="A69" s="539"/>
      <c r="B69" s="547"/>
      <c r="C69" s="550" t="s">
        <v>203</v>
      </c>
      <c r="D69" s="551"/>
      <c r="E69" s="534"/>
      <c r="F69" s="98" t="s">
        <v>204</v>
      </c>
      <c r="G69" s="97" t="s">
        <v>203</v>
      </c>
      <c r="H69" s="96"/>
      <c r="I69" s="549"/>
      <c r="J69" s="95"/>
      <c r="K69" s="599"/>
    </row>
    <row r="70" spans="1:11" ht="30" x14ac:dyDescent="0.25">
      <c r="A70" s="539"/>
      <c r="B70" s="112" t="s">
        <v>217</v>
      </c>
      <c r="C70" s="533" t="s">
        <v>200</v>
      </c>
      <c r="D70" s="533" t="s">
        <v>200</v>
      </c>
      <c r="E70" s="533" t="s">
        <v>200</v>
      </c>
      <c r="F70" s="274">
        <v>2</v>
      </c>
      <c r="G70" s="533" t="s">
        <v>200</v>
      </c>
      <c r="H70" s="247" t="s">
        <v>201</v>
      </c>
      <c r="I70" s="248"/>
      <c r="J70" s="89">
        <f>SUM(C70:I70)</f>
        <v>2</v>
      </c>
      <c r="K70" s="599"/>
    </row>
    <row r="71" spans="1:11" ht="30" x14ac:dyDescent="0.25">
      <c r="A71" s="539"/>
      <c r="B71" s="112"/>
      <c r="C71" s="534"/>
      <c r="D71" s="534"/>
      <c r="E71" s="534"/>
      <c r="F71" s="108" t="s">
        <v>146</v>
      </c>
      <c r="G71" s="534"/>
      <c r="H71" s="249"/>
      <c r="I71" s="250"/>
      <c r="J71" s="95"/>
      <c r="K71" s="599"/>
    </row>
    <row r="72" spans="1:11" x14ac:dyDescent="0.25">
      <c r="A72" s="539"/>
      <c r="B72" s="535" t="s">
        <v>1</v>
      </c>
      <c r="C72" s="533" t="s">
        <v>200</v>
      </c>
      <c r="D72" s="533" t="s">
        <v>200</v>
      </c>
      <c r="E72" s="533" t="s">
        <v>200</v>
      </c>
      <c r="F72" s="94">
        <v>2</v>
      </c>
      <c r="G72" s="533" t="s">
        <v>200</v>
      </c>
      <c r="H72" s="528"/>
      <c r="I72" s="528"/>
      <c r="J72" s="89">
        <f>SUM(C72:I72)</f>
        <v>2</v>
      </c>
      <c r="K72" s="599"/>
    </row>
    <row r="73" spans="1:11" ht="45.75" thickBot="1" x14ac:dyDescent="0.3">
      <c r="A73" s="539"/>
      <c r="B73" s="536"/>
      <c r="C73" s="534"/>
      <c r="D73" s="534"/>
      <c r="E73" s="534"/>
      <c r="F73" s="93" t="s">
        <v>199</v>
      </c>
      <c r="G73" s="534"/>
      <c r="H73" s="529"/>
      <c r="I73" s="529"/>
      <c r="J73" s="95"/>
      <c r="K73" s="599"/>
    </row>
    <row r="74" spans="1:11" ht="30.75" thickBot="1" x14ac:dyDescent="0.3">
      <c r="A74" s="539"/>
      <c r="B74" s="91" t="s">
        <v>198</v>
      </c>
      <c r="C74" s="90"/>
      <c r="D74" s="90"/>
      <c r="E74" s="90"/>
      <c r="F74" s="90"/>
      <c r="G74" s="90"/>
      <c r="H74" s="90"/>
      <c r="I74" s="90"/>
      <c r="J74" s="89">
        <f>SUM(C73:I73)</f>
        <v>0</v>
      </c>
      <c r="K74" s="599"/>
    </row>
    <row r="75" spans="1:11" ht="15.75" thickBot="1" x14ac:dyDescent="0.3">
      <c r="A75" s="84"/>
      <c r="B75" s="88" t="s">
        <v>197</v>
      </c>
      <c r="C75" s="87">
        <v>2</v>
      </c>
      <c r="D75" s="87">
        <v>4</v>
      </c>
      <c r="E75" s="87">
        <v>2</v>
      </c>
      <c r="F75" s="87">
        <v>7</v>
      </c>
      <c r="G75" s="87">
        <v>4</v>
      </c>
      <c r="H75" s="86"/>
      <c r="I75" s="86"/>
      <c r="J75" s="85">
        <f>SUM(J66:J74)</f>
        <v>23</v>
      </c>
      <c r="K75" s="75"/>
    </row>
    <row r="76" spans="1:11" x14ac:dyDescent="0.25">
      <c r="A76" s="80"/>
      <c r="B76" s="79"/>
      <c r="C76" s="78"/>
      <c r="D76" s="80"/>
      <c r="E76" s="79"/>
      <c r="F76" s="78"/>
      <c r="G76" s="78"/>
      <c r="H76" s="77"/>
      <c r="I76" s="77"/>
      <c r="J76" s="76"/>
      <c r="K76" s="75"/>
    </row>
    <row r="77" spans="1:11" ht="15.75" thickBot="1" x14ac:dyDescent="0.3">
      <c r="A77" s="80"/>
      <c r="B77" s="79"/>
      <c r="C77" s="78"/>
      <c r="D77" s="80"/>
      <c r="E77" s="79"/>
      <c r="F77" s="78"/>
      <c r="G77" s="78"/>
      <c r="H77" s="77"/>
      <c r="I77" s="77"/>
      <c r="J77" s="76"/>
      <c r="K77" s="75"/>
    </row>
    <row r="78" spans="1:11" ht="15.75" thickBot="1" x14ac:dyDescent="0.3">
      <c r="A78" s="539" t="s">
        <v>209</v>
      </c>
      <c r="B78" s="105" t="s">
        <v>208</v>
      </c>
      <c r="C78" s="104" t="s">
        <v>2</v>
      </c>
      <c r="D78" s="104" t="s">
        <v>3</v>
      </c>
      <c r="E78" s="104" t="s">
        <v>4</v>
      </c>
      <c r="F78" s="104" t="s">
        <v>5</v>
      </c>
      <c r="G78" s="104" t="s">
        <v>6</v>
      </c>
      <c r="H78" s="104" t="s">
        <v>7</v>
      </c>
      <c r="I78" s="104" t="s">
        <v>8</v>
      </c>
      <c r="J78" s="103" t="s">
        <v>197</v>
      </c>
      <c r="K78" s="15"/>
    </row>
    <row r="79" spans="1:11" x14ac:dyDescent="0.25">
      <c r="A79" s="539"/>
      <c r="B79" s="540" t="s">
        <v>207</v>
      </c>
      <c r="C79" s="102"/>
      <c r="D79" s="15">
        <v>2</v>
      </c>
      <c r="E79" s="15"/>
      <c r="F79" s="15"/>
      <c r="G79" s="15"/>
      <c r="H79" s="101"/>
      <c r="I79" s="101"/>
      <c r="J79" s="89">
        <f>SUM(C79:I79)</f>
        <v>2</v>
      </c>
      <c r="K79" s="599" t="s">
        <v>206</v>
      </c>
    </row>
    <row r="80" spans="1:11" x14ac:dyDescent="0.25">
      <c r="A80" s="539"/>
      <c r="B80" s="541"/>
      <c r="C80" s="545" t="s">
        <v>205</v>
      </c>
      <c r="D80" s="546"/>
      <c r="E80" s="546"/>
      <c r="F80" s="546"/>
      <c r="G80" s="546"/>
      <c r="H80" s="100"/>
      <c r="I80" s="100"/>
      <c r="J80" s="95"/>
      <c r="K80" s="599"/>
    </row>
    <row r="81" spans="1:11" x14ac:dyDescent="0.25">
      <c r="A81" s="539"/>
      <c r="B81" s="535" t="s">
        <v>9</v>
      </c>
      <c r="C81" s="99">
        <v>2</v>
      </c>
      <c r="D81" s="99">
        <v>4</v>
      </c>
      <c r="E81" s="533" t="s">
        <v>200</v>
      </c>
      <c r="F81" s="87">
        <v>7</v>
      </c>
      <c r="G81" s="99">
        <v>2</v>
      </c>
      <c r="H81" s="86"/>
      <c r="I81" s="548"/>
      <c r="J81" s="89">
        <f>SUM(C81:I81)</f>
        <v>15</v>
      </c>
      <c r="K81" s="599"/>
    </row>
    <row r="82" spans="1:11" ht="60" x14ac:dyDescent="0.25">
      <c r="A82" s="539"/>
      <c r="B82" s="547"/>
      <c r="C82" s="550" t="s">
        <v>203</v>
      </c>
      <c r="D82" s="551"/>
      <c r="E82" s="534"/>
      <c r="F82" s="98" t="s">
        <v>204</v>
      </c>
      <c r="G82" s="97" t="s">
        <v>203</v>
      </c>
      <c r="H82" s="96"/>
      <c r="I82" s="549"/>
      <c r="J82" s="95"/>
      <c r="K82" s="599"/>
    </row>
    <row r="83" spans="1:11" x14ac:dyDescent="0.25">
      <c r="A83" s="539"/>
      <c r="B83" s="112" t="s">
        <v>217</v>
      </c>
      <c r="C83" s="533" t="s">
        <v>200</v>
      </c>
      <c r="D83" s="533" t="s">
        <v>200</v>
      </c>
      <c r="E83" s="270">
        <v>3</v>
      </c>
      <c r="F83" s="274">
        <v>2</v>
      </c>
      <c r="G83" s="248">
        <v>3</v>
      </c>
      <c r="H83">
        <v>2</v>
      </c>
      <c r="J83" s="89">
        <f>SUM(C83:H83)</f>
        <v>10</v>
      </c>
      <c r="K83" s="599"/>
    </row>
    <row r="84" spans="1:11" ht="30" x14ac:dyDescent="0.25">
      <c r="A84" s="539"/>
      <c r="B84" s="112"/>
      <c r="C84" s="534"/>
      <c r="D84" s="534"/>
      <c r="E84" s="272" t="s">
        <v>203</v>
      </c>
      <c r="F84" s="108" t="s">
        <v>146</v>
      </c>
      <c r="G84" s="272" t="s">
        <v>203</v>
      </c>
      <c r="H84" s="247" t="s">
        <v>201</v>
      </c>
      <c r="I84" s="250"/>
      <c r="J84" s="95"/>
      <c r="K84" s="599"/>
    </row>
    <row r="85" spans="1:11" x14ac:dyDescent="0.25">
      <c r="A85" s="539"/>
      <c r="B85" s="535" t="s">
        <v>1</v>
      </c>
      <c r="C85" s="533" t="s">
        <v>200</v>
      </c>
      <c r="D85" s="533" t="s">
        <v>200</v>
      </c>
      <c r="E85" s="533" t="s">
        <v>200</v>
      </c>
      <c r="F85" s="94">
        <v>2</v>
      </c>
      <c r="G85" s="533" t="s">
        <v>200</v>
      </c>
      <c r="H85" s="528"/>
      <c r="I85" s="528"/>
      <c r="J85" s="89">
        <f>SUM(C85:I85)</f>
        <v>2</v>
      </c>
      <c r="K85" s="599"/>
    </row>
    <row r="86" spans="1:11" ht="45.75" thickBot="1" x14ac:dyDescent="0.3">
      <c r="A86" s="539"/>
      <c r="B86" s="536"/>
      <c r="C86" s="534"/>
      <c r="D86" s="534"/>
      <c r="E86" s="534"/>
      <c r="F86" s="93" t="s">
        <v>199</v>
      </c>
      <c r="G86" s="534"/>
      <c r="H86" s="529"/>
      <c r="I86" s="529"/>
      <c r="J86" s="95"/>
      <c r="K86" s="599"/>
    </row>
    <row r="87" spans="1:11" ht="30.75" thickBot="1" x14ac:dyDescent="0.3">
      <c r="A87" s="539"/>
      <c r="B87" s="91" t="s">
        <v>198</v>
      </c>
      <c r="C87" s="90"/>
      <c r="D87" s="90"/>
      <c r="E87" s="90"/>
      <c r="F87" s="90"/>
      <c r="G87" s="90"/>
      <c r="H87" s="90"/>
      <c r="I87" s="90"/>
      <c r="J87" s="89">
        <f>SUM(C87:I87)</f>
        <v>0</v>
      </c>
      <c r="K87" s="599"/>
    </row>
    <row r="88" spans="1:11" ht="15.75" thickBot="1" x14ac:dyDescent="0.3">
      <c r="A88" s="84"/>
      <c r="B88" s="88" t="s">
        <v>197</v>
      </c>
      <c r="C88" s="87">
        <f>SUM(F84,C85,C83,C81)</f>
        <v>2</v>
      </c>
      <c r="D88" s="87">
        <f t="shared" ref="D88:G88" si="1">SUM(G84,D85,D83,D81)</f>
        <v>4</v>
      </c>
      <c r="E88" s="87">
        <f t="shared" si="1"/>
        <v>3</v>
      </c>
      <c r="F88" s="87">
        <f t="shared" si="1"/>
        <v>11</v>
      </c>
      <c r="G88" s="87">
        <f t="shared" si="1"/>
        <v>5</v>
      </c>
      <c r="H88" s="87">
        <f t="shared" ref="H88" si="2">SUM(K84,H85,H83,H81)</f>
        <v>2</v>
      </c>
      <c r="I88" s="87" t="e">
        <f>SUM(#REF!,I85,I83,I81)</f>
        <v>#REF!</v>
      </c>
      <c r="J88" s="85">
        <f>SUM(J79:J87)</f>
        <v>29</v>
      </c>
      <c r="K88" s="75"/>
    </row>
    <row r="89" spans="1:11" x14ac:dyDescent="0.25">
      <c r="A89" s="84"/>
      <c r="B89" s="82"/>
      <c r="C89" s="82"/>
      <c r="D89" s="82"/>
      <c r="E89" s="82"/>
      <c r="F89" s="82"/>
      <c r="G89" s="82"/>
      <c r="H89" s="82"/>
      <c r="I89" s="82"/>
      <c r="J89" s="82"/>
      <c r="K89" s="75"/>
    </row>
    <row r="90" spans="1:11" x14ac:dyDescent="0.25">
      <c r="A90" s="15"/>
      <c r="B90" s="15"/>
      <c r="C90" s="15"/>
      <c r="D90" s="15"/>
      <c r="E90" s="15"/>
      <c r="F90" s="15"/>
      <c r="G90" s="15"/>
      <c r="H90" s="22"/>
      <c r="I90" s="22"/>
      <c r="J90" s="22"/>
      <c r="K90" s="22"/>
    </row>
    <row r="91" spans="1:11" x14ac:dyDescent="0.25">
      <c r="A91" s="15"/>
      <c r="B91" s="15"/>
      <c r="C91" s="15"/>
      <c r="D91" s="15"/>
      <c r="E91" s="15"/>
      <c r="F91" s="15"/>
      <c r="G91" s="15"/>
      <c r="H91" s="22"/>
      <c r="I91" s="22"/>
      <c r="J91" s="22"/>
      <c r="K91" s="22"/>
    </row>
    <row r="92" spans="1:11" x14ac:dyDescent="0.25">
      <c r="A92" s="15"/>
      <c r="B92" s="15"/>
      <c r="C92" s="15"/>
      <c r="D92" s="15"/>
      <c r="E92" s="15"/>
      <c r="F92" s="15"/>
      <c r="G92" s="15"/>
      <c r="I92" s="22"/>
      <c r="J92" s="22"/>
      <c r="K92" s="22"/>
    </row>
    <row r="93" spans="1:11" ht="31.5" x14ac:dyDescent="0.5">
      <c r="A93" s="530" t="s">
        <v>312</v>
      </c>
      <c r="B93" s="530"/>
      <c r="C93" s="530"/>
      <c r="D93" s="530"/>
      <c r="E93" s="530"/>
      <c r="F93" s="530"/>
      <c r="G93" s="530"/>
      <c r="H93" s="530"/>
      <c r="I93" s="530"/>
      <c r="J93" s="530"/>
      <c r="K93" s="530"/>
    </row>
    <row r="94" spans="1:11" ht="49.5" customHeight="1" x14ac:dyDescent="0.5">
      <c r="A94" s="137" t="s">
        <v>252</v>
      </c>
      <c r="B94" s="13" t="s">
        <v>302</v>
      </c>
      <c r="C94" s="13" t="s">
        <v>11</v>
      </c>
      <c r="D94" s="13" t="s">
        <v>12</v>
      </c>
      <c r="E94" s="13" t="s">
        <v>13</v>
      </c>
      <c r="F94" s="13" t="s">
        <v>14</v>
      </c>
      <c r="G94" s="13" t="s">
        <v>0</v>
      </c>
      <c r="H94" s="22"/>
      <c r="I94" s="153"/>
    </row>
    <row r="95" spans="1:11" x14ac:dyDescent="0.25">
      <c r="A95" s="275"/>
      <c r="B95" s="13"/>
      <c r="C95" s="13"/>
      <c r="D95" s="13"/>
      <c r="E95" s="13"/>
      <c r="F95" s="13"/>
      <c r="G95" s="13"/>
      <c r="H95" s="22"/>
      <c r="I95" s="15"/>
    </row>
    <row r="96" spans="1:11" x14ac:dyDescent="0.25">
      <c r="A96" s="275"/>
      <c r="B96" s="15"/>
      <c r="C96" s="15"/>
      <c r="D96" s="13"/>
      <c r="E96" s="13"/>
      <c r="F96" s="13"/>
      <c r="G96" s="13"/>
      <c r="H96" s="22"/>
      <c r="I96" s="15"/>
    </row>
    <row r="97" spans="1:11" x14ac:dyDescent="0.25">
      <c r="A97" s="275"/>
      <c r="B97" s="15"/>
      <c r="C97" s="15"/>
      <c r="D97" s="13"/>
      <c r="E97" s="13"/>
      <c r="F97" s="13"/>
      <c r="G97" s="13"/>
      <c r="H97" s="22"/>
      <c r="I97" s="15"/>
    </row>
    <row r="98" spans="1:11" x14ac:dyDescent="0.25">
      <c r="A98" s="22"/>
      <c r="B98" s="22"/>
      <c r="C98" s="22"/>
      <c r="D98" s="22"/>
      <c r="E98" s="22"/>
      <c r="F98" s="22"/>
      <c r="G98" s="22"/>
      <c r="H98" s="22"/>
      <c r="I98" s="22"/>
    </row>
    <row r="99" spans="1:11" x14ac:dyDescent="0.25">
      <c r="A99" s="22"/>
      <c r="B99" s="22"/>
      <c r="C99" s="22"/>
      <c r="D99" s="22"/>
      <c r="E99" s="22"/>
      <c r="F99" s="22"/>
      <c r="G99" s="22"/>
      <c r="H99" s="22"/>
      <c r="I99" s="22"/>
    </row>
    <row r="100" spans="1:1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spans="1:11" x14ac:dyDescent="0.25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</row>
    <row r="102" spans="1:11" x14ac:dyDescent="0.25">
      <c r="A102" s="188"/>
      <c r="B102" s="188"/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1:11" x14ac:dyDescent="0.25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</row>
    <row r="104" spans="1:11" x14ac:dyDescent="0.25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</row>
    <row r="105" spans="1:11" x14ac:dyDescent="0.25">
      <c r="A105" s="188"/>
      <c r="B105" s="188"/>
      <c r="C105" s="188"/>
      <c r="D105" s="188"/>
      <c r="E105" s="188"/>
      <c r="F105" s="188"/>
      <c r="G105" s="188"/>
      <c r="H105" s="188"/>
      <c r="I105" s="188"/>
      <c r="J105" s="188"/>
      <c r="K105" s="188"/>
    </row>
    <row r="106" spans="1:11" x14ac:dyDescent="0.25">
      <c r="A106" s="189"/>
      <c r="B106" s="76"/>
      <c r="C106" s="190"/>
      <c r="D106" s="190"/>
      <c r="E106" s="190"/>
      <c r="F106" s="190"/>
      <c r="G106" s="190"/>
      <c r="H106" s="190"/>
      <c r="I106" s="190"/>
      <c r="J106" s="190"/>
      <c r="K106" s="188"/>
    </row>
    <row r="107" spans="1:11" x14ac:dyDescent="0.25">
      <c r="A107" s="189"/>
      <c r="B107" s="191"/>
      <c r="C107" s="188"/>
      <c r="D107" s="188"/>
      <c r="E107" s="188"/>
      <c r="F107" s="188"/>
      <c r="G107" s="188"/>
      <c r="H107" s="192"/>
      <c r="I107" s="192"/>
      <c r="J107" s="76"/>
      <c r="K107" s="193"/>
    </row>
    <row r="108" spans="1:11" x14ac:dyDescent="0.25">
      <c r="A108" s="189"/>
      <c r="B108" s="191"/>
      <c r="C108" s="192"/>
      <c r="D108" s="192"/>
      <c r="E108" s="192"/>
      <c r="F108" s="192"/>
      <c r="G108" s="192"/>
      <c r="H108" s="188"/>
      <c r="I108" s="188"/>
      <c r="J108" s="76"/>
      <c r="K108" s="193"/>
    </row>
    <row r="109" spans="1:11" x14ac:dyDescent="0.25">
      <c r="A109" s="189"/>
      <c r="B109" s="79"/>
      <c r="C109" s="77"/>
      <c r="D109" s="77"/>
      <c r="E109" s="192"/>
      <c r="F109" s="77"/>
      <c r="G109" s="77"/>
      <c r="H109" s="77"/>
      <c r="I109" s="192"/>
      <c r="J109" s="76"/>
      <c r="K109" s="193"/>
    </row>
    <row r="110" spans="1:11" x14ac:dyDescent="0.25">
      <c r="A110" s="189"/>
      <c r="B110" s="79"/>
      <c r="C110" s="188"/>
      <c r="D110" s="188"/>
      <c r="E110" s="192"/>
      <c r="F110" s="76"/>
      <c r="G110" s="76"/>
      <c r="H110" s="76"/>
      <c r="I110" s="192"/>
      <c r="J110" s="76"/>
      <c r="K110" s="193"/>
    </row>
    <row r="111" spans="1:11" x14ac:dyDescent="0.25">
      <c r="A111" s="189"/>
      <c r="B111" s="79"/>
      <c r="C111" s="192"/>
      <c r="D111" s="192"/>
      <c r="E111" s="192"/>
      <c r="F111" s="192"/>
      <c r="G111" s="192"/>
      <c r="H111" s="194"/>
      <c r="I111" s="194"/>
      <c r="J111" s="76"/>
      <c r="K111" s="193"/>
    </row>
    <row r="112" spans="1:11" x14ac:dyDescent="0.25">
      <c r="A112" s="189"/>
      <c r="B112" s="79"/>
      <c r="C112" s="192"/>
      <c r="D112" s="192"/>
      <c r="E112" s="192"/>
      <c r="F112" s="192"/>
      <c r="G112" s="192"/>
      <c r="H112" s="194"/>
      <c r="I112" s="194"/>
      <c r="J112" s="76"/>
      <c r="K112" s="193"/>
    </row>
    <row r="113" spans="1:11" x14ac:dyDescent="0.25">
      <c r="A113" s="189"/>
      <c r="B113" s="79"/>
      <c r="C113" s="192"/>
      <c r="D113" s="192"/>
      <c r="E113" s="192"/>
      <c r="F113" s="195"/>
      <c r="G113" s="192"/>
      <c r="H113" s="194"/>
      <c r="I113" s="194"/>
      <c r="J113" s="76"/>
      <c r="K113" s="193"/>
    </row>
    <row r="114" spans="1:11" x14ac:dyDescent="0.25">
      <c r="A114" s="189"/>
      <c r="B114" s="79"/>
      <c r="C114" s="192"/>
      <c r="D114" s="192"/>
      <c r="E114" s="192"/>
      <c r="F114" s="196"/>
      <c r="G114" s="192"/>
      <c r="H114" s="194"/>
      <c r="I114" s="194"/>
      <c r="J114" s="76"/>
      <c r="K114" s="193"/>
    </row>
    <row r="115" spans="1:11" x14ac:dyDescent="0.25">
      <c r="A115" s="189"/>
      <c r="B115" s="79"/>
      <c r="C115" s="77"/>
      <c r="D115" s="77"/>
      <c r="E115" s="77"/>
      <c r="F115" s="77"/>
      <c r="G115" s="77"/>
      <c r="H115" s="77"/>
      <c r="I115" s="77"/>
      <c r="J115" s="76"/>
      <c r="K115" s="193"/>
    </row>
    <row r="116" spans="1:11" x14ac:dyDescent="0.25">
      <c r="A116" s="197"/>
      <c r="B116" s="79"/>
      <c r="C116" s="77"/>
      <c r="D116" s="77"/>
      <c r="E116" s="77"/>
      <c r="F116" s="77"/>
      <c r="G116" s="77"/>
      <c r="H116" s="77"/>
      <c r="I116" s="77"/>
      <c r="J116" s="76"/>
      <c r="K116" s="77"/>
    </row>
    <row r="117" spans="1:11" x14ac:dyDescent="0.25">
      <c r="A117" s="197"/>
      <c r="B117" s="79"/>
      <c r="C117" s="77"/>
      <c r="D117" s="77"/>
      <c r="E117" s="77"/>
      <c r="F117" s="77"/>
      <c r="G117" s="77"/>
      <c r="H117" s="77"/>
      <c r="I117" s="77"/>
      <c r="J117" s="76"/>
      <c r="K117" s="77"/>
    </row>
    <row r="118" spans="1:11" x14ac:dyDescent="0.25">
      <c r="A118" s="197"/>
      <c r="B118" s="79"/>
      <c r="C118" s="77"/>
      <c r="D118" s="197"/>
      <c r="E118" s="79"/>
      <c r="F118" s="77"/>
      <c r="G118" s="77"/>
      <c r="H118" s="77"/>
      <c r="I118" s="77"/>
      <c r="J118" s="76"/>
      <c r="K118" s="77"/>
    </row>
    <row r="119" spans="1:11" x14ac:dyDescent="0.25">
      <c r="A119" s="188"/>
      <c r="B119" s="188"/>
      <c r="C119" s="188"/>
      <c r="D119" s="188"/>
      <c r="E119" s="188"/>
      <c r="F119" s="188"/>
      <c r="G119" s="188"/>
      <c r="H119" s="188"/>
      <c r="I119" s="188"/>
      <c r="J119" s="188"/>
      <c r="K119" s="188"/>
    </row>
    <row r="120" spans="1:11" x14ac:dyDescent="0.25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</row>
    <row r="121" spans="1:11" x14ac:dyDescent="0.25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</row>
    <row r="122" spans="1:11" x14ac:dyDescent="0.25">
      <c r="A122" s="188"/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</row>
    <row r="123" spans="1:11" x14ac:dyDescent="0.25">
      <c r="A123" s="188"/>
      <c r="B123" s="188"/>
      <c r="C123" s="79"/>
      <c r="D123" s="79"/>
      <c r="E123" s="79"/>
      <c r="F123" s="79"/>
      <c r="G123" s="79"/>
      <c r="H123" s="79"/>
      <c r="I123" s="188"/>
      <c r="J123" s="188"/>
      <c r="K123" s="188"/>
    </row>
    <row r="124" spans="1:11" x14ac:dyDescent="0.25">
      <c r="A124" s="188"/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</row>
    <row r="125" spans="1:11" x14ac:dyDescent="0.25">
      <c r="A125" s="188"/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</row>
    <row r="126" spans="1:11" x14ac:dyDescent="0.25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</row>
    <row r="127" spans="1:11" x14ac:dyDescent="0.25">
      <c r="A127" s="188"/>
      <c r="B127" s="188"/>
      <c r="C127" s="188"/>
      <c r="D127" s="188"/>
      <c r="E127" s="188"/>
      <c r="F127" s="188"/>
      <c r="G127" s="198"/>
      <c r="H127" s="198"/>
      <c r="I127" s="188"/>
      <c r="J127" s="188"/>
      <c r="K127" s="188"/>
    </row>
    <row r="128" spans="1:11" x14ac:dyDescent="0.25">
      <c r="A128" s="188"/>
      <c r="B128" s="188"/>
      <c r="C128" s="188"/>
      <c r="D128" s="188"/>
      <c r="E128" s="188"/>
      <c r="F128" s="188"/>
      <c r="G128" s="198"/>
      <c r="H128" s="198"/>
      <c r="I128" s="188"/>
      <c r="J128" s="188"/>
      <c r="K128" s="188"/>
    </row>
    <row r="129" spans="1:11" x14ac:dyDescent="0.25">
      <c r="A129" s="188"/>
      <c r="B129" s="188"/>
      <c r="C129" s="79"/>
      <c r="D129" s="79"/>
      <c r="E129" s="79"/>
      <c r="F129" s="79"/>
      <c r="G129" s="198"/>
      <c r="H129" s="198"/>
      <c r="I129" s="188"/>
      <c r="J129" s="188"/>
      <c r="K129" s="188"/>
    </row>
    <row r="130" spans="1:11" x14ac:dyDescent="0.25">
      <c r="A130" s="188"/>
      <c r="B130" s="188"/>
      <c r="C130" s="79"/>
      <c r="D130" s="79"/>
      <c r="E130" s="79"/>
      <c r="F130" s="79"/>
      <c r="G130" s="198"/>
      <c r="H130" s="198"/>
      <c r="I130" s="188"/>
      <c r="J130" s="188"/>
      <c r="K130" s="188"/>
    </row>
    <row r="131" spans="1:11" x14ac:dyDescent="0.25">
      <c r="A131" s="188"/>
      <c r="B131" s="188"/>
      <c r="C131" s="79"/>
      <c r="D131" s="79"/>
      <c r="E131" s="79"/>
      <c r="F131" s="79"/>
      <c r="G131" s="198"/>
      <c r="H131" s="198"/>
      <c r="I131" s="188"/>
      <c r="J131" s="188"/>
      <c r="K131" s="188"/>
    </row>
    <row r="132" spans="1:11" x14ac:dyDescent="0.25">
      <c r="A132" s="188"/>
      <c r="B132" s="188"/>
      <c r="C132" s="79"/>
      <c r="D132" s="79"/>
      <c r="E132" s="79"/>
      <c r="F132" s="79"/>
      <c r="G132" s="198"/>
      <c r="H132" s="198"/>
      <c r="I132" s="188"/>
      <c r="J132" s="188"/>
      <c r="K132" s="188"/>
    </row>
    <row r="133" spans="1:11" x14ac:dyDescent="0.25">
      <c r="A133" s="188"/>
      <c r="B133" s="188"/>
      <c r="C133" s="188"/>
      <c r="D133" s="188"/>
      <c r="E133" s="188"/>
      <c r="F133" s="188"/>
      <c r="G133" s="188"/>
      <c r="H133" s="188"/>
      <c r="I133" s="188"/>
      <c r="J133" s="188"/>
      <c r="K133" s="188"/>
    </row>
    <row r="134" spans="1:11" x14ac:dyDescent="0.25">
      <c r="A134" s="188"/>
      <c r="B134" s="188"/>
      <c r="C134" s="188"/>
      <c r="D134" s="188"/>
      <c r="E134" s="188"/>
      <c r="F134" s="188"/>
      <c r="G134" s="188"/>
      <c r="H134" s="188"/>
      <c r="I134" s="188"/>
      <c r="J134" s="188"/>
      <c r="K134" s="188"/>
    </row>
    <row r="135" spans="1:11" x14ac:dyDescent="0.25">
      <c r="A135" s="188"/>
      <c r="B135" s="76"/>
      <c r="C135" s="76"/>
      <c r="D135" s="188"/>
      <c r="E135" s="76"/>
      <c r="F135" s="76"/>
      <c r="G135" s="188"/>
      <c r="H135" s="188"/>
      <c r="I135" s="188"/>
      <c r="J135" s="188"/>
      <c r="K135" s="188"/>
    </row>
    <row r="136" spans="1:11" x14ac:dyDescent="0.25">
      <c r="A136" s="188"/>
      <c r="B136" s="79"/>
      <c r="C136" s="188"/>
      <c r="D136" s="188"/>
      <c r="E136" s="199"/>
      <c r="F136" s="79"/>
      <c r="G136" s="188"/>
      <c r="H136" s="188"/>
      <c r="I136" s="188"/>
      <c r="J136" s="188"/>
      <c r="K136" s="188"/>
    </row>
    <row r="137" spans="1:11" x14ac:dyDescent="0.25">
      <c r="A137" s="188"/>
      <c r="B137" s="79"/>
      <c r="C137" s="200"/>
      <c r="D137" s="188"/>
      <c r="E137" s="199"/>
      <c r="F137" s="199"/>
      <c r="G137" s="188"/>
      <c r="H137" s="188"/>
      <c r="I137" s="188"/>
      <c r="J137" s="188"/>
      <c r="K137" s="188"/>
    </row>
    <row r="138" spans="1:11" x14ac:dyDescent="0.25">
      <c r="A138" s="188"/>
      <c r="B138" s="79"/>
      <c r="C138" s="188"/>
      <c r="D138" s="188"/>
      <c r="E138" s="188"/>
      <c r="F138" s="188"/>
      <c r="G138" s="188"/>
      <c r="H138" s="188"/>
      <c r="I138" s="188"/>
      <c r="J138" s="188"/>
      <c r="K138" s="188"/>
    </row>
    <row r="139" spans="1:11" x14ac:dyDescent="0.25">
      <c r="A139" s="188"/>
      <c r="B139" s="188"/>
      <c r="C139" s="188"/>
      <c r="D139" s="188"/>
      <c r="E139" s="188"/>
      <c r="F139" s="188"/>
      <c r="G139" s="188"/>
      <c r="H139" s="188"/>
      <c r="I139" s="188"/>
      <c r="J139" s="188"/>
      <c r="K139" s="188"/>
    </row>
    <row r="140" spans="1:11" x14ac:dyDescent="0.25">
      <c r="A140" s="188"/>
      <c r="B140" s="188"/>
      <c r="C140" s="188"/>
      <c r="D140" s="188"/>
      <c r="E140" s="188"/>
      <c r="F140" s="188"/>
      <c r="G140" s="188"/>
      <c r="H140" s="188"/>
      <c r="I140" s="188"/>
      <c r="J140" s="188"/>
      <c r="K140" s="188"/>
    </row>
    <row r="141" spans="1:11" x14ac:dyDescent="0.25">
      <c r="A141" s="531"/>
      <c r="B141" s="531"/>
      <c r="C141" s="531"/>
      <c r="D141" s="531"/>
      <c r="E141" s="531"/>
      <c r="F141" s="531"/>
      <c r="G141" s="531"/>
      <c r="H141" s="531"/>
      <c r="I141" s="188"/>
      <c r="J141" s="188"/>
      <c r="K141" s="188"/>
    </row>
    <row r="142" spans="1:11" x14ac:dyDescent="0.25">
      <c r="A142" s="531"/>
      <c r="B142" s="531"/>
      <c r="C142" s="531"/>
      <c r="D142" s="531"/>
      <c r="E142" s="531"/>
      <c r="F142" s="531"/>
      <c r="G142" s="531"/>
      <c r="H142" s="531"/>
      <c r="I142" s="188"/>
      <c r="J142" s="188"/>
      <c r="K142" s="188"/>
    </row>
    <row r="143" spans="1:11" x14ac:dyDescent="0.25">
      <c r="A143" s="188"/>
      <c r="B143" s="188"/>
      <c r="C143" s="188"/>
      <c r="D143" s="188"/>
      <c r="E143" s="188"/>
      <c r="F143" s="188"/>
      <c r="G143" s="188"/>
      <c r="H143" s="188"/>
      <c r="I143" s="188"/>
      <c r="J143" s="188"/>
      <c r="K143" s="188"/>
    </row>
    <row r="144" spans="1:11" x14ac:dyDescent="0.25">
      <c r="A144" s="188"/>
      <c r="B144" s="201"/>
      <c r="C144" s="201"/>
      <c r="D144" s="201"/>
      <c r="E144" s="201"/>
      <c r="F144" s="201"/>
      <c r="G144" s="201"/>
      <c r="H144" s="188"/>
      <c r="I144" s="188"/>
      <c r="J144" s="188"/>
      <c r="K144" s="188"/>
    </row>
    <row r="145" spans="1:11" x14ac:dyDescent="0.25">
      <c r="A145" s="79"/>
      <c r="B145" s="202"/>
      <c r="C145" s="203"/>
      <c r="D145" s="204"/>
      <c r="E145" s="202"/>
      <c r="F145" s="205"/>
      <c r="G145" s="202"/>
      <c r="H145" s="188"/>
      <c r="I145" s="188"/>
      <c r="J145" s="188"/>
      <c r="K145" s="188"/>
    </row>
    <row r="146" spans="1:11" x14ac:dyDescent="0.25">
      <c r="A146" s="79"/>
      <c r="B146" s="202"/>
      <c r="C146" s="206"/>
      <c r="D146" s="206"/>
      <c r="E146" s="207"/>
      <c r="F146" s="207"/>
      <c r="G146" s="207"/>
      <c r="H146" s="188"/>
      <c r="I146" s="188"/>
      <c r="J146" s="188"/>
      <c r="K146" s="188"/>
    </row>
    <row r="147" spans="1:11" x14ac:dyDescent="0.25">
      <c r="A147" s="79"/>
      <c r="B147" s="202"/>
      <c r="C147" s="206"/>
      <c r="D147" s="206"/>
      <c r="E147" s="207"/>
      <c r="F147" s="207"/>
      <c r="G147" s="202"/>
      <c r="H147" s="188"/>
      <c r="I147" s="188"/>
      <c r="J147" s="188"/>
      <c r="K147" s="188"/>
    </row>
    <row r="148" spans="1:11" x14ac:dyDescent="0.25">
      <c r="A148" s="79"/>
      <c r="B148" s="202"/>
      <c r="C148" s="204"/>
      <c r="D148" s="204"/>
      <c r="E148" s="202"/>
      <c r="F148" s="205"/>
      <c r="G148" s="202"/>
      <c r="H148" s="188"/>
      <c r="I148" s="188"/>
      <c r="J148" s="188"/>
      <c r="K148" s="188"/>
    </row>
    <row r="149" spans="1:11" x14ac:dyDescent="0.25">
      <c r="A149" s="79"/>
      <c r="B149" s="202"/>
      <c r="C149" s="208"/>
      <c r="D149" s="208"/>
      <c r="E149" s="202"/>
      <c r="F149" s="207"/>
      <c r="G149" s="205"/>
      <c r="H149" s="188"/>
      <c r="I149" s="188"/>
      <c r="J149" s="188"/>
      <c r="K149" s="188"/>
    </row>
    <row r="150" spans="1:11" x14ac:dyDescent="0.25">
      <c r="A150" s="79"/>
      <c r="B150" s="202"/>
      <c r="C150" s="208"/>
      <c r="D150" s="208"/>
      <c r="E150" s="202"/>
      <c r="F150" s="205"/>
      <c r="G150" s="202"/>
      <c r="H150" s="188"/>
      <c r="I150" s="188"/>
      <c r="J150" s="188"/>
      <c r="K150" s="188"/>
    </row>
    <row r="151" spans="1:11" x14ac:dyDescent="0.25">
      <c r="A151" s="79"/>
      <c r="B151" s="202"/>
      <c r="C151" s="204"/>
      <c r="D151" s="204"/>
      <c r="E151" s="202"/>
      <c r="F151" s="205"/>
      <c r="G151" s="202"/>
      <c r="H151" s="188"/>
      <c r="I151" s="188"/>
      <c r="J151" s="188"/>
      <c r="K151" s="188"/>
    </row>
    <row r="152" spans="1:11" x14ac:dyDescent="0.25">
      <c r="A152" s="79"/>
      <c r="B152" s="201"/>
      <c r="C152" s="209"/>
      <c r="D152" s="209"/>
      <c r="E152" s="209"/>
      <c r="F152" s="207"/>
      <c r="G152" s="79"/>
      <c r="H152" s="188"/>
      <c r="I152" s="188"/>
      <c r="J152" s="188"/>
      <c r="K152" s="188"/>
    </row>
    <row r="153" spans="1:11" x14ac:dyDescent="0.25">
      <c r="A153" s="79"/>
      <c r="B153" s="210"/>
      <c r="C153" s="211"/>
      <c r="D153" s="212"/>
      <c r="E153" s="210"/>
      <c r="F153" s="210"/>
      <c r="G153" s="79"/>
      <c r="H153" s="213"/>
      <c r="I153" s="188"/>
      <c r="J153" s="188"/>
      <c r="K153" s="188"/>
    </row>
    <row r="154" spans="1:11" x14ac:dyDescent="0.25">
      <c r="A154" s="79"/>
      <c r="B154" s="188"/>
      <c r="C154" s="188"/>
      <c r="D154" s="188"/>
      <c r="E154" s="188"/>
      <c r="F154" s="188"/>
      <c r="G154" s="188"/>
      <c r="H154" s="188"/>
      <c r="I154" s="188"/>
      <c r="J154" s="188"/>
      <c r="K154" s="188"/>
    </row>
    <row r="155" spans="1:11" x14ac:dyDescent="0.25">
      <c r="A155" s="79"/>
      <c r="B155" s="201"/>
      <c r="C155" s="210"/>
      <c r="D155" s="210"/>
      <c r="E155" s="210"/>
      <c r="F155" s="210"/>
      <c r="G155" s="210"/>
      <c r="H155" s="188"/>
      <c r="I155" s="188"/>
      <c r="J155" s="188"/>
      <c r="K155" s="188"/>
    </row>
    <row r="156" spans="1:11" x14ac:dyDescent="0.25">
      <c r="A156" s="79"/>
      <c r="B156" s="192"/>
      <c r="C156" s="214"/>
      <c r="D156" s="214"/>
      <c r="E156" s="215"/>
      <c r="F156" s="216"/>
      <c r="G156" s="192"/>
      <c r="H156" s="532"/>
      <c r="I156" s="188"/>
      <c r="J156" s="188"/>
      <c r="K156" s="188"/>
    </row>
    <row r="157" spans="1:11" x14ac:dyDescent="0.25">
      <c r="A157" s="79"/>
      <c r="B157" s="192"/>
      <c r="C157" s="217"/>
      <c r="D157" s="214"/>
      <c r="E157" s="215"/>
      <c r="F157" s="216"/>
      <c r="G157" s="192"/>
      <c r="H157" s="532"/>
      <c r="I157" s="188"/>
      <c r="J157" s="188"/>
      <c r="K157" s="188"/>
    </row>
    <row r="158" spans="1:11" x14ac:dyDescent="0.25">
      <c r="A158" s="79"/>
      <c r="B158" s="192"/>
      <c r="C158" s="218"/>
      <c r="D158" s="218"/>
      <c r="E158" s="215"/>
      <c r="F158" s="216"/>
      <c r="G158" s="188"/>
      <c r="H158" s="532"/>
      <c r="I158" s="188"/>
      <c r="J158" s="188"/>
      <c r="K158" s="188"/>
    </row>
    <row r="159" spans="1:11" x14ac:dyDescent="0.25">
      <c r="A159" s="79"/>
      <c r="B159" s="192"/>
      <c r="C159" s="218"/>
      <c r="D159" s="218"/>
      <c r="E159" s="188"/>
      <c r="F159" s="188"/>
      <c r="G159" s="188"/>
      <c r="H159" s="532"/>
      <c r="I159" s="188"/>
      <c r="J159" s="188"/>
      <c r="K159" s="188"/>
    </row>
    <row r="160" spans="1:11" x14ac:dyDescent="0.25">
      <c r="A160" s="79"/>
      <c r="B160" s="192"/>
      <c r="C160" s="218"/>
      <c r="D160" s="218"/>
      <c r="E160" s="215"/>
      <c r="F160" s="216"/>
      <c r="G160" s="192"/>
      <c r="H160" s="532"/>
      <c r="I160" s="188"/>
      <c r="J160" s="188"/>
      <c r="K160" s="188"/>
    </row>
    <row r="161" spans="1:11" x14ac:dyDescent="0.25">
      <c r="A161" s="79"/>
      <c r="B161" s="192"/>
      <c r="C161" s="218"/>
      <c r="D161" s="218"/>
      <c r="E161" s="215"/>
      <c r="F161" s="216"/>
      <c r="G161" s="192"/>
      <c r="H161" s="532"/>
      <c r="I161" s="188"/>
      <c r="J161" s="188"/>
      <c r="K161" s="188"/>
    </row>
    <row r="162" spans="1:11" x14ac:dyDescent="0.25">
      <c r="A162" s="79"/>
      <c r="B162" s="202"/>
      <c r="C162" s="204"/>
      <c r="D162" s="204"/>
      <c r="E162" s="202"/>
      <c r="F162" s="205"/>
      <c r="G162" s="202"/>
      <c r="H162" s="532"/>
      <c r="I162" s="188"/>
      <c r="J162" s="188"/>
      <c r="K162" s="188"/>
    </row>
    <row r="163" spans="1:11" x14ac:dyDescent="0.25">
      <c r="A163" s="79"/>
      <c r="B163" s="210"/>
      <c r="C163" s="79"/>
      <c r="D163" s="79"/>
      <c r="E163" s="79"/>
      <c r="F163" s="188"/>
      <c r="G163" s="79"/>
      <c r="H163" s="188"/>
      <c r="I163" s="188"/>
      <c r="J163" s="188"/>
      <c r="K163" s="188"/>
    </row>
    <row r="164" spans="1:11" x14ac:dyDescent="0.25">
      <c r="A164" s="79"/>
      <c r="B164" s="210"/>
      <c r="C164" s="79"/>
      <c r="D164" s="79"/>
      <c r="E164" s="79"/>
      <c r="F164" s="188"/>
      <c r="G164" s="188"/>
      <c r="H164" s="188"/>
      <c r="I164" s="188"/>
      <c r="J164" s="188"/>
      <c r="K164" s="188"/>
    </row>
    <row r="165" spans="1:11" x14ac:dyDescent="0.25">
      <c r="A165" s="79"/>
      <c r="B165" s="201"/>
      <c r="C165" s="210"/>
      <c r="D165" s="210"/>
      <c r="E165" s="210"/>
      <c r="F165" s="210"/>
      <c r="G165" s="210"/>
      <c r="H165" s="188"/>
      <c r="I165" s="188"/>
      <c r="J165" s="188"/>
      <c r="K165" s="188"/>
    </row>
    <row r="166" spans="1:11" x14ac:dyDescent="0.25">
      <c r="A166" s="79"/>
      <c r="B166" s="202"/>
      <c r="C166" s="203"/>
      <c r="D166" s="204"/>
      <c r="E166" s="202"/>
      <c r="F166" s="205"/>
      <c r="G166" s="202"/>
      <c r="H166" s="188"/>
      <c r="I166" s="188"/>
      <c r="J166" s="188"/>
      <c r="K166" s="188"/>
    </row>
    <row r="167" spans="1:11" x14ac:dyDescent="0.25">
      <c r="A167" s="79"/>
      <c r="B167" s="202"/>
      <c r="C167" s="206"/>
      <c r="D167" s="206"/>
      <c r="E167" s="207"/>
      <c r="F167" s="207"/>
      <c r="G167" s="207"/>
      <c r="H167" s="188"/>
      <c r="I167" s="188"/>
      <c r="J167" s="188"/>
      <c r="K167" s="188"/>
    </row>
    <row r="168" spans="1:11" x14ac:dyDescent="0.25">
      <c r="A168" s="79"/>
      <c r="B168" s="202"/>
      <c r="C168" s="206"/>
      <c r="D168" s="206"/>
      <c r="E168" s="207"/>
      <c r="F168" s="207"/>
      <c r="G168" s="202"/>
      <c r="H168" s="188"/>
      <c r="I168" s="188"/>
      <c r="J168" s="188"/>
      <c r="K168" s="188"/>
    </row>
    <row r="169" spans="1:11" x14ac:dyDescent="0.25">
      <c r="A169" s="79"/>
      <c r="B169" s="202"/>
      <c r="C169" s="206"/>
      <c r="D169" s="206"/>
      <c r="E169" s="207"/>
      <c r="F169" s="207"/>
      <c r="G169" s="202"/>
      <c r="H169" s="188"/>
      <c r="I169" s="188"/>
      <c r="J169" s="188"/>
      <c r="K169" s="188"/>
    </row>
    <row r="170" spans="1:11" x14ac:dyDescent="0.25">
      <c r="A170" s="79"/>
      <c r="B170" s="202"/>
      <c r="C170" s="204"/>
      <c r="D170" s="204"/>
      <c r="E170" s="202"/>
      <c r="F170" s="205"/>
      <c r="G170" s="202"/>
      <c r="H170" s="188"/>
      <c r="I170" s="188"/>
      <c r="J170" s="188"/>
      <c r="K170" s="188"/>
    </row>
    <row r="171" spans="1:11" x14ac:dyDescent="0.25">
      <c r="I171" s="188"/>
      <c r="J171" s="188"/>
      <c r="K171" s="188"/>
    </row>
  </sheetData>
  <mergeCells count="123">
    <mergeCell ref="D14:D15"/>
    <mergeCell ref="E14:E15"/>
    <mergeCell ref="F14:F15"/>
    <mergeCell ref="G14:G15"/>
    <mergeCell ref="H16:H17"/>
    <mergeCell ref="I16:I17"/>
    <mergeCell ref="A9:A18"/>
    <mergeCell ref="B10:B11"/>
    <mergeCell ref="C11:G11"/>
    <mergeCell ref="B12:B13"/>
    <mergeCell ref="E12:E13"/>
    <mergeCell ref="I12:I13"/>
    <mergeCell ref="C13:D13"/>
    <mergeCell ref="B14:B15"/>
    <mergeCell ref="C14:C15"/>
    <mergeCell ref="B16:B17"/>
    <mergeCell ref="C16:C17"/>
    <mergeCell ref="D16:D17"/>
    <mergeCell ref="E16:E17"/>
    <mergeCell ref="G16:G17"/>
    <mergeCell ref="A22:A33"/>
    <mergeCell ref="B23:B24"/>
    <mergeCell ref="B44:B45"/>
    <mergeCell ref="B31:B32"/>
    <mergeCell ref="C31:C32"/>
    <mergeCell ref="D31:D32"/>
    <mergeCell ref="E31:E32"/>
    <mergeCell ref="C42:C43"/>
    <mergeCell ref="D42:D43"/>
    <mergeCell ref="E42:E43"/>
    <mergeCell ref="B38:B39"/>
    <mergeCell ref="C44:C45"/>
    <mergeCell ref="D44:D45"/>
    <mergeCell ref="E44:E45"/>
    <mergeCell ref="A50:A61"/>
    <mergeCell ref="B51:B52"/>
    <mergeCell ref="K51:K61"/>
    <mergeCell ref="C52:G52"/>
    <mergeCell ref="B53:B54"/>
    <mergeCell ref="E53:E54"/>
    <mergeCell ref="I53:I54"/>
    <mergeCell ref="C54:D54"/>
    <mergeCell ref="A37:A46"/>
    <mergeCell ref="I57:I58"/>
    <mergeCell ref="C39:G39"/>
    <mergeCell ref="B40:B41"/>
    <mergeCell ref="E40:E41"/>
    <mergeCell ref="C41:D41"/>
    <mergeCell ref="H31:H32"/>
    <mergeCell ref="I31:I32"/>
    <mergeCell ref="I40:I41"/>
    <mergeCell ref="K23:K33"/>
    <mergeCell ref="C24:G24"/>
    <mergeCell ref="B25:B26"/>
    <mergeCell ref="E25:E26"/>
    <mergeCell ref="I25:I26"/>
    <mergeCell ref="C26:D26"/>
    <mergeCell ref="B27:B28"/>
    <mergeCell ref="C27:C28"/>
    <mergeCell ref="D27:D28"/>
    <mergeCell ref="E27:E28"/>
    <mergeCell ref="F27:F28"/>
    <mergeCell ref="G27:G28"/>
    <mergeCell ref="G31:G32"/>
    <mergeCell ref="B66:B67"/>
    <mergeCell ref="K66:K74"/>
    <mergeCell ref="C67:G67"/>
    <mergeCell ref="B68:B69"/>
    <mergeCell ref="E68:E69"/>
    <mergeCell ref="I68:I69"/>
    <mergeCell ref="C55:C56"/>
    <mergeCell ref="D55:D56"/>
    <mergeCell ref="E55:E56"/>
    <mergeCell ref="G55:G56"/>
    <mergeCell ref="H55:I56"/>
    <mergeCell ref="A141:H142"/>
    <mergeCell ref="H156:H162"/>
    <mergeCell ref="I85:I86"/>
    <mergeCell ref="C85:C86"/>
    <mergeCell ref="D85:D86"/>
    <mergeCell ref="E85:E86"/>
    <mergeCell ref="G85:G86"/>
    <mergeCell ref="H85:H86"/>
    <mergeCell ref="G42:G43"/>
    <mergeCell ref="I44:I45"/>
    <mergeCell ref="B85:B86"/>
    <mergeCell ref="B72:B73"/>
    <mergeCell ref="C72:C73"/>
    <mergeCell ref="D72:D73"/>
    <mergeCell ref="E72:E73"/>
    <mergeCell ref="G72:G73"/>
    <mergeCell ref="H72:H73"/>
    <mergeCell ref="I72:I73"/>
    <mergeCell ref="G70:G71"/>
    <mergeCell ref="B57:B58"/>
    <mergeCell ref="C57:C58"/>
    <mergeCell ref="D57:D58"/>
    <mergeCell ref="E57:E58"/>
    <mergeCell ref="G57:G58"/>
    <mergeCell ref="A93:K93"/>
    <mergeCell ref="A1:G1"/>
    <mergeCell ref="A2:F2"/>
    <mergeCell ref="D83:D84"/>
    <mergeCell ref="B59:B60"/>
    <mergeCell ref="C59:G60"/>
    <mergeCell ref="A78:A87"/>
    <mergeCell ref="B79:B80"/>
    <mergeCell ref="K79:K87"/>
    <mergeCell ref="C80:G80"/>
    <mergeCell ref="B81:B82"/>
    <mergeCell ref="E81:E82"/>
    <mergeCell ref="I81:I82"/>
    <mergeCell ref="C82:D82"/>
    <mergeCell ref="C83:C84"/>
    <mergeCell ref="G44:G45"/>
    <mergeCell ref="H44:H45"/>
    <mergeCell ref="C69:D69"/>
    <mergeCell ref="C70:C71"/>
    <mergeCell ref="D70:D71"/>
    <mergeCell ref="E70:E71"/>
    <mergeCell ref="K38:K46"/>
    <mergeCell ref="H57:H58"/>
    <mergeCell ref="A65:A7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FAE2-4AB3-4AC2-B823-8583CA2E807C}">
  <dimension ref="A1"/>
  <sheetViews>
    <sheetView workbookViewId="0">
      <selection activeCell="I14" sqref="A1:I14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3C4F-C20F-45CE-B179-0242B12D6DF3}">
  <dimension ref="B1:Q189"/>
  <sheetViews>
    <sheetView topLeftCell="A149" zoomScaleNormal="100" workbookViewId="0">
      <selection activeCell="J63" sqref="J63"/>
    </sheetView>
  </sheetViews>
  <sheetFormatPr defaultRowHeight="12.75" x14ac:dyDescent="0.2"/>
  <cols>
    <col min="1" max="1" width="1.5703125" style="286" customWidth="1"/>
    <col min="2" max="2" width="0.7109375" style="286" customWidth="1"/>
    <col min="3" max="3" width="11" style="286" customWidth="1"/>
    <col min="4" max="4" width="25.28515625" style="286" customWidth="1"/>
    <col min="5" max="5" width="6.85546875" style="286" customWidth="1"/>
    <col min="6" max="6" width="10.7109375" style="286" customWidth="1"/>
    <col min="7" max="7" width="8.28515625" style="286" customWidth="1"/>
    <col min="8" max="8" width="13.7109375" style="286" customWidth="1"/>
    <col min="9" max="9" width="11.28515625" style="286" customWidth="1"/>
    <col min="10" max="10" width="9" style="286" customWidth="1"/>
    <col min="11" max="11" width="7.5703125" style="286" customWidth="1"/>
    <col min="12" max="12" width="11.85546875" style="286" customWidth="1"/>
    <col min="13" max="13" width="10.7109375" style="286" customWidth="1"/>
    <col min="14" max="14" width="8.140625" style="286" customWidth="1"/>
    <col min="15" max="15" width="10" style="286" customWidth="1"/>
    <col min="16" max="16" width="9.85546875" style="286" customWidth="1"/>
    <col min="17" max="17" width="13.7109375" style="286" customWidth="1"/>
    <col min="18" max="18" width="4.7109375" style="286" customWidth="1"/>
    <col min="19" max="16384" width="9.140625" style="286"/>
  </cols>
  <sheetData>
    <row r="1" spans="2:17" s="276" customFormat="1" ht="37.9" customHeight="1" x14ac:dyDescent="0.15"/>
    <row r="2" spans="2:17" s="276" customFormat="1" ht="14.65" customHeight="1" x14ac:dyDescent="0.15">
      <c r="B2" s="621" t="s">
        <v>450</v>
      </c>
      <c r="C2" s="621"/>
      <c r="D2" s="621"/>
      <c r="E2" s="621"/>
      <c r="F2" s="621"/>
      <c r="G2" s="621"/>
      <c r="H2" s="621"/>
      <c r="I2" s="621"/>
      <c r="J2" s="621"/>
      <c r="K2" s="621"/>
    </row>
    <row r="3" spans="2:17" s="276" customFormat="1" ht="26.85" customHeight="1" x14ac:dyDescent="0.15"/>
    <row r="4" spans="2:17" s="276" customFormat="1" ht="19.7" customHeight="1" x14ac:dyDescent="0.2">
      <c r="C4" s="622" t="s">
        <v>451</v>
      </c>
      <c r="D4" s="622"/>
      <c r="E4" s="622"/>
      <c r="F4" s="622"/>
      <c r="G4" s="622"/>
      <c r="H4" s="622"/>
    </row>
    <row r="5" spans="2:17" s="276" customFormat="1" ht="2.1" customHeight="1" x14ac:dyDescent="0.15"/>
    <row r="6" spans="2:17" s="276" customFormat="1" ht="26.45" customHeight="1" x14ac:dyDescent="0.15">
      <c r="C6" s="277" t="s">
        <v>347</v>
      </c>
      <c r="D6" s="277" t="s">
        <v>452</v>
      </c>
      <c r="E6" s="277" t="s">
        <v>453</v>
      </c>
      <c r="F6" s="277" t="s">
        <v>454</v>
      </c>
      <c r="G6" s="277" t="s">
        <v>348</v>
      </c>
      <c r="H6" s="277" t="s">
        <v>349</v>
      </c>
      <c r="I6" s="277" t="s">
        <v>350</v>
      </c>
      <c r="J6" s="277" t="s">
        <v>455</v>
      </c>
      <c r="K6" s="277" t="s">
        <v>351</v>
      </c>
      <c r="L6" s="277" t="s">
        <v>456</v>
      </c>
      <c r="M6" s="277" t="s">
        <v>352</v>
      </c>
      <c r="N6" s="277" t="s">
        <v>353</v>
      </c>
      <c r="O6" s="277" t="s">
        <v>354</v>
      </c>
      <c r="P6" s="277" t="s">
        <v>355</v>
      </c>
      <c r="Q6" s="277" t="s">
        <v>356</v>
      </c>
    </row>
    <row r="7" spans="2:17" s="276" customFormat="1" ht="18.399999999999999" customHeight="1" x14ac:dyDescent="0.2">
      <c r="C7" s="278">
        <v>43124</v>
      </c>
      <c r="D7" s="279" t="s">
        <v>357</v>
      </c>
      <c r="E7" s="280" t="s">
        <v>358</v>
      </c>
      <c r="F7" s="281"/>
      <c r="G7" s="281" t="s">
        <v>359</v>
      </c>
      <c r="H7" s="281" t="s">
        <v>360</v>
      </c>
      <c r="I7" s="281" t="s">
        <v>207</v>
      </c>
      <c r="J7" s="282"/>
      <c r="K7" s="282" t="s">
        <v>361</v>
      </c>
      <c r="L7" s="281"/>
      <c r="M7" s="281" t="s">
        <v>362</v>
      </c>
      <c r="N7" s="281" t="s">
        <v>363</v>
      </c>
      <c r="O7" s="283" t="s">
        <v>364</v>
      </c>
      <c r="P7" s="284">
        <v>12.5</v>
      </c>
      <c r="Q7" s="285">
        <v>716.91</v>
      </c>
    </row>
    <row r="8" spans="2:17" s="276" customFormat="1" ht="10.15" customHeight="1" x14ac:dyDescent="0.2">
      <c r="C8" s="278">
        <v>43124</v>
      </c>
      <c r="D8" s="279" t="s">
        <v>357</v>
      </c>
      <c r="E8" s="280" t="s">
        <v>358</v>
      </c>
      <c r="F8" s="281"/>
      <c r="G8" s="281" t="s">
        <v>359</v>
      </c>
      <c r="H8" s="281" t="s">
        <v>360</v>
      </c>
      <c r="I8" s="281" t="s">
        <v>207</v>
      </c>
      <c r="J8" s="282"/>
      <c r="K8" s="282" t="s">
        <v>361</v>
      </c>
      <c r="L8" s="281"/>
      <c r="M8" s="281" t="s">
        <v>365</v>
      </c>
      <c r="N8" s="281" t="s">
        <v>366</v>
      </c>
      <c r="O8" s="283" t="s">
        <v>365</v>
      </c>
      <c r="P8" s="284"/>
      <c r="Q8" s="285">
        <v>49.11</v>
      </c>
    </row>
    <row r="9" spans="2:17" s="276" customFormat="1" ht="10.15" customHeight="1" x14ac:dyDescent="0.2">
      <c r="C9" s="278">
        <v>43124</v>
      </c>
      <c r="D9" s="279" t="s">
        <v>357</v>
      </c>
      <c r="E9" s="280" t="s">
        <v>358</v>
      </c>
      <c r="F9" s="281"/>
      <c r="G9" s="281" t="s">
        <v>359</v>
      </c>
      <c r="H9" s="281" t="s">
        <v>360</v>
      </c>
      <c r="I9" s="281" t="s">
        <v>207</v>
      </c>
      <c r="J9" s="282"/>
      <c r="K9" s="282" t="s">
        <v>361</v>
      </c>
      <c r="L9" s="281"/>
      <c r="M9" s="281" t="s">
        <v>365</v>
      </c>
      <c r="N9" s="281" t="s">
        <v>367</v>
      </c>
      <c r="O9" s="283" t="s">
        <v>365</v>
      </c>
      <c r="P9" s="284"/>
      <c r="Q9" s="285">
        <v>4.67</v>
      </c>
    </row>
    <row r="10" spans="2:17" s="276" customFormat="1" ht="10.15" customHeight="1" x14ac:dyDescent="0.2">
      <c r="C10" s="278">
        <v>43124</v>
      </c>
      <c r="D10" s="279" t="s">
        <v>357</v>
      </c>
      <c r="E10" s="280" t="s">
        <v>358</v>
      </c>
      <c r="F10" s="281"/>
      <c r="G10" s="281" t="s">
        <v>359</v>
      </c>
      <c r="H10" s="281" t="s">
        <v>360</v>
      </c>
      <c r="I10" s="281" t="s">
        <v>207</v>
      </c>
      <c r="J10" s="282"/>
      <c r="K10" s="282" t="s">
        <v>361</v>
      </c>
      <c r="L10" s="281"/>
      <c r="M10" s="281" t="s">
        <v>365</v>
      </c>
      <c r="N10" s="281" t="s">
        <v>368</v>
      </c>
      <c r="O10" s="283" t="s">
        <v>365</v>
      </c>
      <c r="P10" s="284"/>
      <c r="Q10" s="285">
        <v>8.9499999999999993</v>
      </c>
    </row>
    <row r="11" spans="2:17" s="276" customFormat="1" ht="10.15" customHeight="1" x14ac:dyDescent="0.2">
      <c r="C11" s="278">
        <v>43124</v>
      </c>
      <c r="D11" s="279" t="s">
        <v>357</v>
      </c>
      <c r="E11" s="280" t="s">
        <v>358</v>
      </c>
      <c r="F11" s="281"/>
      <c r="G11" s="281" t="s">
        <v>359</v>
      </c>
      <c r="H11" s="281" t="s">
        <v>360</v>
      </c>
      <c r="I11" s="281" t="s">
        <v>207</v>
      </c>
      <c r="J11" s="282"/>
      <c r="K11" s="282" t="s">
        <v>361</v>
      </c>
      <c r="L11" s="281"/>
      <c r="M11" s="281" t="s">
        <v>369</v>
      </c>
      <c r="N11" s="281" t="s">
        <v>370</v>
      </c>
      <c r="O11" s="283" t="s">
        <v>371</v>
      </c>
      <c r="P11" s="284"/>
      <c r="Q11" s="285">
        <v>68.11</v>
      </c>
    </row>
    <row r="12" spans="2:17" s="276" customFormat="1" ht="18.399999999999999" customHeight="1" x14ac:dyDescent="0.2">
      <c r="C12" s="278">
        <v>43124</v>
      </c>
      <c r="D12" s="279" t="s">
        <v>357</v>
      </c>
      <c r="E12" s="280" t="s">
        <v>358</v>
      </c>
      <c r="F12" s="281"/>
      <c r="G12" s="281" t="s">
        <v>372</v>
      </c>
      <c r="H12" s="281" t="s">
        <v>373</v>
      </c>
      <c r="I12" s="281" t="s">
        <v>1</v>
      </c>
      <c r="J12" s="282"/>
      <c r="K12" s="282" t="s">
        <v>361</v>
      </c>
      <c r="L12" s="281"/>
      <c r="M12" s="281" t="s">
        <v>362</v>
      </c>
      <c r="N12" s="281" t="s">
        <v>363</v>
      </c>
      <c r="O12" s="283" t="s">
        <v>364</v>
      </c>
      <c r="P12" s="284">
        <v>6.5</v>
      </c>
      <c r="Q12" s="285">
        <v>376.58</v>
      </c>
    </row>
    <row r="13" spans="2:17" s="276" customFormat="1" ht="10.15" customHeight="1" x14ac:dyDescent="0.2">
      <c r="C13" s="278">
        <v>43124</v>
      </c>
      <c r="D13" s="279" t="s">
        <v>357</v>
      </c>
      <c r="E13" s="280" t="s">
        <v>358</v>
      </c>
      <c r="F13" s="281"/>
      <c r="G13" s="281" t="s">
        <v>372</v>
      </c>
      <c r="H13" s="281" t="s">
        <v>373</v>
      </c>
      <c r="I13" s="281" t="s">
        <v>1</v>
      </c>
      <c r="J13" s="282"/>
      <c r="K13" s="282" t="s">
        <v>361</v>
      </c>
      <c r="L13" s="281"/>
      <c r="M13" s="281" t="s">
        <v>365</v>
      </c>
      <c r="N13" s="281" t="s">
        <v>366</v>
      </c>
      <c r="O13" s="283" t="s">
        <v>365</v>
      </c>
      <c r="P13" s="284"/>
      <c r="Q13" s="285">
        <v>25.8</v>
      </c>
    </row>
    <row r="14" spans="2:17" s="276" customFormat="1" ht="10.15" customHeight="1" x14ac:dyDescent="0.2">
      <c r="C14" s="278">
        <v>43124</v>
      </c>
      <c r="D14" s="279" t="s">
        <v>357</v>
      </c>
      <c r="E14" s="280" t="s">
        <v>358</v>
      </c>
      <c r="F14" s="281"/>
      <c r="G14" s="281" t="s">
        <v>372</v>
      </c>
      <c r="H14" s="281" t="s">
        <v>373</v>
      </c>
      <c r="I14" s="281" t="s">
        <v>1</v>
      </c>
      <c r="J14" s="282"/>
      <c r="K14" s="282" t="s">
        <v>361</v>
      </c>
      <c r="L14" s="281"/>
      <c r="M14" s="281" t="s">
        <v>365</v>
      </c>
      <c r="N14" s="281" t="s">
        <v>368</v>
      </c>
      <c r="O14" s="283" t="s">
        <v>365</v>
      </c>
      <c r="P14" s="284"/>
      <c r="Q14" s="285">
        <v>4.71</v>
      </c>
    </row>
    <row r="15" spans="2:17" s="276" customFormat="1" ht="18.399999999999999" customHeight="1" x14ac:dyDescent="0.2">
      <c r="C15" s="278">
        <v>43138</v>
      </c>
      <c r="D15" s="279" t="s">
        <v>357</v>
      </c>
      <c r="E15" s="280" t="s">
        <v>358</v>
      </c>
      <c r="F15" s="281"/>
      <c r="G15" s="281" t="s">
        <v>359</v>
      </c>
      <c r="H15" s="281" t="s">
        <v>360</v>
      </c>
      <c r="I15" s="281" t="s">
        <v>207</v>
      </c>
      <c r="J15" s="282"/>
      <c r="K15" s="282" t="s">
        <v>361</v>
      </c>
      <c r="L15" s="281"/>
      <c r="M15" s="281" t="s">
        <v>362</v>
      </c>
      <c r="N15" s="281" t="s">
        <v>363</v>
      </c>
      <c r="O15" s="283" t="s">
        <v>364</v>
      </c>
      <c r="P15" s="284">
        <v>73.5</v>
      </c>
      <c r="Q15" s="285">
        <v>4258.2</v>
      </c>
    </row>
    <row r="16" spans="2:17" s="276" customFormat="1" ht="10.15" customHeight="1" x14ac:dyDescent="0.2">
      <c r="C16" s="278">
        <v>43138</v>
      </c>
      <c r="D16" s="279" t="s">
        <v>357</v>
      </c>
      <c r="E16" s="280" t="s">
        <v>358</v>
      </c>
      <c r="F16" s="281"/>
      <c r="G16" s="281" t="s">
        <v>359</v>
      </c>
      <c r="H16" s="281" t="s">
        <v>360</v>
      </c>
      <c r="I16" s="281" t="s">
        <v>207</v>
      </c>
      <c r="J16" s="282"/>
      <c r="K16" s="282" t="s">
        <v>361</v>
      </c>
      <c r="L16" s="281"/>
      <c r="M16" s="281" t="s">
        <v>365</v>
      </c>
      <c r="N16" s="281" t="s">
        <v>366</v>
      </c>
      <c r="O16" s="283" t="s">
        <v>365</v>
      </c>
      <c r="P16" s="284"/>
      <c r="Q16" s="285">
        <v>291.7</v>
      </c>
    </row>
    <row r="17" spans="3:17" s="276" customFormat="1" ht="10.15" customHeight="1" x14ac:dyDescent="0.2">
      <c r="C17" s="278">
        <v>43138</v>
      </c>
      <c r="D17" s="279" t="s">
        <v>357</v>
      </c>
      <c r="E17" s="280" t="s">
        <v>358</v>
      </c>
      <c r="F17" s="281"/>
      <c r="G17" s="281" t="s">
        <v>359</v>
      </c>
      <c r="H17" s="281" t="s">
        <v>360</v>
      </c>
      <c r="I17" s="281" t="s">
        <v>207</v>
      </c>
      <c r="J17" s="282"/>
      <c r="K17" s="282" t="s">
        <v>361</v>
      </c>
      <c r="L17" s="281"/>
      <c r="M17" s="281" t="s">
        <v>365</v>
      </c>
      <c r="N17" s="281" t="s">
        <v>367</v>
      </c>
      <c r="O17" s="283" t="s">
        <v>365</v>
      </c>
      <c r="P17" s="284"/>
      <c r="Q17" s="285">
        <v>27.71</v>
      </c>
    </row>
    <row r="18" spans="3:17" s="276" customFormat="1" ht="10.15" customHeight="1" x14ac:dyDescent="0.2">
      <c r="C18" s="278">
        <v>43138</v>
      </c>
      <c r="D18" s="279" t="s">
        <v>357</v>
      </c>
      <c r="E18" s="280" t="s">
        <v>358</v>
      </c>
      <c r="F18" s="281"/>
      <c r="G18" s="281" t="s">
        <v>359</v>
      </c>
      <c r="H18" s="281" t="s">
        <v>360</v>
      </c>
      <c r="I18" s="281" t="s">
        <v>207</v>
      </c>
      <c r="J18" s="282"/>
      <c r="K18" s="282" t="s">
        <v>361</v>
      </c>
      <c r="L18" s="281"/>
      <c r="M18" s="281" t="s">
        <v>365</v>
      </c>
      <c r="N18" s="281" t="s">
        <v>368</v>
      </c>
      <c r="O18" s="283" t="s">
        <v>365</v>
      </c>
      <c r="P18" s="284"/>
      <c r="Q18" s="285">
        <v>53.22</v>
      </c>
    </row>
    <row r="19" spans="3:17" s="276" customFormat="1" ht="10.15" customHeight="1" x14ac:dyDescent="0.2">
      <c r="C19" s="278">
        <v>43138</v>
      </c>
      <c r="D19" s="279" t="s">
        <v>357</v>
      </c>
      <c r="E19" s="280" t="s">
        <v>358</v>
      </c>
      <c r="F19" s="281"/>
      <c r="G19" s="281" t="s">
        <v>359</v>
      </c>
      <c r="H19" s="281" t="s">
        <v>360</v>
      </c>
      <c r="I19" s="281" t="s">
        <v>207</v>
      </c>
      <c r="J19" s="282"/>
      <c r="K19" s="282" t="s">
        <v>361</v>
      </c>
      <c r="L19" s="281"/>
      <c r="M19" s="281" t="s">
        <v>369</v>
      </c>
      <c r="N19" s="281" t="s">
        <v>370</v>
      </c>
      <c r="O19" s="283" t="s">
        <v>371</v>
      </c>
      <c r="P19" s="284"/>
      <c r="Q19" s="285">
        <v>404.53</v>
      </c>
    </row>
    <row r="20" spans="3:17" s="276" customFormat="1" ht="18.399999999999999" customHeight="1" x14ac:dyDescent="0.2">
      <c r="C20" s="278">
        <v>43138</v>
      </c>
      <c r="D20" s="279" t="s">
        <v>357</v>
      </c>
      <c r="E20" s="280" t="s">
        <v>358</v>
      </c>
      <c r="F20" s="281"/>
      <c r="G20" s="281" t="s">
        <v>372</v>
      </c>
      <c r="H20" s="281" t="s">
        <v>373</v>
      </c>
      <c r="I20" s="281" t="s">
        <v>1</v>
      </c>
      <c r="J20" s="282"/>
      <c r="K20" s="282" t="s">
        <v>361</v>
      </c>
      <c r="L20" s="281"/>
      <c r="M20" s="281" t="s">
        <v>362</v>
      </c>
      <c r="N20" s="281" t="s">
        <v>363</v>
      </c>
      <c r="O20" s="283" t="s">
        <v>364</v>
      </c>
      <c r="P20" s="284">
        <v>21.5</v>
      </c>
      <c r="Q20" s="285">
        <v>1245.5899999999999</v>
      </c>
    </row>
    <row r="21" spans="3:17" s="276" customFormat="1" ht="10.15" customHeight="1" x14ac:dyDescent="0.2">
      <c r="C21" s="278">
        <v>43138</v>
      </c>
      <c r="D21" s="279" t="s">
        <v>357</v>
      </c>
      <c r="E21" s="280" t="s">
        <v>358</v>
      </c>
      <c r="F21" s="281"/>
      <c r="G21" s="281" t="s">
        <v>372</v>
      </c>
      <c r="H21" s="281" t="s">
        <v>373</v>
      </c>
      <c r="I21" s="281" t="s">
        <v>1</v>
      </c>
      <c r="J21" s="282"/>
      <c r="K21" s="282" t="s">
        <v>361</v>
      </c>
      <c r="L21" s="281"/>
      <c r="M21" s="281" t="s">
        <v>365</v>
      </c>
      <c r="N21" s="281" t="s">
        <v>366</v>
      </c>
      <c r="O21" s="283" t="s">
        <v>365</v>
      </c>
      <c r="P21" s="284"/>
      <c r="Q21" s="285">
        <v>85.33</v>
      </c>
    </row>
    <row r="22" spans="3:17" s="276" customFormat="1" ht="10.15" customHeight="1" x14ac:dyDescent="0.2">
      <c r="C22" s="278">
        <v>43138</v>
      </c>
      <c r="D22" s="279" t="s">
        <v>357</v>
      </c>
      <c r="E22" s="280" t="s">
        <v>358</v>
      </c>
      <c r="F22" s="281"/>
      <c r="G22" s="281" t="s">
        <v>372</v>
      </c>
      <c r="H22" s="281" t="s">
        <v>373</v>
      </c>
      <c r="I22" s="281" t="s">
        <v>1</v>
      </c>
      <c r="J22" s="282"/>
      <c r="K22" s="282" t="s">
        <v>361</v>
      </c>
      <c r="L22" s="281"/>
      <c r="M22" s="281" t="s">
        <v>365</v>
      </c>
      <c r="N22" s="281" t="s">
        <v>367</v>
      </c>
      <c r="O22" s="283" t="s">
        <v>365</v>
      </c>
      <c r="P22" s="284"/>
      <c r="Q22" s="285">
        <v>8.11</v>
      </c>
    </row>
    <row r="23" spans="3:17" s="276" customFormat="1" ht="10.15" customHeight="1" x14ac:dyDescent="0.2">
      <c r="C23" s="278">
        <v>43138</v>
      </c>
      <c r="D23" s="279" t="s">
        <v>357</v>
      </c>
      <c r="E23" s="280" t="s">
        <v>358</v>
      </c>
      <c r="F23" s="281"/>
      <c r="G23" s="281" t="s">
        <v>372</v>
      </c>
      <c r="H23" s="281" t="s">
        <v>373</v>
      </c>
      <c r="I23" s="281" t="s">
        <v>1</v>
      </c>
      <c r="J23" s="282"/>
      <c r="K23" s="282" t="s">
        <v>361</v>
      </c>
      <c r="L23" s="281"/>
      <c r="M23" s="281" t="s">
        <v>365</v>
      </c>
      <c r="N23" s="281" t="s">
        <v>368</v>
      </c>
      <c r="O23" s="283" t="s">
        <v>365</v>
      </c>
      <c r="P23" s="284"/>
      <c r="Q23" s="285">
        <v>15.57</v>
      </c>
    </row>
    <row r="24" spans="3:17" s="276" customFormat="1" ht="10.15" customHeight="1" x14ac:dyDescent="0.2">
      <c r="C24" s="278">
        <v>43138</v>
      </c>
      <c r="D24" s="279" t="s">
        <v>357</v>
      </c>
      <c r="E24" s="280" t="s">
        <v>358</v>
      </c>
      <c r="F24" s="281"/>
      <c r="G24" s="281" t="s">
        <v>372</v>
      </c>
      <c r="H24" s="281" t="s">
        <v>373</v>
      </c>
      <c r="I24" s="281" t="s">
        <v>1</v>
      </c>
      <c r="J24" s="282"/>
      <c r="K24" s="282" t="s">
        <v>361</v>
      </c>
      <c r="L24" s="281"/>
      <c r="M24" s="281" t="s">
        <v>369</v>
      </c>
      <c r="N24" s="281" t="s">
        <v>370</v>
      </c>
      <c r="O24" s="283" t="s">
        <v>371</v>
      </c>
      <c r="P24" s="284"/>
      <c r="Q24" s="285">
        <v>118.33</v>
      </c>
    </row>
    <row r="25" spans="3:17" s="276" customFormat="1" ht="18.399999999999999" customHeight="1" x14ac:dyDescent="0.2">
      <c r="C25" s="278">
        <v>43166</v>
      </c>
      <c r="D25" s="279" t="s">
        <v>357</v>
      </c>
      <c r="E25" s="280" t="s">
        <v>358</v>
      </c>
      <c r="F25" s="281"/>
      <c r="G25" s="281" t="s">
        <v>374</v>
      </c>
      <c r="H25" s="281" t="s">
        <v>375</v>
      </c>
      <c r="I25" s="281" t="s">
        <v>376</v>
      </c>
      <c r="J25" s="282"/>
      <c r="K25" s="282" t="s">
        <v>377</v>
      </c>
      <c r="L25" s="281"/>
      <c r="M25" s="281" t="s">
        <v>362</v>
      </c>
      <c r="N25" s="281" t="s">
        <v>378</v>
      </c>
      <c r="O25" s="283" t="s">
        <v>379</v>
      </c>
      <c r="P25" s="284">
        <v>6</v>
      </c>
      <c r="Q25" s="285">
        <v>1517.08</v>
      </c>
    </row>
    <row r="26" spans="3:17" s="276" customFormat="1" ht="10.15" customHeight="1" x14ac:dyDescent="0.2">
      <c r="C26" s="278">
        <v>43166</v>
      </c>
      <c r="D26" s="279" t="s">
        <v>357</v>
      </c>
      <c r="E26" s="280" t="s">
        <v>358</v>
      </c>
      <c r="F26" s="281"/>
      <c r="G26" s="281" t="s">
        <v>374</v>
      </c>
      <c r="H26" s="281" t="s">
        <v>375</v>
      </c>
      <c r="I26" s="281" t="s">
        <v>376</v>
      </c>
      <c r="J26" s="282"/>
      <c r="K26" s="282" t="s">
        <v>377</v>
      </c>
      <c r="L26" s="281"/>
      <c r="M26" s="281" t="s">
        <v>365</v>
      </c>
      <c r="N26" s="281" t="s">
        <v>380</v>
      </c>
      <c r="O26" s="283" t="s">
        <v>365</v>
      </c>
      <c r="P26" s="284"/>
      <c r="Q26" s="285">
        <v>103.92</v>
      </c>
    </row>
    <row r="27" spans="3:17" s="276" customFormat="1" ht="10.15" customHeight="1" x14ac:dyDescent="0.2">
      <c r="C27" s="278">
        <v>43166</v>
      </c>
      <c r="D27" s="279" t="s">
        <v>357</v>
      </c>
      <c r="E27" s="280" t="s">
        <v>358</v>
      </c>
      <c r="F27" s="281"/>
      <c r="G27" s="281" t="s">
        <v>374</v>
      </c>
      <c r="H27" s="281" t="s">
        <v>375</v>
      </c>
      <c r="I27" s="281" t="s">
        <v>376</v>
      </c>
      <c r="J27" s="282"/>
      <c r="K27" s="282" t="s">
        <v>377</v>
      </c>
      <c r="L27" s="281"/>
      <c r="M27" s="281" t="s">
        <v>365</v>
      </c>
      <c r="N27" s="281" t="s">
        <v>381</v>
      </c>
      <c r="O27" s="283" t="s">
        <v>365</v>
      </c>
      <c r="P27" s="284"/>
      <c r="Q27" s="285">
        <v>9.8699999999999992</v>
      </c>
    </row>
    <row r="28" spans="3:17" s="276" customFormat="1" ht="10.15" customHeight="1" x14ac:dyDescent="0.2">
      <c r="C28" s="278">
        <v>43166</v>
      </c>
      <c r="D28" s="279" t="s">
        <v>357</v>
      </c>
      <c r="E28" s="280" t="s">
        <v>358</v>
      </c>
      <c r="F28" s="281"/>
      <c r="G28" s="281" t="s">
        <v>374</v>
      </c>
      <c r="H28" s="281" t="s">
        <v>375</v>
      </c>
      <c r="I28" s="281" t="s">
        <v>376</v>
      </c>
      <c r="J28" s="282"/>
      <c r="K28" s="282" t="s">
        <v>377</v>
      </c>
      <c r="L28" s="281"/>
      <c r="M28" s="281" t="s">
        <v>365</v>
      </c>
      <c r="N28" s="281" t="s">
        <v>382</v>
      </c>
      <c r="O28" s="283" t="s">
        <v>365</v>
      </c>
      <c r="P28" s="284"/>
      <c r="Q28" s="285">
        <v>18.96</v>
      </c>
    </row>
    <row r="29" spans="3:17" s="276" customFormat="1" ht="10.15" customHeight="1" x14ac:dyDescent="0.2">
      <c r="C29" s="278">
        <v>43166</v>
      </c>
      <c r="D29" s="279" t="s">
        <v>357</v>
      </c>
      <c r="E29" s="280" t="s">
        <v>358</v>
      </c>
      <c r="F29" s="281"/>
      <c r="G29" s="281" t="s">
        <v>374</v>
      </c>
      <c r="H29" s="281" t="s">
        <v>375</v>
      </c>
      <c r="I29" s="281" t="s">
        <v>376</v>
      </c>
      <c r="J29" s="282"/>
      <c r="K29" s="282" t="s">
        <v>377</v>
      </c>
      <c r="L29" s="281"/>
      <c r="M29" s="281" t="s">
        <v>369</v>
      </c>
      <c r="N29" s="281" t="s">
        <v>383</v>
      </c>
      <c r="O29" s="283" t="s">
        <v>371</v>
      </c>
      <c r="P29" s="284"/>
      <c r="Q29" s="285">
        <v>144.12</v>
      </c>
    </row>
    <row r="30" spans="3:17" s="276" customFormat="1" ht="18.399999999999999" customHeight="1" x14ac:dyDescent="0.2">
      <c r="C30" s="278">
        <v>43166</v>
      </c>
      <c r="D30" s="279" t="s">
        <v>357</v>
      </c>
      <c r="E30" s="280" t="s">
        <v>358</v>
      </c>
      <c r="F30" s="281"/>
      <c r="G30" s="281" t="s">
        <v>359</v>
      </c>
      <c r="H30" s="281" t="s">
        <v>360</v>
      </c>
      <c r="I30" s="281" t="s">
        <v>207</v>
      </c>
      <c r="J30" s="282"/>
      <c r="K30" s="282" t="s">
        <v>361</v>
      </c>
      <c r="L30" s="281"/>
      <c r="M30" s="281" t="s">
        <v>362</v>
      </c>
      <c r="N30" s="281" t="s">
        <v>363</v>
      </c>
      <c r="O30" s="283" t="s">
        <v>364</v>
      </c>
      <c r="P30" s="284">
        <v>6</v>
      </c>
      <c r="Q30" s="285">
        <v>347.6</v>
      </c>
    </row>
    <row r="31" spans="3:17" s="276" customFormat="1" ht="10.15" customHeight="1" x14ac:dyDescent="0.2">
      <c r="C31" s="278">
        <v>43166</v>
      </c>
      <c r="D31" s="279" t="s">
        <v>357</v>
      </c>
      <c r="E31" s="280" t="s">
        <v>358</v>
      </c>
      <c r="F31" s="281"/>
      <c r="G31" s="281" t="s">
        <v>359</v>
      </c>
      <c r="H31" s="281" t="s">
        <v>360</v>
      </c>
      <c r="I31" s="281" t="s">
        <v>207</v>
      </c>
      <c r="J31" s="282"/>
      <c r="K31" s="282" t="s">
        <v>361</v>
      </c>
      <c r="L31" s="281"/>
      <c r="M31" s="281" t="s">
        <v>365</v>
      </c>
      <c r="N31" s="281" t="s">
        <v>366</v>
      </c>
      <c r="O31" s="283" t="s">
        <v>365</v>
      </c>
      <c r="P31" s="284"/>
      <c r="Q31" s="285">
        <v>23.81</v>
      </c>
    </row>
    <row r="32" spans="3:17" s="276" customFormat="1" ht="10.15" customHeight="1" x14ac:dyDescent="0.2">
      <c r="C32" s="278">
        <v>43166</v>
      </c>
      <c r="D32" s="279" t="s">
        <v>357</v>
      </c>
      <c r="E32" s="280" t="s">
        <v>358</v>
      </c>
      <c r="F32" s="281"/>
      <c r="G32" s="281" t="s">
        <v>359</v>
      </c>
      <c r="H32" s="281" t="s">
        <v>360</v>
      </c>
      <c r="I32" s="281" t="s">
        <v>207</v>
      </c>
      <c r="J32" s="282"/>
      <c r="K32" s="282" t="s">
        <v>361</v>
      </c>
      <c r="L32" s="281"/>
      <c r="M32" s="281" t="s">
        <v>365</v>
      </c>
      <c r="N32" s="281" t="s">
        <v>368</v>
      </c>
      <c r="O32" s="283" t="s">
        <v>365</v>
      </c>
      <c r="P32" s="284"/>
      <c r="Q32" s="285">
        <v>4.3499999999999996</v>
      </c>
    </row>
    <row r="33" spans="3:17" s="276" customFormat="1" ht="18.399999999999999" customHeight="1" x14ac:dyDescent="0.2">
      <c r="C33" s="278">
        <v>43166</v>
      </c>
      <c r="D33" s="279" t="s">
        <v>357</v>
      </c>
      <c r="E33" s="280" t="s">
        <v>358</v>
      </c>
      <c r="F33" s="281"/>
      <c r="G33" s="281" t="s">
        <v>372</v>
      </c>
      <c r="H33" s="281" t="s">
        <v>373</v>
      </c>
      <c r="I33" s="281" t="s">
        <v>1</v>
      </c>
      <c r="J33" s="282"/>
      <c r="K33" s="282" t="s">
        <v>361</v>
      </c>
      <c r="L33" s="281"/>
      <c r="M33" s="281" t="s">
        <v>362</v>
      </c>
      <c r="N33" s="281" t="s">
        <v>363</v>
      </c>
      <c r="O33" s="283" t="s">
        <v>364</v>
      </c>
      <c r="P33" s="284">
        <v>6</v>
      </c>
      <c r="Q33" s="285">
        <v>347.61</v>
      </c>
    </row>
    <row r="34" spans="3:17" s="276" customFormat="1" ht="10.15" customHeight="1" x14ac:dyDescent="0.2">
      <c r="C34" s="278">
        <v>43166</v>
      </c>
      <c r="D34" s="279" t="s">
        <v>357</v>
      </c>
      <c r="E34" s="280" t="s">
        <v>358</v>
      </c>
      <c r="F34" s="281"/>
      <c r="G34" s="281" t="s">
        <v>372</v>
      </c>
      <c r="H34" s="281" t="s">
        <v>373</v>
      </c>
      <c r="I34" s="281" t="s">
        <v>1</v>
      </c>
      <c r="J34" s="282"/>
      <c r="K34" s="282" t="s">
        <v>361</v>
      </c>
      <c r="L34" s="281"/>
      <c r="M34" s="281" t="s">
        <v>365</v>
      </c>
      <c r="N34" s="281" t="s">
        <v>366</v>
      </c>
      <c r="O34" s="283" t="s">
        <v>365</v>
      </c>
      <c r="P34" s="284"/>
      <c r="Q34" s="285">
        <v>23.82</v>
      </c>
    </row>
    <row r="35" spans="3:17" s="276" customFormat="1" ht="10.15" customHeight="1" x14ac:dyDescent="0.2">
      <c r="C35" s="278">
        <v>43166</v>
      </c>
      <c r="D35" s="279" t="s">
        <v>357</v>
      </c>
      <c r="E35" s="280" t="s">
        <v>358</v>
      </c>
      <c r="F35" s="281"/>
      <c r="G35" s="281" t="s">
        <v>372</v>
      </c>
      <c r="H35" s="281" t="s">
        <v>373</v>
      </c>
      <c r="I35" s="281" t="s">
        <v>1</v>
      </c>
      <c r="J35" s="282"/>
      <c r="K35" s="282" t="s">
        <v>361</v>
      </c>
      <c r="L35" s="281"/>
      <c r="M35" s="281" t="s">
        <v>365</v>
      </c>
      <c r="N35" s="281" t="s">
        <v>368</v>
      </c>
      <c r="O35" s="283" t="s">
        <v>365</v>
      </c>
      <c r="P35" s="284"/>
      <c r="Q35" s="285">
        <v>4.3499999999999996</v>
      </c>
    </row>
    <row r="36" spans="3:17" s="276" customFormat="1" ht="18.399999999999999" customHeight="1" x14ac:dyDescent="0.2">
      <c r="C36" s="278">
        <v>43180</v>
      </c>
      <c r="D36" s="279" t="s">
        <v>357</v>
      </c>
      <c r="E36" s="280" t="s">
        <v>358</v>
      </c>
      <c r="F36" s="281"/>
      <c r="G36" s="281" t="s">
        <v>384</v>
      </c>
      <c r="H36" s="281" t="s">
        <v>385</v>
      </c>
      <c r="I36" s="281" t="s">
        <v>202</v>
      </c>
      <c r="J36" s="282"/>
      <c r="K36" s="282" t="s">
        <v>386</v>
      </c>
      <c r="L36" s="281"/>
      <c r="M36" s="281" t="s">
        <v>362</v>
      </c>
      <c r="N36" s="281" t="s">
        <v>378</v>
      </c>
      <c r="O36" s="283" t="s">
        <v>387</v>
      </c>
      <c r="P36" s="284">
        <v>5</v>
      </c>
      <c r="Q36" s="285">
        <v>226.4</v>
      </c>
    </row>
    <row r="37" spans="3:17" s="276" customFormat="1" ht="10.15" customHeight="1" x14ac:dyDescent="0.2">
      <c r="C37" s="278">
        <v>43180</v>
      </c>
      <c r="D37" s="279" t="s">
        <v>357</v>
      </c>
      <c r="E37" s="280" t="s">
        <v>358</v>
      </c>
      <c r="F37" s="281"/>
      <c r="G37" s="281" t="s">
        <v>384</v>
      </c>
      <c r="H37" s="281" t="s">
        <v>385</v>
      </c>
      <c r="I37" s="281" t="s">
        <v>202</v>
      </c>
      <c r="J37" s="282"/>
      <c r="K37" s="282" t="s">
        <v>386</v>
      </c>
      <c r="L37" s="281"/>
      <c r="M37" s="281" t="s">
        <v>365</v>
      </c>
      <c r="N37" s="281" t="s">
        <v>380</v>
      </c>
      <c r="O37" s="283" t="s">
        <v>365</v>
      </c>
      <c r="P37" s="284"/>
      <c r="Q37" s="285">
        <v>15.51</v>
      </c>
    </row>
    <row r="38" spans="3:17" s="276" customFormat="1" ht="10.15" customHeight="1" x14ac:dyDescent="0.2">
      <c r="C38" s="278">
        <v>43180</v>
      </c>
      <c r="D38" s="279" t="s">
        <v>357</v>
      </c>
      <c r="E38" s="280" t="s">
        <v>358</v>
      </c>
      <c r="F38" s="281"/>
      <c r="G38" s="281" t="s">
        <v>384</v>
      </c>
      <c r="H38" s="281" t="s">
        <v>385</v>
      </c>
      <c r="I38" s="281" t="s">
        <v>202</v>
      </c>
      <c r="J38" s="282"/>
      <c r="K38" s="282" t="s">
        <v>386</v>
      </c>
      <c r="L38" s="281"/>
      <c r="M38" s="281" t="s">
        <v>365</v>
      </c>
      <c r="N38" s="281" t="s">
        <v>381</v>
      </c>
      <c r="O38" s="283" t="s">
        <v>365</v>
      </c>
      <c r="P38" s="284"/>
      <c r="Q38" s="285">
        <v>1.47</v>
      </c>
    </row>
    <row r="39" spans="3:17" s="276" customFormat="1" ht="10.15" customHeight="1" x14ac:dyDescent="0.2">
      <c r="C39" s="278">
        <v>43180</v>
      </c>
      <c r="D39" s="279" t="s">
        <v>357</v>
      </c>
      <c r="E39" s="280" t="s">
        <v>358</v>
      </c>
      <c r="F39" s="281"/>
      <c r="G39" s="281" t="s">
        <v>384</v>
      </c>
      <c r="H39" s="281" t="s">
        <v>385</v>
      </c>
      <c r="I39" s="281" t="s">
        <v>202</v>
      </c>
      <c r="J39" s="282"/>
      <c r="K39" s="282" t="s">
        <v>386</v>
      </c>
      <c r="L39" s="281"/>
      <c r="M39" s="281" t="s">
        <v>365</v>
      </c>
      <c r="N39" s="281" t="s">
        <v>382</v>
      </c>
      <c r="O39" s="283" t="s">
        <v>365</v>
      </c>
      <c r="P39" s="284"/>
      <c r="Q39" s="285">
        <v>2.83</v>
      </c>
    </row>
    <row r="40" spans="3:17" s="276" customFormat="1" ht="10.15" customHeight="1" x14ac:dyDescent="0.2">
      <c r="C40" s="278">
        <v>43180</v>
      </c>
      <c r="D40" s="279" t="s">
        <v>357</v>
      </c>
      <c r="E40" s="280" t="s">
        <v>358</v>
      </c>
      <c r="F40" s="281"/>
      <c r="G40" s="281" t="s">
        <v>384</v>
      </c>
      <c r="H40" s="281" t="s">
        <v>385</v>
      </c>
      <c r="I40" s="281" t="s">
        <v>202</v>
      </c>
      <c r="J40" s="282"/>
      <c r="K40" s="282" t="s">
        <v>386</v>
      </c>
      <c r="L40" s="281"/>
      <c r="M40" s="281" t="s">
        <v>369</v>
      </c>
      <c r="N40" s="281" t="s">
        <v>383</v>
      </c>
      <c r="O40" s="283" t="s">
        <v>371</v>
      </c>
      <c r="P40" s="284"/>
      <c r="Q40" s="285">
        <v>21.51</v>
      </c>
    </row>
    <row r="41" spans="3:17" s="276" customFormat="1" ht="18.399999999999999" customHeight="1" x14ac:dyDescent="0.2">
      <c r="C41" s="278">
        <v>43180</v>
      </c>
      <c r="D41" s="279" t="s">
        <v>357</v>
      </c>
      <c r="E41" s="280" t="s">
        <v>358</v>
      </c>
      <c r="F41" s="281"/>
      <c r="G41" s="281" t="s">
        <v>388</v>
      </c>
      <c r="H41" s="281" t="s">
        <v>389</v>
      </c>
      <c r="I41" s="281" t="s">
        <v>9</v>
      </c>
      <c r="J41" s="282"/>
      <c r="K41" s="282" t="s">
        <v>386</v>
      </c>
      <c r="L41" s="281"/>
      <c r="M41" s="281" t="s">
        <v>362</v>
      </c>
      <c r="N41" s="281" t="s">
        <v>378</v>
      </c>
      <c r="O41" s="283" t="s">
        <v>387</v>
      </c>
      <c r="P41" s="284">
        <v>5</v>
      </c>
      <c r="Q41" s="285">
        <v>226.4</v>
      </c>
    </row>
    <row r="42" spans="3:17" s="276" customFormat="1" ht="10.15" customHeight="1" x14ac:dyDescent="0.2">
      <c r="C42" s="278">
        <v>43180</v>
      </c>
      <c r="D42" s="279" t="s">
        <v>357</v>
      </c>
      <c r="E42" s="280" t="s">
        <v>358</v>
      </c>
      <c r="F42" s="281"/>
      <c r="G42" s="281" t="s">
        <v>388</v>
      </c>
      <c r="H42" s="281" t="s">
        <v>389</v>
      </c>
      <c r="I42" s="281" t="s">
        <v>9</v>
      </c>
      <c r="J42" s="282"/>
      <c r="K42" s="282" t="s">
        <v>386</v>
      </c>
      <c r="L42" s="281"/>
      <c r="M42" s="281" t="s">
        <v>365</v>
      </c>
      <c r="N42" s="281" t="s">
        <v>380</v>
      </c>
      <c r="O42" s="283" t="s">
        <v>365</v>
      </c>
      <c r="P42" s="284"/>
      <c r="Q42" s="285">
        <v>15.51</v>
      </c>
    </row>
    <row r="43" spans="3:17" s="276" customFormat="1" ht="10.15" customHeight="1" x14ac:dyDescent="0.2">
      <c r="C43" s="278">
        <v>43180</v>
      </c>
      <c r="D43" s="279" t="s">
        <v>357</v>
      </c>
      <c r="E43" s="280" t="s">
        <v>358</v>
      </c>
      <c r="F43" s="281"/>
      <c r="G43" s="281" t="s">
        <v>388</v>
      </c>
      <c r="H43" s="281" t="s">
        <v>389</v>
      </c>
      <c r="I43" s="281" t="s">
        <v>9</v>
      </c>
      <c r="J43" s="282"/>
      <c r="K43" s="282" t="s">
        <v>386</v>
      </c>
      <c r="L43" s="281"/>
      <c r="M43" s="281" t="s">
        <v>365</v>
      </c>
      <c r="N43" s="281" t="s">
        <v>381</v>
      </c>
      <c r="O43" s="283" t="s">
        <v>365</v>
      </c>
      <c r="P43" s="284"/>
      <c r="Q43" s="285">
        <v>1.47</v>
      </c>
    </row>
    <row r="44" spans="3:17" s="276" customFormat="1" ht="10.15" customHeight="1" x14ac:dyDescent="0.2">
      <c r="C44" s="278">
        <v>43180</v>
      </c>
      <c r="D44" s="279" t="s">
        <v>357</v>
      </c>
      <c r="E44" s="280" t="s">
        <v>358</v>
      </c>
      <c r="F44" s="281"/>
      <c r="G44" s="281" t="s">
        <v>388</v>
      </c>
      <c r="H44" s="281" t="s">
        <v>389</v>
      </c>
      <c r="I44" s="281" t="s">
        <v>9</v>
      </c>
      <c r="J44" s="282"/>
      <c r="K44" s="282" t="s">
        <v>386</v>
      </c>
      <c r="L44" s="281"/>
      <c r="M44" s="281" t="s">
        <v>365</v>
      </c>
      <c r="N44" s="281" t="s">
        <v>382</v>
      </c>
      <c r="O44" s="283" t="s">
        <v>365</v>
      </c>
      <c r="P44" s="284"/>
      <c r="Q44" s="285">
        <v>2.83</v>
      </c>
    </row>
    <row r="45" spans="3:17" s="276" customFormat="1" ht="10.15" customHeight="1" x14ac:dyDescent="0.2">
      <c r="C45" s="278">
        <v>43180</v>
      </c>
      <c r="D45" s="279" t="s">
        <v>357</v>
      </c>
      <c r="E45" s="280" t="s">
        <v>358</v>
      </c>
      <c r="F45" s="281"/>
      <c r="G45" s="281" t="s">
        <v>388</v>
      </c>
      <c r="H45" s="281" t="s">
        <v>389</v>
      </c>
      <c r="I45" s="281" t="s">
        <v>9</v>
      </c>
      <c r="J45" s="282"/>
      <c r="K45" s="282" t="s">
        <v>386</v>
      </c>
      <c r="L45" s="281"/>
      <c r="M45" s="281" t="s">
        <v>369</v>
      </c>
      <c r="N45" s="281" t="s">
        <v>383</v>
      </c>
      <c r="O45" s="283" t="s">
        <v>371</v>
      </c>
      <c r="P45" s="284"/>
      <c r="Q45" s="285">
        <v>21.51</v>
      </c>
    </row>
    <row r="46" spans="3:17" s="276" customFormat="1" ht="18.399999999999999" customHeight="1" x14ac:dyDescent="0.2">
      <c r="C46" s="278">
        <v>43180</v>
      </c>
      <c r="D46" s="279" t="s">
        <v>357</v>
      </c>
      <c r="E46" s="280" t="s">
        <v>358</v>
      </c>
      <c r="F46" s="281"/>
      <c r="G46" s="281" t="s">
        <v>359</v>
      </c>
      <c r="H46" s="281" t="s">
        <v>360</v>
      </c>
      <c r="I46" s="281" t="s">
        <v>207</v>
      </c>
      <c r="J46" s="282"/>
      <c r="K46" s="282" t="s">
        <v>361</v>
      </c>
      <c r="L46" s="281"/>
      <c r="M46" s="281" t="s">
        <v>362</v>
      </c>
      <c r="N46" s="281" t="s">
        <v>363</v>
      </c>
      <c r="O46" s="283" t="s">
        <v>364</v>
      </c>
      <c r="P46" s="284">
        <v>1</v>
      </c>
      <c r="Q46" s="285">
        <v>57.93</v>
      </c>
    </row>
    <row r="47" spans="3:17" s="276" customFormat="1" ht="10.15" customHeight="1" x14ac:dyDescent="0.2">
      <c r="C47" s="278">
        <v>43180</v>
      </c>
      <c r="D47" s="279" t="s">
        <v>357</v>
      </c>
      <c r="E47" s="280" t="s">
        <v>358</v>
      </c>
      <c r="F47" s="281"/>
      <c r="G47" s="281" t="s">
        <v>359</v>
      </c>
      <c r="H47" s="281" t="s">
        <v>360</v>
      </c>
      <c r="I47" s="281" t="s">
        <v>207</v>
      </c>
      <c r="J47" s="282"/>
      <c r="K47" s="282" t="s">
        <v>361</v>
      </c>
      <c r="L47" s="281"/>
      <c r="M47" s="281" t="s">
        <v>365</v>
      </c>
      <c r="N47" s="281" t="s">
        <v>366</v>
      </c>
      <c r="O47" s="283" t="s">
        <v>365</v>
      </c>
      <c r="P47" s="284"/>
      <c r="Q47" s="285">
        <v>3.97</v>
      </c>
    </row>
    <row r="48" spans="3:17" s="276" customFormat="1" ht="10.15" customHeight="1" x14ac:dyDescent="0.2">
      <c r="C48" s="278">
        <v>43180</v>
      </c>
      <c r="D48" s="279" t="s">
        <v>357</v>
      </c>
      <c r="E48" s="280" t="s">
        <v>358</v>
      </c>
      <c r="F48" s="281"/>
      <c r="G48" s="281" t="s">
        <v>359</v>
      </c>
      <c r="H48" s="281" t="s">
        <v>360</v>
      </c>
      <c r="I48" s="281" t="s">
        <v>207</v>
      </c>
      <c r="J48" s="282"/>
      <c r="K48" s="282" t="s">
        <v>361</v>
      </c>
      <c r="L48" s="281"/>
      <c r="M48" s="281" t="s">
        <v>365</v>
      </c>
      <c r="N48" s="281" t="s">
        <v>368</v>
      </c>
      <c r="O48" s="283" t="s">
        <v>365</v>
      </c>
      <c r="P48" s="284"/>
      <c r="Q48" s="285">
        <v>0.72</v>
      </c>
    </row>
    <row r="49" spans="3:17" s="276" customFormat="1" ht="18.399999999999999" customHeight="1" x14ac:dyDescent="0.2">
      <c r="C49" s="278">
        <v>43180</v>
      </c>
      <c r="D49" s="279" t="s">
        <v>357</v>
      </c>
      <c r="E49" s="280" t="s">
        <v>358</v>
      </c>
      <c r="F49" s="281"/>
      <c r="G49" s="281" t="s">
        <v>372</v>
      </c>
      <c r="H49" s="281" t="s">
        <v>373</v>
      </c>
      <c r="I49" s="281" t="s">
        <v>1</v>
      </c>
      <c r="J49" s="282"/>
      <c r="K49" s="282" t="s">
        <v>361</v>
      </c>
      <c r="L49" s="281"/>
      <c r="M49" s="281" t="s">
        <v>362</v>
      </c>
      <c r="N49" s="281" t="s">
        <v>363</v>
      </c>
      <c r="O49" s="283" t="s">
        <v>364</v>
      </c>
      <c r="P49" s="284">
        <v>4</v>
      </c>
      <c r="Q49" s="285">
        <v>231.74</v>
      </c>
    </row>
    <row r="50" spans="3:17" s="276" customFormat="1" ht="10.15" customHeight="1" x14ac:dyDescent="0.2">
      <c r="C50" s="278">
        <v>43180</v>
      </c>
      <c r="D50" s="279" t="s">
        <v>357</v>
      </c>
      <c r="E50" s="280" t="s">
        <v>358</v>
      </c>
      <c r="F50" s="281"/>
      <c r="G50" s="281" t="s">
        <v>372</v>
      </c>
      <c r="H50" s="281" t="s">
        <v>373</v>
      </c>
      <c r="I50" s="281" t="s">
        <v>1</v>
      </c>
      <c r="J50" s="282"/>
      <c r="K50" s="282" t="s">
        <v>361</v>
      </c>
      <c r="L50" s="281"/>
      <c r="M50" s="281" t="s">
        <v>365</v>
      </c>
      <c r="N50" s="281" t="s">
        <v>366</v>
      </c>
      <c r="O50" s="283" t="s">
        <v>365</v>
      </c>
      <c r="P50" s="284"/>
      <c r="Q50" s="285">
        <v>15.88</v>
      </c>
    </row>
    <row r="51" spans="3:17" s="276" customFormat="1" ht="10.15" customHeight="1" x14ac:dyDescent="0.2">
      <c r="C51" s="278">
        <v>43180</v>
      </c>
      <c r="D51" s="279" t="s">
        <v>357</v>
      </c>
      <c r="E51" s="280" t="s">
        <v>358</v>
      </c>
      <c r="F51" s="281"/>
      <c r="G51" s="281" t="s">
        <v>372</v>
      </c>
      <c r="H51" s="281" t="s">
        <v>373</v>
      </c>
      <c r="I51" s="281" t="s">
        <v>1</v>
      </c>
      <c r="J51" s="282"/>
      <c r="K51" s="282" t="s">
        <v>361</v>
      </c>
      <c r="L51" s="281"/>
      <c r="M51" s="281" t="s">
        <v>365</v>
      </c>
      <c r="N51" s="281" t="s">
        <v>367</v>
      </c>
      <c r="O51" s="283" t="s">
        <v>365</v>
      </c>
      <c r="P51" s="284"/>
      <c r="Q51" s="285">
        <v>3.77</v>
      </c>
    </row>
    <row r="52" spans="3:17" s="276" customFormat="1" ht="10.15" customHeight="1" x14ac:dyDescent="0.2">
      <c r="C52" s="278">
        <v>43180</v>
      </c>
      <c r="D52" s="279" t="s">
        <v>357</v>
      </c>
      <c r="E52" s="280" t="s">
        <v>358</v>
      </c>
      <c r="F52" s="281"/>
      <c r="G52" s="281" t="s">
        <v>372</v>
      </c>
      <c r="H52" s="281" t="s">
        <v>373</v>
      </c>
      <c r="I52" s="281" t="s">
        <v>1</v>
      </c>
      <c r="J52" s="282"/>
      <c r="K52" s="282" t="s">
        <v>361</v>
      </c>
      <c r="L52" s="281"/>
      <c r="M52" s="281" t="s">
        <v>365</v>
      </c>
      <c r="N52" s="281" t="s">
        <v>368</v>
      </c>
      <c r="O52" s="283" t="s">
        <v>365</v>
      </c>
      <c r="P52" s="284"/>
      <c r="Q52" s="285">
        <v>2.9</v>
      </c>
    </row>
    <row r="53" spans="3:17" s="276" customFormat="1" ht="10.15" customHeight="1" x14ac:dyDescent="0.2">
      <c r="C53" s="278">
        <v>43180</v>
      </c>
      <c r="D53" s="279" t="s">
        <v>357</v>
      </c>
      <c r="E53" s="280" t="s">
        <v>358</v>
      </c>
      <c r="F53" s="281"/>
      <c r="G53" s="281" t="s">
        <v>372</v>
      </c>
      <c r="H53" s="281" t="s">
        <v>373</v>
      </c>
      <c r="I53" s="281" t="s">
        <v>1</v>
      </c>
      <c r="J53" s="282"/>
      <c r="K53" s="282" t="s">
        <v>361</v>
      </c>
      <c r="L53" s="281"/>
      <c r="M53" s="281" t="s">
        <v>369</v>
      </c>
      <c r="N53" s="281" t="s">
        <v>370</v>
      </c>
      <c r="O53" s="283" t="s">
        <v>371</v>
      </c>
      <c r="P53" s="284"/>
      <c r="Q53" s="285">
        <v>55.04</v>
      </c>
    </row>
    <row r="54" spans="3:17" s="276" customFormat="1" ht="18.399999999999999" customHeight="1" x14ac:dyDescent="0.2">
      <c r="C54" s="278">
        <v>43194</v>
      </c>
      <c r="D54" s="279" t="s">
        <v>357</v>
      </c>
      <c r="E54" s="280" t="s">
        <v>358</v>
      </c>
      <c r="F54" s="281"/>
      <c r="G54" s="281" t="s">
        <v>384</v>
      </c>
      <c r="H54" s="281" t="s">
        <v>385</v>
      </c>
      <c r="I54" s="281" t="s">
        <v>202</v>
      </c>
      <c r="J54" s="282"/>
      <c r="K54" s="282" t="s">
        <v>386</v>
      </c>
      <c r="L54" s="281"/>
      <c r="M54" s="281" t="s">
        <v>362</v>
      </c>
      <c r="N54" s="281" t="s">
        <v>378</v>
      </c>
      <c r="O54" s="283" t="s">
        <v>387</v>
      </c>
      <c r="P54" s="284">
        <v>5</v>
      </c>
      <c r="Q54" s="285">
        <v>226.4</v>
      </c>
    </row>
    <row r="55" spans="3:17" s="276" customFormat="1" ht="10.15" customHeight="1" x14ac:dyDescent="0.2">
      <c r="C55" s="278">
        <v>43194</v>
      </c>
      <c r="D55" s="279" t="s">
        <v>357</v>
      </c>
      <c r="E55" s="280" t="s">
        <v>358</v>
      </c>
      <c r="F55" s="281"/>
      <c r="G55" s="281" t="s">
        <v>384</v>
      </c>
      <c r="H55" s="281" t="s">
        <v>385</v>
      </c>
      <c r="I55" s="281" t="s">
        <v>202</v>
      </c>
      <c r="J55" s="282"/>
      <c r="K55" s="282" t="s">
        <v>386</v>
      </c>
      <c r="L55" s="281"/>
      <c r="M55" s="281" t="s">
        <v>365</v>
      </c>
      <c r="N55" s="281" t="s">
        <v>380</v>
      </c>
      <c r="O55" s="283" t="s">
        <v>365</v>
      </c>
      <c r="P55" s="284"/>
      <c r="Q55" s="285">
        <v>15.51</v>
      </c>
    </row>
    <row r="56" spans="3:17" s="276" customFormat="1" ht="10.15" customHeight="1" x14ac:dyDescent="0.2">
      <c r="C56" s="278">
        <v>43194</v>
      </c>
      <c r="D56" s="279" t="s">
        <v>357</v>
      </c>
      <c r="E56" s="280" t="s">
        <v>358</v>
      </c>
      <c r="F56" s="281"/>
      <c r="G56" s="281" t="s">
        <v>384</v>
      </c>
      <c r="H56" s="281" t="s">
        <v>385</v>
      </c>
      <c r="I56" s="281" t="s">
        <v>202</v>
      </c>
      <c r="J56" s="282"/>
      <c r="K56" s="282" t="s">
        <v>386</v>
      </c>
      <c r="L56" s="281"/>
      <c r="M56" s="281" t="s">
        <v>365</v>
      </c>
      <c r="N56" s="281" t="s">
        <v>382</v>
      </c>
      <c r="O56" s="283" t="s">
        <v>365</v>
      </c>
      <c r="P56" s="284"/>
      <c r="Q56" s="285">
        <v>2.83</v>
      </c>
    </row>
    <row r="57" spans="3:17" s="276" customFormat="1" ht="18.399999999999999" customHeight="1" x14ac:dyDescent="0.2">
      <c r="C57" s="278">
        <v>43194</v>
      </c>
      <c r="D57" s="279" t="s">
        <v>357</v>
      </c>
      <c r="E57" s="280" t="s">
        <v>358</v>
      </c>
      <c r="F57" s="281"/>
      <c r="G57" s="281" t="s">
        <v>388</v>
      </c>
      <c r="H57" s="281" t="s">
        <v>389</v>
      </c>
      <c r="I57" s="281" t="s">
        <v>9</v>
      </c>
      <c r="J57" s="282"/>
      <c r="K57" s="282" t="s">
        <v>386</v>
      </c>
      <c r="L57" s="281"/>
      <c r="M57" s="281" t="s">
        <v>362</v>
      </c>
      <c r="N57" s="281" t="s">
        <v>378</v>
      </c>
      <c r="O57" s="283" t="s">
        <v>387</v>
      </c>
      <c r="P57" s="284">
        <v>5</v>
      </c>
      <c r="Q57" s="285">
        <v>226.4</v>
      </c>
    </row>
    <row r="58" spans="3:17" s="276" customFormat="1" ht="10.15" customHeight="1" x14ac:dyDescent="0.2">
      <c r="C58" s="278">
        <v>43194</v>
      </c>
      <c r="D58" s="279" t="s">
        <v>357</v>
      </c>
      <c r="E58" s="280" t="s">
        <v>358</v>
      </c>
      <c r="F58" s="281"/>
      <c r="G58" s="281" t="s">
        <v>388</v>
      </c>
      <c r="H58" s="281" t="s">
        <v>389</v>
      </c>
      <c r="I58" s="281" t="s">
        <v>9</v>
      </c>
      <c r="J58" s="282"/>
      <c r="K58" s="282" t="s">
        <v>386</v>
      </c>
      <c r="L58" s="281"/>
      <c r="M58" s="281" t="s">
        <v>365</v>
      </c>
      <c r="N58" s="281" t="s">
        <v>380</v>
      </c>
      <c r="O58" s="283" t="s">
        <v>365</v>
      </c>
      <c r="P58" s="284"/>
      <c r="Q58" s="285">
        <v>15.51</v>
      </c>
    </row>
    <row r="59" spans="3:17" s="276" customFormat="1" ht="10.15" customHeight="1" x14ac:dyDescent="0.2">
      <c r="C59" s="278">
        <v>43194</v>
      </c>
      <c r="D59" s="279" t="s">
        <v>357</v>
      </c>
      <c r="E59" s="280" t="s">
        <v>358</v>
      </c>
      <c r="F59" s="281"/>
      <c r="G59" s="281" t="s">
        <v>388</v>
      </c>
      <c r="H59" s="281" t="s">
        <v>389</v>
      </c>
      <c r="I59" s="281" t="s">
        <v>9</v>
      </c>
      <c r="J59" s="282"/>
      <c r="K59" s="282" t="s">
        <v>386</v>
      </c>
      <c r="L59" s="281"/>
      <c r="M59" s="281" t="s">
        <v>365</v>
      </c>
      <c r="N59" s="281" t="s">
        <v>381</v>
      </c>
      <c r="O59" s="283" t="s">
        <v>365</v>
      </c>
      <c r="P59" s="284"/>
      <c r="Q59" s="285">
        <v>1.47</v>
      </c>
    </row>
    <row r="60" spans="3:17" s="276" customFormat="1" ht="10.15" customHeight="1" x14ac:dyDescent="0.2">
      <c r="C60" s="278">
        <v>43194</v>
      </c>
      <c r="D60" s="279" t="s">
        <v>357</v>
      </c>
      <c r="E60" s="280" t="s">
        <v>358</v>
      </c>
      <c r="F60" s="281"/>
      <c r="G60" s="281" t="s">
        <v>388</v>
      </c>
      <c r="H60" s="281" t="s">
        <v>389</v>
      </c>
      <c r="I60" s="281" t="s">
        <v>9</v>
      </c>
      <c r="J60" s="282"/>
      <c r="K60" s="282" t="s">
        <v>386</v>
      </c>
      <c r="L60" s="281"/>
      <c r="M60" s="281" t="s">
        <v>365</v>
      </c>
      <c r="N60" s="281" t="s">
        <v>382</v>
      </c>
      <c r="O60" s="283" t="s">
        <v>365</v>
      </c>
      <c r="P60" s="284"/>
      <c r="Q60" s="285">
        <v>2.83</v>
      </c>
    </row>
    <row r="61" spans="3:17" s="276" customFormat="1" ht="10.15" customHeight="1" x14ac:dyDescent="0.2">
      <c r="C61" s="278">
        <v>43194</v>
      </c>
      <c r="D61" s="279" t="s">
        <v>357</v>
      </c>
      <c r="E61" s="280" t="s">
        <v>358</v>
      </c>
      <c r="F61" s="281"/>
      <c r="G61" s="281" t="s">
        <v>388</v>
      </c>
      <c r="H61" s="281" t="s">
        <v>389</v>
      </c>
      <c r="I61" s="281" t="s">
        <v>9</v>
      </c>
      <c r="J61" s="282"/>
      <c r="K61" s="282" t="s">
        <v>386</v>
      </c>
      <c r="L61" s="281"/>
      <c r="M61" s="281" t="s">
        <v>369</v>
      </c>
      <c r="N61" s="281" t="s">
        <v>383</v>
      </c>
      <c r="O61" s="283" t="s">
        <v>371</v>
      </c>
      <c r="P61" s="284"/>
      <c r="Q61" s="285">
        <v>21.51</v>
      </c>
    </row>
    <row r="62" spans="3:17" s="276" customFormat="1" ht="18.399999999999999" customHeight="1" x14ac:dyDescent="0.2">
      <c r="C62" s="278">
        <v>43194</v>
      </c>
      <c r="D62" s="279" t="s">
        <v>357</v>
      </c>
      <c r="E62" s="280" t="s">
        <v>358</v>
      </c>
      <c r="F62" s="281"/>
      <c r="G62" s="281" t="s">
        <v>372</v>
      </c>
      <c r="H62" s="281" t="s">
        <v>373</v>
      </c>
      <c r="I62" s="281" t="s">
        <v>1</v>
      </c>
      <c r="J62" s="282"/>
      <c r="K62" s="282" t="s">
        <v>361</v>
      </c>
      <c r="L62" s="281"/>
      <c r="M62" s="281" t="s">
        <v>362</v>
      </c>
      <c r="N62" s="281" t="s">
        <v>363</v>
      </c>
      <c r="O62" s="283" t="s">
        <v>364</v>
      </c>
      <c r="P62" s="284">
        <v>5</v>
      </c>
      <c r="Q62" s="285">
        <v>289.67</v>
      </c>
    </row>
    <row r="63" spans="3:17" s="276" customFormat="1" ht="10.15" customHeight="1" x14ac:dyDescent="0.2">
      <c r="C63" s="278">
        <v>43194</v>
      </c>
      <c r="D63" s="279" t="s">
        <v>357</v>
      </c>
      <c r="E63" s="280" t="s">
        <v>358</v>
      </c>
      <c r="F63" s="281"/>
      <c r="G63" s="281" t="s">
        <v>372</v>
      </c>
      <c r="H63" s="281" t="s">
        <v>373</v>
      </c>
      <c r="I63" s="281" t="s">
        <v>1</v>
      </c>
      <c r="J63" s="282"/>
      <c r="K63" s="282" t="s">
        <v>361</v>
      </c>
      <c r="L63" s="281"/>
      <c r="M63" s="281" t="s">
        <v>365</v>
      </c>
      <c r="N63" s="281" t="s">
        <v>366</v>
      </c>
      <c r="O63" s="283" t="s">
        <v>365</v>
      </c>
      <c r="P63" s="284"/>
      <c r="Q63" s="285">
        <v>19.850000000000001</v>
      </c>
    </row>
    <row r="64" spans="3:17" s="276" customFormat="1" ht="10.15" customHeight="1" x14ac:dyDescent="0.2">
      <c r="C64" s="278">
        <v>43194</v>
      </c>
      <c r="D64" s="279" t="s">
        <v>357</v>
      </c>
      <c r="E64" s="280" t="s">
        <v>358</v>
      </c>
      <c r="F64" s="281"/>
      <c r="G64" s="281" t="s">
        <v>372</v>
      </c>
      <c r="H64" s="281" t="s">
        <v>373</v>
      </c>
      <c r="I64" s="281" t="s">
        <v>1</v>
      </c>
      <c r="J64" s="282"/>
      <c r="K64" s="282" t="s">
        <v>361</v>
      </c>
      <c r="L64" s="281"/>
      <c r="M64" s="281" t="s">
        <v>365</v>
      </c>
      <c r="N64" s="281" t="s">
        <v>367</v>
      </c>
      <c r="O64" s="283" t="s">
        <v>365</v>
      </c>
      <c r="P64" s="284"/>
      <c r="Q64" s="285">
        <v>0</v>
      </c>
    </row>
    <row r="65" spans="3:17" s="276" customFormat="1" ht="10.15" customHeight="1" x14ac:dyDescent="0.2">
      <c r="C65" s="278">
        <v>43194</v>
      </c>
      <c r="D65" s="279" t="s">
        <v>357</v>
      </c>
      <c r="E65" s="280" t="s">
        <v>358</v>
      </c>
      <c r="F65" s="281"/>
      <c r="G65" s="281" t="s">
        <v>372</v>
      </c>
      <c r="H65" s="281" t="s">
        <v>373</v>
      </c>
      <c r="I65" s="281" t="s">
        <v>1</v>
      </c>
      <c r="J65" s="282"/>
      <c r="K65" s="282" t="s">
        <v>361</v>
      </c>
      <c r="L65" s="281"/>
      <c r="M65" s="281" t="s">
        <v>365</v>
      </c>
      <c r="N65" s="281" t="s">
        <v>368</v>
      </c>
      <c r="O65" s="283" t="s">
        <v>365</v>
      </c>
      <c r="P65" s="284"/>
      <c r="Q65" s="285">
        <v>3.62</v>
      </c>
    </row>
    <row r="66" spans="3:17" s="276" customFormat="1" ht="10.15" customHeight="1" x14ac:dyDescent="0.2">
      <c r="C66" s="278">
        <v>43194</v>
      </c>
      <c r="D66" s="279" t="s">
        <v>357</v>
      </c>
      <c r="E66" s="280" t="s">
        <v>358</v>
      </c>
      <c r="F66" s="281"/>
      <c r="G66" s="281" t="s">
        <v>372</v>
      </c>
      <c r="H66" s="281" t="s">
        <v>373</v>
      </c>
      <c r="I66" s="281" t="s">
        <v>1</v>
      </c>
      <c r="J66" s="282"/>
      <c r="K66" s="282" t="s">
        <v>361</v>
      </c>
      <c r="L66" s="281"/>
      <c r="M66" s="281" t="s">
        <v>369</v>
      </c>
      <c r="N66" s="281" t="s">
        <v>370</v>
      </c>
      <c r="O66" s="283" t="s">
        <v>371</v>
      </c>
      <c r="P66" s="284"/>
      <c r="Q66" s="285">
        <v>0</v>
      </c>
    </row>
    <row r="67" spans="3:17" s="276" customFormat="1" ht="10.15" customHeight="1" x14ac:dyDescent="0.2">
      <c r="C67" s="278">
        <v>43208</v>
      </c>
      <c r="D67" s="279" t="s">
        <v>357</v>
      </c>
      <c r="E67" s="280" t="s">
        <v>358</v>
      </c>
      <c r="F67" s="281"/>
      <c r="G67" s="281" t="s">
        <v>384</v>
      </c>
      <c r="H67" s="281" t="s">
        <v>385</v>
      </c>
      <c r="I67" s="281" t="s">
        <v>202</v>
      </c>
      <c r="J67" s="282"/>
      <c r="K67" s="282" t="s">
        <v>386</v>
      </c>
      <c r="L67" s="281"/>
      <c r="M67" s="281" t="s">
        <v>365</v>
      </c>
      <c r="N67" s="281" t="s">
        <v>381</v>
      </c>
      <c r="O67" s="283" t="s">
        <v>365</v>
      </c>
      <c r="P67" s="284"/>
      <c r="Q67" s="285">
        <v>1.47</v>
      </c>
    </row>
    <row r="68" spans="3:17" s="276" customFormat="1" ht="10.15" customHeight="1" x14ac:dyDescent="0.2">
      <c r="C68" s="278">
        <v>43208</v>
      </c>
      <c r="D68" s="279" t="s">
        <v>357</v>
      </c>
      <c r="E68" s="280" t="s">
        <v>358</v>
      </c>
      <c r="F68" s="281"/>
      <c r="G68" s="281" t="s">
        <v>384</v>
      </c>
      <c r="H68" s="281" t="s">
        <v>385</v>
      </c>
      <c r="I68" s="281" t="s">
        <v>202</v>
      </c>
      <c r="J68" s="282"/>
      <c r="K68" s="282" t="s">
        <v>386</v>
      </c>
      <c r="L68" s="281"/>
      <c r="M68" s="281" t="s">
        <v>369</v>
      </c>
      <c r="N68" s="281" t="s">
        <v>383</v>
      </c>
      <c r="O68" s="283" t="s">
        <v>371</v>
      </c>
      <c r="P68" s="284"/>
      <c r="Q68" s="285">
        <v>21.51</v>
      </c>
    </row>
    <row r="69" spans="3:17" s="276" customFormat="1" ht="10.15" customHeight="1" x14ac:dyDescent="0.2">
      <c r="C69" s="278">
        <v>43208</v>
      </c>
      <c r="D69" s="279" t="s">
        <v>357</v>
      </c>
      <c r="E69" s="280" t="s">
        <v>358</v>
      </c>
      <c r="F69" s="281"/>
      <c r="G69" s="281" t="s">
        <v>372</v>
      </c>
      <c r="H69" s="281" t="s">
        <v>373</v>
      </c>
      <c r="I69" s="281" t="s">
        <v>1</v>
      </c>
      <c r="J69" s="282"/>
      <c r="K69" s="282" t="s">
        <v>361</v>
      </c>
      <c r="L69" s="281"/>
      <c r="M69" s="281" t="s">
        <v>365</v>
      </c>
      <c r="N69" s="281" t="s">
        <v>367</v>
      </c>
      <c r="O69" s="283" t="s">
        <v>365</v>
      </c>
      <c r="P69" s="284"/>
      <c r="Q69" s="285">
        <v>0</v>
      </c>
    </row>
    <row r="70" spans="3:17" s="276" customFormat="1" ht="10.15" customHeight="1" x14ac:dyDescent="0.2">
      <c r="C70" s="278">
        <v>43208</v>
      </c>
      <c r="D70" s="279" t="s">
        <v>357</v>
      </c>
      <c r="E70" s="280" t="s">
        <v>358</v>
      </c>
      <c r="F70" s="281"/>
      <c r="G70" s="281" t="s">
        <v>372</v>
      </c>
      <c r="H70" s="281" t="s">
        <v>373</v>
      </c>
      <c r="I70" s="281" t="s">
        <v>1</v>
      </c>
      <c r="J70" s="282"/>
      <c r="K70" s="282" t="s">
        <v>361</v>
      </c>
      <c r="L70" s="281"/>
      <c r="M70" s="281" t="s">
        <v>369</v>
      </c>
      <c r="N70" s="281" t="s">
        <v>370</v>
      </c>
      <c r="O70" s="283" t="s">
        <v>371</v>
      </c>
      <c r="P70" s="284"/>
      <c r="Q70" s="285">
        <v>0</v>
      </c>
    </row>
    <row r="71" spans="3:17" s="276" customFormat="1" ht="18.399999999999999" customHeight="1" x14ac:dyDescent="0.2">
      <c r="C71" s="278">
        <v>43222</v>
      </c>
      <c r="D71" s="279" t="s">
        <v>357</v>
      </c>
      <c r="E71" s="280" t="s">
        <v>358</v>
      </c>
      <c r="F71" s="281"/>
      <c r="G71" s="281" t="s">
        <v>384</v>
      </c>
      <c r="H71" s="281" t="s">
        <v>385</v>
      </c>
      <c r="I71" s="281" t="s">
        <v>202</v>
      </c>
      <c r="J71" s="282"/>
      <c r="K71" s="282" t="s">
        <v>386</v>
      </c>
      <c r="L71" s="281"/>
      <c r="M71" s="281" t="s">
        <v>362</v>
      </c>
      <c r="N71" s="281" t="s">
        <v>378</v>
      </c>
      <c r="O71" s="283" t="s">
        <v>387</v>
      </c>
      <c r="P71" s="284">
        <v>10</v>
      </c>
      <c r="Q71" s="285">
        <v>452.78</v>
      </c>
    </row>
    <row r="72" spans="3:17" s="276" customFormat="1" ht="10.15" customHeight="1" x14ac:dyDescent="0.2">
      <c r="C72" s="278">
        <v>43222</v>
      </c>
      <c r="D72" s="279" t="s">
        <v>357</v>
      </c>
      <c r="E72" s="280" t="s">
        <v>358</v>
      </c>
      <c r="F72" s="281"/>
      <c r="G72" s="281" t="s">
        <v>384</v>
      </c>
      <c r="H72" s="281" t="s">
        <v>385</v>
      </c>
      <c r="I72" s="281" t="s">
        <v>202</v>
      </c>
      <c r="J72" s="282"/>
      <c r="K72" s="282" t="s">
        <v>386</v>
      </c>
      <c r="L72" s="281"/>
      <c r="M72" s="281" t="s">
        <v>365</v>
      </c>
      <c r="N72" s="281" t="s">
        <v>380</v>
      </c>
      <c r="O72" s="283" t="s">
        <v>365</v>
      </c>
      <c r="P72" s="284"/>
      <c r="Q72" s="285">
        <v>31.02</v>
      </c>
    </row>
    <row r="73" spans="3:17" s="276" customFormat="1" ht="10.15" customHeight="1" x14ac:dyDescent="0.2">
      <c r="C73" s="278">
        <v>43222</v>
      </c>
      <c r="D73" s="279" t="s">
        <v>357</v>
      </c>
      <c r="E73" s="280" t="s">
        <v>358</v>
      </c>
      <c r="F73" s="281"/>
      <c r="G73" s="281" t="s">
        <v>384</v>
      </c>
      <c r="H73" s="281" t="s">
        <v>385</v>
      </c>
      <c r="I73" s="281" t="s">
        <v>202</v>
      </c>
      <c r="J73" s="282"/>
      <c r="K73" s="282" t="s">
        <v>386</v>
      </c>
      <c r="L73" s="281"/>
      <c r="M73" s="281" t="s">
        <v>365</v>
      </c>
      <c r="N73" s="281" t="s">
        <v>381</v>
      </c>
      <c r="O73" s="283" t="s">
        <v>365</v>
      </c>
      <c r="P73" s="284"/>
      <c r="Q73" s="285">
        <v>2.95</v>
      </c>
    </row>
    <row r="74" spans="3:17" s="276" customFormat="1" ht="10.15" customHeight="1" x14ac:dyDescent="0.2">
      <c r="C74" s="278">
        <v>43222</v>
      </c>
      <c r="D74" s="279" t="s">
        <v>357</v>
      </c>
      <c r="E74" s="280" t="s">
        <v>358</v>
      </c>
      <c r="F74" s="281"/>
      <c r="G74" s="281" t="s">
        <v>384</v>
      </c>
      <c r="H74" s="281" t="s">
        <v>385</v>
      </c>
      <c r="I74" s="281" t="s">
        <v>202</v>
      </c>
      <c r="J74" s="282"/>
      <c r="K74" s="282" t="s">
        <v>386</v>
      </c>
      <c r="L74" s="281"/>
      <c r="M74" s="281" t="s">
        <v>365</v>
      </c>
      <c r="N74" s="281" t="s">
        <v>382</v>
      </c>
      <c r="O74" s="283" t="s">
        <v>365</v>
      </c>
      <c r="P74" s="284"/>
      <c r="Q74" s="285">
        <v>5.66</v>
      </c>
    </row>
    <row r="75" spans="3:17" s="276" customFormat="1" ht="10.15" customHeight="1" x14ac:dyDescent="0.2">
      <c r="C75" s="278">
        <v>43222</v>
      </c>
      <c r="D75" s="279" t="s">
        <v>357</v>
      </c>
      <c r="E75" s="280" t="s">
        <v>358</v>
      </c>
      <c r="F75" s="281"/>
      <c r="G75" s="281" t="s">
        <v>384</v>
      </c>
      <c r="H75" s="281" t="s">
        <v>385</v>
      </c>
      <c r="I75" s="281" t="s">
        <v>202</v>
      </c>
      <c r="J75" s="282"/>
      <c r="K75" s="282" t="s">
        <v>386</v>
      </c>
      <c r="L75" s="281"/>
      <c r="M75" s="281" t="s">
        <v>369</v>
      </c>
      <c r="N75" s="281" t="s">
        <v>383</v>
      </c>
      <c r="O75" s="283" t="s">
        <v>371</v>
      </c>
      <c r="P75" s="284"/>
      <c r="Q75" s="285">
        <v>43.01</v>
      </c>
    </row>
    <row r="76" spans="3:17" s="276" customFormat="1" ht="18.399999999999999" customHeight="1" x14ac:dyDescent="0.2">
      <c r="C76" s="278">
        <v>43222</v>
      </c>
      <c r="D76" s="279" t="s">
        <v>357</v>
      </c>
      <c r="E76" s="280" t="s">
        <v>358</v>
      </c>
      <c r="F76" s="281"/>
      <c r="G76" s="281" t="s">
        <v>388</v>
      </c>
      <c r="H76" s="281" t="s">
        <v>389</v>
      </c>
      <c r="I76" s="281" t="s">
        <v>9</v>
      </c>
      <c r="J76" s="282"/>
      <c r="K76" s="282" t="s">
        <v>386</v>
      </c>
      <c r="L76" s="281"/>
      <c r="M76" s="281" t="s">
        <v>362</v>
      </c>
      <c r="N76" s="281" t="s">
        <v>378</v>
      </c>
      <c r="O76" s="283" t="s">
        <v>387</v>
      </c>
      <c r="P76" s="284">
        <v>18</v>
      </c>
      <c r="Q76" s="285">
        <v>815.01</v>
      </c>
    </row>
    <row r="77" spans="3:17" s="276" customFormat="1" ht="10.15" customHeight="1" x14ac:dyDescent="0.2">
      <c r="C77" s="278">
        <v>43222</v>
      </c>
      <c r="D77" s="279" t="s">
        <v>357</v>
      </c>
      <c r="E77" s="280" t="s">
        <v>358</v>
      </c>
      <c r="F77" s="281"/>
      <c r="G77" s="281" t="s">
        <v>388</v>
      </c>
      <c r="H77" s="281" t="s">
        <v>389</v>
      </c>
      <c r="I77" s="281" t="s">
        <v>9</v>
      </c>
      <c r="J77" s="282"/>
      <c r="K77" s="282" t="s">
        <v>386</v>
      </c>
      <c r="L77" s="281"/>
      <c r="M77" s="281" t="s">
        <v>365</v>
      </c>
      <c r="N77" s="281" t="s">
        <v>380</v>
      </c>
      <c r="O77" s="283" t="s">
        <v>365</v>
      </c>
      <c r="P77" s="284"/>
      <c r="Q77" s="285">
        <v>55.83</v>
      </c>
    </row>
    <row r="78" spans="3:17" s="276" customFormat="1" ht="10.15" customHeight="1" x14ac:dyDescent="0.2">
      <c r="C78" s="278">
        <v>43222</v>
      </c>
      <c r="D78" s="279" t="s">
        <v>357</v>
      </c>
      <c r="E78" s="280" t="s">
        <v>358</v>
      </c>
      <c r="F78" s="281"/>
      <c r="G78" s="281" t="s">
        <v>388</v>
      </c>
      <c r="H78" s="281" t="s">
        <v>389</v>
      </c>
      <c r="I78" s="281" t="s">
        <v>9</v>
      </c>
      <c r="J78" s="282"/>
      <c r="K78" s="282" t="s">
        <v>386</v>
      </c>
      <c r="L78" s="281"/>
      <c r="M78" s="281" t="s">
        <v>365</v>
      </c>
      <c r="N78" s="281" t="s">
        <v>381</v>
      </c>
      <c r="O78" s="283" t="s">
        <v>365</v>
      </c>
      <c r="P78" s="284"/>
      <c r="Q78" s="285">
        <v>5.31</v>
      </c>
    </row>
    <row r="79" spans="3:17" s="276" customFormat="1" ht="10.15" customHeight="1" x14ac:dyDescent="0.2">
      <c r="C79" s="278">
        <v>43222</v>
      </c>
      <c r="D79" s="279" t="s">
        <v>357</v>
      </c>
      <c r="E79" s="280" t="s">
        <v>358</v>
      </c>
      <c r="F79" s="281"/>
      <c r="G79" s="281" t="s">
        <v>388</v>
      </c>
      <c r="H79" s="281" t="s">
        <v>389</v>
      </c>
      <c r="I79" s="281" t="s">
        <v>9</v>
      </c>
      <c r="J79" s="282"/>
      <c r="K79" s="282" t="s">
        <v>386</v>
      </c>
      <c r="L79" s="281"/>
      <c r="M79" s="281" t="s">
        <v>365</v>
      </c>
      <c r="N79" s="281" t="s">
        <v>382</v>
      </c>
      <c r="O79" s="283" t="s">
        <v>365</v>
      </c>
      <c r="P79" s="284"/>
      <c r="Q79" s="285">
        <v>10.19</v>
      </c>
    </row>
    <row r="80" spans="3:17" s="276" customFormat="1" ht="10.15" customHeight="1" x14ac:dyDescent="0.2">
      <c r="C80" s="278">
        <v>43222</v>
      </c>
      <c r="D80" s="279" t="s">
        <v>357</v>
      </c>
      <c r="E80" s="280" t="s">
        <v>358</v>
      </c>
      <c r="F80" s="281"/>
      <c r="G80" s="281" t="s">
        <v>388</v>
      </c>
      <c r="H80" s="281" t="s">
        <v>389</v>
      </c>
      <c r="I80" s="281" t="s">
        <v>9</v>
      </c>
      <c r="J80" s="282"/>
      <c r="K80" s="282" t="s">
        <v>386</v>
      </c>
      <c r="L80" s="281"/>
      <c r="M80" s="281" t="s">
        <v>369</v>
      </c>
      <c r="N80" s="281" t="s">
        <v>383</v>
      </c>
      <c r="O80" s="283" t="s">
        <v>371</v>
      </c>
      <c r="P80" s="284"/>
      <c r="Q80" s="285">
        <v>77.430000000000007</v>
      </c>
    </row>
    <row r="81" spans="3:17" s="276" customFormat="1" ht="18.399999999999999" customHeight="1" x14ac:dyDescent="0.2">
      <c r="C81" s="278">
        <v>43222</v>
      </c>
      <c r="D81" s="279" t="s">
        <v>357</v>
      </c>
      <c r="E81" s="280" t="s">
        <v>358</v>
      </c>
      <c r="F81" s="281"/>
      <c r="G81" s="281" t="s">
        <v>359</v>
      </c>
      <c r="H81" s="281" t="s">
        <v>360</v>
      </c>
      <c r="I81" s="281" t="s">
        <v>207</v>
      </c>
      <c r="J81" s="282"/>
      <c r="K81" s="282" t="s">
        <v>386</v>
      </c>
      <c r="L81" s="281"/>
      <c r="M81" s="281" t="s">
        <v>362</v>
      </c>
      <c r="N81" s="281" t="s">
        <v>378</v>
      </c>
      <c r="O81" s="283" t="s">
        <v>387</v>
      </c>
      <c r="P81" s="284">
        <v>40.75</v>
      </c>
      <c r="Q81" s="285">
        <v>1845.12</v>
      </c>
    </row>
    <row r="82" spans="3:17" s="276" customFormat="1" ht="10.15" customHeight="1" x14ac:dyDescent="0.2">
      <c r="C82" s="278">
        <v>43222</v>
      </c>
      <c r="D82" s="279" t="s">
        <v>357</v>
      </c>
      <c r="E82" s="280" t="s">
        <v>358</v>
      </c>
      <c r="F82" s="281"/>
      <c r="G82" s="281" t="s">
        <v>359</v>
      </c>
      <c r="H82" s="281" t="s">
        <v>360</v>
      </c>
      <c r="I82" s="281" t="s">
        <v>207</v>
      </c>
      <c r="J82" s="282"/>
      <c r="K82" s="282" t="s">
        <v>386</v>
      </c>
      <c r="L82" s="281"/>
      <c r="M82" s="281" t="s">
        <v>365</v>
      </c>
      <c r="N82" s="281" t="s">
        <v>380</v>
      </c>
      <c r="O82" s="283" t="s">
        <v>365</v>
      </c>
      <c r="P82" s="284"/>
      <c r="Q82" s="285">
        <v>126.39</v>
      </c>
    </row>
    <row r="83" spans="3:17" s="276" customFormat="1" ht="10.15" customHeight="1" x14ac:dyDescent="0.2">
      <c r="C83" s="278">
        <v>43222</v>
      </c>
      <c r="D83" s="279" t="s">
        <v>357</v>
      </c>
      <c r="E83" s="280" t="s">
        <v>358</v>
      </c>
      <c r="F83" s="281"/>
      <c r="G83" s="281" t="s">
        <v>359</v>
      </c>
      <c r="H83" s="281" t="s">
        <v>360</v>
      </c>
      <c r="I83" s="281" t="s">
        <v>207</v>
      </c>
      <c r="J83" s="282"/>
      <c r="K83" s="282" t="s">
        <v>386</v>
      </c>
      <c r="L83" s="281"/>
      <c r="M83" s="281" t="s">
        <v>365</v>
      </c>
      <c r="N83" s="281" t="s">
        <v>381</v>
      </c>
      <c r="O83" s="283" t="s">
        <v>365</v>
      </c>
      <c r="P83" s="284"/>
      <c r="Q83" s="285">
        <v>12.01</v>
      </c>
    </row>
    <row r="84" spans="3:17" s="276" customFormat="1" ht="10.15" customHeight="1" x14ac:dyDescent="0.2">
      <c r="C84" s="278">
        <v>43222</v>
      </c>
      <c r="D84" s="279" t="s">
        <v>357</v>
      </c>
      <c r="E84" s="280" t="s">
        <v>358</v>
      </c>
      <c r="F84" s="281"/>
      <c r="G84" s="281" t="s">
        <v>359</v>
      </c>
      <c r="H84" s="281" t="s">
        <v>360</v>
      </c>
      <c r="I84" s="281" t="s">
        <v>207</v>
      </c>
      <c r="J84" s="282"/>
      <c r="K84" s="282" t="s">
        <v>386</v>
      </c>
      <c r="L84" s="281"/>
      <c r="M84" s="281" t="s">
        <v>365</v>
      </c>
      <c r="N84" s="281" t="s">
        <v>382</v>
      </c>
      <c r="O84" s="283" t="s">
        <v>365</v>
      </c>
      <c r="P84" s="284"/>
      <c r="Q84" s="285">
        <v>23.06</v>
      </c>
    </row>
    <row r="85" spans="3:17" s="276" customFormat="1" ht="10.15" customHeight="1" x14ac:dyDescent="0.2">
      <c r="C85" s="278">
        <v>43222</v>
      </c>
      <c r="D85" s="279" t="s">
        <v>357</v>
      </c>
      <c r="E85" s="280" t="s">
        <v>358</v>
      </c>
      <c r="F85" s="281"/>
      <c r="G85" s="281" t="s">
        <v>359</v>
      </c>
      <c r="H85" s="281" t="s">
        <v>360</v>
      </c>
      <c r="I85" s="281" t="s">
        <v>207</v>
      </c>
      <c r="J85" s="282"/>
      <c r="K85" s="282" t="s">
        <v>386</v>
      </c>
      <c r="L85" s="281"/>
      <c r="M85" s="281" t="s">
        <v>369</v>
      </c>
      <c r="N85" s="281" t="s">
        <v>383</v>
      </c>
      <c r="O85" s="283" t="s">
        <v>371</v>
      </c>
      <c r="P85" s="284"/>
      <c r="Q85" s="285">
        <v>175.29</v>
      </c>
    </row>
    <row r="86" spans="3:17" s="276" customFormat="1" ht="10.15" customHeight="1" x14ac:dyDescent="0.2">
      <c r="C86" s="278">
        <v>43222</v>
      </c>
      <c r="D86" s="279" t="s">
        <v>357</v>
      </c>
      <c r="E86" s="280" t="s">
        <v>358</v>
      </c>
      <c r="F86" s="281"/>
      <c r="G86" s="281" t="s">
        <v>372</v>
      </c>
      <c r="H86" s="281" t="s">
        <v>373</v>
      </c>
      <c r="I86" s="281" t="s">
        <v>1</v>
      </c>
      <c r="J86" s="282"/>
      <c r="K86" s="282" t="s">
        <v>361</v>
      </c>
      <c r="L86" s="281"/>
      <c r="M86" s="281" t="s">
        <v>365</v>
      </c>
      <c r="N86" s="281" t="s">
        <v>367</v>
      </c>
      <c r="O86" s="283" t="s">
        <v>365</v>
      </c>
      <c r="P86" s="284"/>
      <c r="Q86" s="285">
        <v>0</v>
      </c>
    </row>
    <row r="87" spans="3:17" s="276" customFormat="1" ht="10.15" customHeight="1" x14ac:dyDescent="0.2">
      <c r="C87" s="278">
        <v>43222</v>
      </c>
      <c r="D87" s="279" t="s">
        <v>357</v>
      </c>
      <c r="E87" s="280" t="s">
        <v>358</v>
      </c>
      <c r="F87" s="281"/>
      <c r="G87" s="281" t="s">
        <v>372</v>
      </c>
      <c r="H87" s="281" t="s">
        <v>373</v>
      </c>
      <c r="I87" s="281" t="s">
        <v>1</v>
      </c>
      <c r="J87" s="282"/>
      <c r="K87" s="282" t="s">
        <v>361</v>
      </c>
      <c r="L87" s="281"/>
      <c r="M87" s="281" t="s">
        <v>369</v>
      </c>
      <c r="N87" s="281" t="s">
        <v>370</v>
      </c>
      <c r="O87" s="283" t="s">
        <v>371</v>
      </c>
      <c r="P87" s="284"/>
      <c r="Q87" s="285">
        <v>0</v>
      </c>
    </row>
    <row r="88" spans="3:17" s="276" customFormat="1" ht="18.399999999999999" customHeight="1" x14ac:dyDescent="0.2">
      <c r="C88" s="278">
        <v>43222</v>
      </c>
      <c r="D88" s="279" t="s">
        <v>357</v>
      </c>
      <c r="E88" s="280" t="s">
        <v>358</v>
      </c>
      <c r="F88" s="281"/>
      <c r="G88" s="281" t="s">
        <v>372</v>
      </c>
      <c r="H88" s="281" t="s">
        <v>373</v>
      </c>
      <c r="I88" s="281" t="s">
        <v>1</v>
      </c>
      <c r="J88" s="282"/>
      <c r="K88" s="282" t="s">
        <v>377</v>
      </c>
      <c r="L88" s="281"/>
      <c r="M88" s="281" t="s">
        <v>362</v>
      </c>
      <c r="N88" s="281" t="s">
        <v>378</v>
      </c>
      <c r="O88" s="283" t="s">
        <v>387</v>
      </c>
      <c r="P88" s="284">
        <v>40</v>
      </c>
      <c r="Q88" s="285">
        <v>1811.16</v>
      </c>
    </row>
    <row r="89" spans="3:17" s="276" customFormat="1" ht="10.15" customHeight="1" x14ac:dyDescent="0.2">
      <c r="C89" s="278">
        <v>43222</v>
      </c>
      <c r="D89" s="279" t="s">
        <v>357</v>
      </c>
      <c r="E89" s="280" t="s">
        <v>358</v>
      </c>
      <c r="F89" s="281"/>
      <c r="G89" s="281" t="s">
        <v>372</v>
      </c>
      <c r="H89" s="281" t="s">
        <v>373</v>
      </c>
      <c r="I89" s="281" t="s">
        <v>1</v>
      </c>
      <c r="J89" s="282"/>
      <c r="K89" s="282" t="s">
        <v>377</v>
      </c>
      <c r="L89" s="281"/>
      <c r="M89" s="281" t="s">
        <v>365</v>
      </c>
      <c r="N89" s="281" t="s">
        <v>380</v>
      </c>
      <c r="O89" s="283" t="s">
        <v>365</v>
      </c>
      <c r="P89" s="284"/>
      <c r="Q89" s="285">
        <v>124.05</v>
      </c>
    </row>
    <row r="90" spans="3:17" s="276" customFormat="1" ht="10.15" customHeight="1" x14ac:dyDescent="0.2">
      <c r="C90" s="278">
        <v>43222</v>
      </c>
      <c r="D90" s="279" t="s">
        <v>357</v>
      </c>
      <c r="E90" s="280" t="s">
        <v>358</v>
      </c>
      <c r="F90" s="281"/>
      <c r="G90" s="281" t="s">
        <v>372</v>
      </c>
      <c r="H90" s="281" t="s">
        <v>373</v>
      </c>
      <c r="I90" s="281" t="s">
        <v>1</v>
      </c>
      <c r="J90" s="282"/>
      <c r="K90" s="282" t="s">
        <v>377</v>
      </c>
      <c r="L90" s="281"/>
      <c r="M90" s="281" t="s">
        <v>365</v>
      </c>
      <c r="N90" s="281" t="s">
        <v>381</v>
      </c>
      <c r="O90" s="283" t="s">
        <v>365</v>
      </c>
      <c r="P90" s="284"/>
      <c r="Q90" s="285">
        <v>11.79</v>
      </c>
    </row>
    <row r="91" spans="3:17" s="276" customFormat="1" ht="10.15" customHeight="1" x14ac:dyDescent="0.2">
      <c r="C91" s="278">
        <v>43222</v>
      </c>
      <c r="D91" s="279" t="s">
        <v>357</v>
      </c>
      <c r="E91" s="280" t="s">
        <v>358</v>
      </c>
      <c r="F91" s="281"/>
      <c r="G91" s="281" t="s">
        <v>372</v>
      </c>
      <c r="H91" s="281" t="s">
        <v>373</v>
      </c>
      <c r="I91" s="281" t="s">
        <v>1</v>
      </c>
      <c r="J91" s="282"/>
      <c r="K91" s="282" t="s">
        <v>377</v>
      </c>
      <c r="L91" s="281"/>
      <c r="M91" s="281" t="s">
        <v>365</v>
      </c>
      <c r="N91" s="281" t="s">
        <v>382</v>
      </c>
      <c r="O91" s="283" t="s">
        <v>365</v>
      </c>
      <c r="P91" s="284"/>
      <c r="Q91" s="285">
        <v>22.64</v>
      </c>
    </row>
    <row r="92" spans="3:17" s="276" customFormat="1" ht="10.15" customHeight="1" x14ac:dyDescent="0.2">
      <c r="C92" s="278">
        <v>43222</v>
      </c>
      <c r="D92" s="279" t="s">
        <v>357</v>
      </c>
      <c r="E92" s="280" t="s">
        <v>358</v>
      </c>
      <c r="F92" s="281"/>
      <c r="G92" s="281" t="s">
        <v>372</v>
      </c>
      <c r="H92" s="281" t="s">
        <v>373</v>
      </c>
      <c r="I92" s="281" t="s">
        <v>1</v>
      </c>
      <c r="J92" s="282"/>
      <c r="K92" s="282" t="s">
        <v>377</v>
      </c>
      <c r="L92" s="281"/>
      <c r="M92" s="281" t="s">
        <v>369</v>
      </c>
      <c r="N92" s="281" t="s">
        <v>383</v>
      </c>
      <c r="O92" s="283" t="s">
        <v>371</v>
      </c>
      <c r="P92" s="284"/>
      <c r="Q92" s="285">
        <v>172.06</v>
      </c>
    </row>
    <row r="93" spans="3:17" s="276" customFormat="1" ht="18.399999999999999" customHeight="1" x14ac:dyDescent="0.2">
      <c r="C93" s="278">
        <v>43236</v>
      </c>
      <c r="D93" s="279" t="s">
        <v>357</v>
      </c>
      <c r="E93" s="280" t="s">
        <v>358</v>
      </c>
      <c r="F93" s="281"/>
      <c r="G93" s="281" t="s">
        <v>384</v>
      </c>
      <c r="H93" s="281" t="s">
        <v>385</v>
      </c>
      <c r="I93" s="281" t="s">
        <v>202</v>
      </c>
      <c r="J93" s="282"/>
      <c r="K93" s="282" t="s">
        <v>386</v>
      </c>
      <c r="L93" s="281"/>
      <c r="M93" s="281" t="s">
        <v>362</v>
      </c>
      <c r="N93" s="281" t="s">
        <v>378</v>
      </c>
      <c r="O93" s="283" t="s">
        <v>390</v>
      </c>
      <c r="P93" s="284">
        <v>22.5</v>
      </c>
      <c r="Q93" s="285">
        <v>1215.8699999999999</v>
      </c>
    </row>
    <row r="94" spans="3:17" s="276" customFormat="1" ht="10.15" customHeight="1" x14ac:dyDescent="0.2">
      <c r="C94" s="278">
        <v>43236</v>
      </c>
      <c r="D94" s="279" t="s">
        <v>357</v>
      </c>
      <c r="E94" s="280" t="s">
        <v>358</v>
      </c>
      <c r="F94" s="281"/>
      <c r="G94" s="281" t="s">
        <v>384</v>
      </c>
      <c r="H94" s="281" t="s">
        <v>385</v>
      </c>
      <c r="I94" s="281" t="s">
        <v>202</v>
      </c>
      <c r="J94" s="282"/>
      <c r="K94" s="282" t="s">
        <v>386</v>
      </c>
      <c r="L94" s="281"/>
      <c r="M94" s="281" t="s">
        <v>365</v>
      </c>
      <c r="N94" s="281" t="s">
        <v>380</v>
      </c>
      <c r="O94" s="283" t="s">
        <v>365</v>
      </c>
      <c r="P94" s="284"/>
      <c r="Q94" s="285">
        <v>83.29</v>
      </c>
    </row>
    <row r="95" spans="3:17" s="276" customFormat="1" ht="10.15" customHeight="1" x14ac:dyDescent="0.2">
      <c r="C95" s="278">
        <v>43236</v>
      </c>
      <c r="D95" s="279" t="s">
        <v>357</v>
      </c>
      <c r="E95" s="280" t="s">
        <v>358</v>
      </c>
      <c r="F95" s="281"/>
      <c r="G95" s="281" t="s">
        <v>384</v>
      </c>
      <c r="H95" s="281" t="s">
        <v>385</v>
      </c>
      <c r="I95" s="281" t="s">
        <v>202</v>
      </c>
      <c r="J95" s="282"/>
      <c r="K95" s="282" t="s">
        <v>386</v>
      </c>
      <c r="L95" s="281"/>
      <c r="M95" s="281" t="s">
        <v>365</v>
      </c>
      <c r="N95" s="281" t="s">
        <v>381</v>
      </c>
      <c r="O95" s="283" t="s">
        <v>365</v>
      </c>
      <c r="P95" s="284"/>
      <c r="Q95" s="285">
        <v>7.91</v>
      </c>
    </row>
    <row r="96" spans="3:17" s="276" customFormat="1" ht="10.15" customHeight="1" x14ac:dyDescent="0.2">
      <c r="C96" s="278">
        <v>43236</v>
      </c>
      <c r="D96" s="279" t="s">
        <v>357</v>
      </c>
      <c r="E96" s="280" t="s">
        <v>358</v>
      </c>
      <c r="F96" s="281"/>
      <c r="G96" s="281" t="s">
        <v>384</v>
      </c>
      <c r="H96" s="281" t="s">
        <v>385</v>
      </c>
      <c r="I96" s="281" t="s">
        <v>202</v>
      </c>
      <c r="J96" s="282"/>
      <c r="K96" s="282" t="s">
        <v>386</v>
      </c>
      <c r="L96" s="281"/>
      <c r="M96" s="281" t="s">
        <v>365</v>
      </c>
      <c r="N96" s="281" t="s">
        <v>382</v>
      </c>
      <c r="O96" s="283" t="s">
        <v>365</v>
      </c>
      <c r="P96" s="284"/>
      <c r="Q96" s="285">
        <v>15.19</v>
      </c>
    </row>
    <row r="97" spans="3:17" s="276" customFormat="1" ht="10.15" customHeight="1" x14ac:dyDescent="0.2">
      <c r="C97" s="278">
        <v>43236</v>
      </c>
      <c r="D97" s="279" t="s">
        <v>357</v>
      </c>
      <c r="E97" s="280" t="s">
        <v>358</v>
      </c>
      <c r="F97" s="281"/>
      <c r="G97" s="281" t="s">
        <v>384</v>
      </c>
      <c r="H97" s="281" t="s">
        <v>385</v>
      </c>
      <c r="I97" s="281" t="s">
        <v>202</v>
      </c>
      <c r="J97" s="282"/>
      <c r="K97" s="282" t="s">
        <v>386</v>
      </c>
      <c r="L97" s="281"/>
      <c r="M97" s="281" t="s">
        <v>369</v>
      </c>
      <c r="N97" s="281" t="s">
        <v>383</v>
      </c>
      <c r="O97" s="283" t="s">
        <v>371</v>
      </c>
      <c r="P97" s="284"/>
      <c r="Q97" s="285">
        <v>115.51</v>
      </c>
    </row>
    <row r="98" spans="3:17" s="276" customFormat="1" ht="18.399999999999999" customHeight="1" x14ac:dyDescent="0.2">
      <c r="C98" s="278">
        <v>43236</v>
      </c>
      <c r="D98" s="279" t="s">
        <v>357</v>
      </c>
      <c r="E98" s="280" t="s">
        <v>358</v>
      </c>
      <c r="F98" s="281"/>
      <c r="G98" s="281" t="s">
        <v>388</v>
      </c>
      <c r="H98" s="281" t="s">
        <v>389</v>
      </c>
      <c r="I98" s="281" t="s">
        <v>9</v>
      </c>
      <c r="J98" s="282"/>
      <c r="K98" s="282" t="s">
        <v>386</v>
      </c>
      <c r="L98" s="281"/>
      <c r="M98" s="281" t="s">
        <v>362</v>
      </c>
      <c r="N98" s="281" t="s">
        <v>378</v>
      </c>
      <c r="O98" s="283" t="s">
        <v>387</v>
      </c>
      <c r="P98" s="284">
        <v>10</v>
      </c>
      <c r="Q98" s="285">
        <v>452.79</v>
      </c>
    </row>
    <row r="99" spans="3:17" s="276" customFormat="1" ht="10.15" customHeight="1" x14ac:dyDescent="0.2">
      <c r="C99" s="278">
        <v>43236</v>
      </c>
      <c r="D99" s="279" t="s">
        <v>357</v>
      </c>
      <c r="E99" s="280" t="s">
        <v>358</v>
      </c>
      <c r="F99" s="281"/>
      <c r="G99" s="281" t="s">
        <v>388</v>
      </c>
      <c r="H99" s="281" t="s">
        <v>389</v>
      </c>
      <c r="I99" s="281" t="s">
        <v>9</v>
      </c>
      <c r="J99" s="282"/>
      <c r="K99" s="282" t="s">
        <v>386</v>
      </c>
      <c r="L99" s="281"/>
      <c r="M99" s="281" t="s">
        <v>365</v>
      </c>
      <c r="N99" s="281" t="s">
        <v>380</v>
      </c>
      <c r="O99" s="283" t="s">
        <v>365</v>
      </c>
      <c r="P99" s="284"/>
      <c r="Q99" s="285">
        <v>31.02</v>
      </c>
    </row>
    <row r="100" spans="3:17" s="276" customFormat="1" ht="10.15" customHeight="1" x14ac:dyDescent="0.2">
      <c r="C100" s="278">
        <v>43236</v>
      </c>
      <c r="D100" s="279" t="s">
        <v>357</v>
      </c>
      <c r="E100" s="280" t="s">
        <v>358</v>
      </c>
      <c r="F100" s="281"/>
      <c r="G100" s="281" t="s">
        <v>388</v>
      </c>
      <c r="H100" s="281" t="s">
        <v>389</v>
      </c>
      <c r="I100" s="281" t="s">
        <v>9</v>
      </c>
      <c r="J100" s="282"/>
      <c r="K100" s="282" t="s">
        <v>386</v>
      </c>
      <c r="L100" s="281"/>
      <c r="M100" s="281" t="s">
        <v>365</v>
      </c>
      <c r="N100" s="281" t="s">
        <v>381</v>
      </c>
      <c r="O100" s="283" t="s">
        <v>365</v>
      </c>
      <c r="P100" s="284"/>
      <c r="Q100" s="285">
        <v>2.95</v>
      </c>
    </row>
    <row r="101" spans="3:17" s="276" customFormat="1" ht="10.15" customHeight="1" x14ac:dyDescent="0.2">
      <c r="C101" s="278">
        <v>43236</v>
      </c>
      <c r="D101" s="279" t="s">
        <v>357</v>
      </c>
      <c r="E101" s="280" t="s">
        <v>358</v>
      </c>
      <c r="F101" s="281"/>
      <c r="G101" s="281" t="s">
        <v>388</v>
      </c>
      <c r="H101" s="281" t="s">
        <v>389</v>
      </c>
      <c r="I101" s="281" t="s">
        <v>9</v>
      </c>
      <c r="J101" s="282"/>
      <c r="K101" s="282" t="s">
        <v>386</v>
      </c>
      <c r="L101" s="281"/>
      <c r="M101" s="281" t="s">
        <v>365</v>
      </c>
      <c r="N101" s="281" t="s">
        <v>382</v>
      </c>
      <c r="O101" s="283" t="s">
        <v>365</v>
      </c>
      <c r="P101" s="284"/>
      <c r="Q101" s="285">
        <v>5.66</v>
      </c>
    </row>
    <row r="102" spans="3:17" s="276" customFormat="1" ht="10.15" customHeight="1" x14ac:dyDescent="0.2">
      <c r="C102" s="278">
        <v>43236</v>
      </c>
      <c r="D102" s="279" t="s">
        <v>357</v>
      </c>
      <c r="E102" s="280" t="s">
        <v>358</v>
      </c>
      <c r="F102" s="281"/>
      <c r="G102" s="281" t="s">
        <v>388</v>
      </c>
      <c r="H102" s="281" t="s">
        <v>389</v>
      </c>
      <c r="I102" s="281" t="s">
        <v>9</v>
      </c>
      <c r="J102" s="282"/>
      <c r="K102" s="282" t="s">
        <v>386</v>
      </c>
      <c r="L102" s="281"/>
      <c r="M102" s="281" t="s">
        <v>369</v>
      </c>
      <c r="N102" s="281" t="s">
        <v>383</v>
      </c>
      <c r="O102" s="283" t="s">
        <v>371</v>
      </c>
      <c r="P102" s="284"/>
      <c r="Q102" s="285">
        <v>43.02</v>
      </c>
    </row>
    <row r="103" spans="3:17" s="276" customFormat="1" ht="18.399999999999999" customHeight="1" x14ac:dyDescent="0.2">
      <c r="C103" s="278">
        <v>43236</v>
      </c>
      <c r="D103" s="279" t="s">
        <v>357</v>
      </c>
      <c r="E103" s="280" t="s">
        <v>358</v>
      </c>
      <c r="F103" s="281"/>
      <c r="G103" s="281" t="s">
        <v>359</v>
      </c>
      <c r="H103" s="281" t="s">
        <v>360</v>
      </c>
      <c r="I103" s="281" t="s">
        <v>207</v>
      </c>
      <c r="J103" s="282"/>
      <c r="K103" s="282" t="s">
        <v>386</v>
      </c>
      <c r="L103" s="281"/>
      <c r="M103" s="281" t="s">
        <v>362</v>
      </c>
      <c r="N103" s="281" t="s">
        <v>378</v>
      </c>
      <c r="O103" s="283" t="s">
        <v>387</v>
      </c>
      <c r="P103" s="284">
        <v>10</v>
      </c>
      <c r="Q103" s="285">
        <v>452.79</v>
      </c>
    </row>
    <row r="104" spans="3:17" s="276" customFormat="1" ht="10.15" customHeight="1" x14ac:dyDescent="0.2">
      <c r="C104" s="278">
        <v>43236</v>
      </c>
      <c r="D104" s="279" t="s">
        <v>357</v>
      </c>
      <c r="E104" s="280" t="s">
        <v>358</v>
      </c>
      <c r="F104" s="281"/>
      <c r="G104" s="281" t="s">
        <v>359</v>
      </c>
      <c r="H104" s="281" t="s">
        <v>360</v>
      </c>
      <c r="I104" s="281" t="s">
        <v>207</v>
      </c>
      <c r="J104" s="282"/>
      <c r="K104" s="282" t="s">
        <v>386</v>
      </c>
      <c r="L104" s="281"/>
      <c r="M104" s="281" t="s">
        <v>365</v>
      </c>
      <c r="N104" s="281" t="s">
        <v>380</v>
      </c>
      <c r="O104" s="283" t="s">
        <v>365</v>
      </c>
      <c r="P104" s="284"/>
      <c r="Q104" s="285">
        <v>31.02</v>
      </c>
    </row>
    <row r="105" spans="3:17" s="276" customFormat="1" ht="10.15" customHeight="1" x14ac:dyDescent="0.2">
      <c r="C105" s="278">
        <v>43236</v>
      </c>
      <c r="D105" s="279" t="s">
        <v>357</v>
      </c>
      <c r="E105" s="280" t="s">
        <v>358</v>
      </c>
      <c r="F105" s="281"/>
      <c r="G105" s="281" t="s">
        <v>359</v>
      </c>
      <c r="H105" s="281" t="s">
        <v>360</v>
      </c>
      <c r="I105" s="281" t="s">
        <v>207</v>
      </c>
      <c r="J105" s="282"/>
      <c r="K105" s="282" t="s">
        <v>386</v>
      </c>
      <c r="L105" s="281"/>
      <c r="M105" s="281" t="s">
        <v>365</v>
      </c>
      <c r="N105" s="281" t="s">
        <v>381</v>
      </c>
      <c r="O105" s="283" t="s">
        <v>365</v>
      </c>
      <c r="P105" s="284"/>
      <c r="Q105" s="285">
        <v>2.95</v>
      </c>
    </row>
    <row r="106" spans="3:17" s="276" customFormat="1" ht="10.15" customHeight="1" x14ac:dyDescent="0.2">
      <c r="C106" s="278">
        <v>43236</v>
      </c>
      <c r="D106" s="279" t="s">
        <v>357</v>
      </c>
      <c r="E106" s="280" t="s">
        <v>358</v>
      </c>
      <c r="F106" s="281"/>
      <c r="G106" s="281" t="s">
        <v>359</v>
      </c>
      <c r="H106" s="281" t="s">
        <v>360</v>
      </c>
      <c r="I106" s="281" t="s">
        <v>207</v>
      </c>
      <c r="J106" s="282"/>
      <c r="K106" s="282" t="s">
        <v>386</v>
      </c>
      <c r="L106" s="281"/>
      <c r="M106" s="281" t="s">
        <v>365</v>
      </c>
      <c r="N106" s="281" t="s">
        <v>382</v>
      </c>
      <c r="O106" s="283" t="s">
        <v>365</v>
      </c>
      <c r="P106" s="284"/>
      <c r="Q106" s="285">
        <v>5.66</v>
      </c>
    </row>
    <row r="107" spans="3:17" s="276" customFormat="1" ht="10.15" customHeight="1" x14ac:dyDescent="0.2">
      <c r="C107" s="278">
        <v>43236</v>
      </c>
      <c r="D107" s="279" t="s">
        <v>357</v>
      </c>
      <c r="E107" s="280" t="s">
        <v>358</v>
      </c>
      <c r="F107" s="281"/>
      <c r="G107" s="281" t="s">
        <v>359</v>
      </c>
      <c r="H107" s="281" t="s">
        <v>360</v>
      </c>
      <c r="I107" s="281" t="s">
        <v>207</v>
      </c>
      <c r="J107" s="282"/>
      <c r="K107" s="282" t="s">
        <v>386</v>
      </c>
      <c r="L107" s="281"/>
      <c r="M107" s="281" t="s">
        <v>369</v>
      </c>
      <c r="N107" s="281" t="s">
        <v>383</v>
      </c>
      <c r="O107" s="283" t="s">
        <v>371</v>
      </c>
      <c r="P107" s="284"/>
      <c r="Q107" s="285">
        <v>43.02</v>
      </c>
    </row>
    <row r="108" spans="3:17" s="276" customFormat="1" ht="10.15" customHeight="1" x14ac:dyDescent="0.2">
      <c r="C108" s="278">
        <v>43236</v>
      </c>
      <c r="D108" s="279" t="s">
        <v>357</v>
      </c>
      <c r="E108" s="280" t="s">
        <v>358</v>
      </c>
      <c r="F108" s="281"/>
      <c r="G108" s="281" t="s">
        <v>372</v>
      </c>
      <c r="H108" s="281" t="s">
        <v>373</v>
      </c>
      <c r="I108" s="281" t="s">
        <v>1</v>
      </c>
      <c r="J108" s="282"/>
      <c r="K108" s="282" t="s">
        <v>361</v>
      </c>
      <c r="L108" s="281"/>
      <c r="M108" s="281" t="s">
        <v>365</v>
      </c>
      <c r="N108" s="281" t="s">
        <v>367</v>
      </c>
      <c r="O108" s="283" t="s">
        <v>365</v>
      </c>
      <c r="P108" s="284"/>
      <c r="Q108" s="285">
        <v>0</v>
      </c>
    </row>
    <row r="109" spans="3:17" s="276" customFormat="1" ht="10.15" customHeight="1" x14ac:dyDescent="0.2">
      <c r="C109" s="278">
        <v>43236</v>
      </c>
      <c r="D109" s="279" t="s">
        <v>357</v>
      </c>
      <c r="E109" s="280" t="s">
        <v>358</v>
      </c>
      <c r="F109" s="281"/>
      <c r="G109" s="281" t="s">
        <v>372</v>
      </c>
      <c r="H109" s="281" t="s">
        <v>373</v>
      </c>
      <c r="I109" s="281" t="s">
        <v>1</v>
      </c>
      <c r="J109" s="282"/>
      <c r="K109" s="282" t="s">
        <v>361</v>
      </c>
      <c r="L109" s="281"/>
      <c r="M109" s="281" t="s">
        <v>369</v>
      </c>
      <c r="N109" s="281" t="s">
        <v>370</v>
      </c>
      <c r="O109" s="283" t="s">
        <v>371</v>
      </c>
      <c r="P109" s="284"/>
      <c r="Q109" s="285">
        <v>0</v>
      </c>
    </row>
    <row r="110" spans="3:17" s="276" customFormat="1" ht="18.399999999999999" customHeight="1" x14ac:dyDescent="0.2">
      <c r="C110" s="278">
        <v>43236</v>
      </c>
      <c r="D110" s="279" t="s">
        <v>357</v>
      </c>
      <c r="E110" s="280" t="s">
        <v>358</v>
      </c>
      <c r="F110" s="281"/>
      <c r="G110" s="281" t="s">
        <v>372</v>
      </c>
      <c r="H110" s="281" t="s">
        <v>373</v>
      </c>
      <c r="I110" s="281" t="s">
        <v>1</v>
      </c>
      <c r="J110" s="282"/>
      <c r="K110" s="282" t="s">
        <v>377</v>
      </c>
      <c r="L110" s="281"/>
      <c r="M110" s="281" t="s">
        <v>362</v>
      </c>
      <c r="N110" s="281" t="s">
        <v>378</v>
      </c>
      <c r="O110" s="283" t="s">
        <v>387</v>
      </c>
      <c r="P110" s="284">
        <v>-19</v>
      </c>
      <c r="Q110" s="285">
        <v>-860.3</v>
      </c>
    </row>
    <row r="111" spans="3:17" s="276" customFormat="1" ht="10.15" customHeight="1" x14ac:dyDescent="0.2">
      <c r="C111" s="278">
        <v>43236</v>
      </c>
      <c r="D111" s="279" t="s">
        <v>357</v>
      </c>
      <c r="E111" s="280" t="s">
        <v>358</v>
      </c>
      <c r="F111" s="281"/>
      <c r="G111" s="281" t="s">
        <v>372</v>
      </c>
      <c r="H111" s="281" t="s">
        <v>373</v>
      </c>
      <c r="I111" s="281" t="s">
        <v>1</v>
      </c>
      <c r="J111" s="282"/>
      <c r="K111" s="282" t="s">
        <v>377</v>
      </c>
      <c r="L111" s="281"/>
      <c r="M111" s="281" t="s">
        <v>365</v>
      </c>
      <c r="N111" s="281" t="s">
        <v>380</v>
      </c>
      <c r="O111" s="283" t="s">
        <v>365</v>
      </c>
      <c r="P111" s="284"/>
      <c r="Q111" s="285">
        <v>-58.94</v>
      </c>
    </row>
    <row r="112" spans="3:17" s="276" customFormat="1" ht="10.15" customHeight="1" x14ac:dyDescent="0.2">
      <c r="C112" s="278">
        <v>43236</v>
      </c>
      <c r="D112" s="279" t="s">
        <v>357</v>
      </c>
      <c r="E112" s="280" t="s">
        <v>358</v>
      </c>
      <c r="F112" s="281"/>
      <c r="G112" s="281" t="s">
        <v>372</v>
      </c>
      <c r="H112" s="281" t="s">
        <v>373</v>
      </c>
      <c r="I112" s="281" t="s">
        <v>1</v>
      </c>
      <c r="J112" s="282"/>
      <c r="K112" s="282" t="s">
        <v>377</v>
      </c>
      <c r="L112" s="281"/>
      <c r="M112" s="281" t="s">
        <v>365</v>
      </c>
      <c r="N112" s="281" t="s">
        <v>381</v>
      </c>
      <c r="O112" s="283" t="s">
        <v>365</v>
      </c>
      <c r="P112" s="284"/>
      <c r="Q112" s="285">
        <v>-5.6</v>
      </c>
    </row>
    <row r="113" spans="3:17" s="276" customFormat="1" ht="10.15" customHeight="1" x14ac:dyDescent="0.2">
      <c r="C113" s="278">
        <v>43236</v>
      </c>
      <c r="D113" s="279" t="s">
        <v>357</v>
      </c>
      <c r="E113" s="280" t="s">
        <v>358</v>
      </c>
      <c r="F113" s="281"/>
      <c r="G113" s="281" t="s">
        <v>372</v>
      </c>
      <c r="H113" s="281" t="s">
        <v>373</v>
      </c>
      <c r="I113" s="281" t="s">
        <v>1</v>
      </c>
      <c r="J113" s="282"/>
      <c r="K113" s="282" t="s">
        <v>377</v>
      </c>
      <c r="L113" s="281"/>
      <c r="M113" s="281" t="s">
        <v>365</v>
      </c>
      <c r="N113" s="281" t="s">
        <v>382</v>
      </c>
      <c r="O113" s="283" t="s">
        <v>365</v>
      </c>
      <c r="P113" s="284"/>
      <c r="Q113" s="285">
        <v>-10.76</v>
      </c>
    </row>
    <row r="114" spans="3:17" s="276" customFormat="1" ht="10.15" customHeight="1" x14ac:dyDescent="0.2">
      <c r="C114" s="278">
        <v>43236</v>
      </c>
      <c r="D114" s="279" t="s">
        <v>357</v>
      </c>
      <c r="E114" s="280" t="s">
        <v>358</v>
      </c>
      <c r="F114" s="281"/>
      <c r="G114" s="281" t="s">
        <v>372</v>
      </c>
      <c r="H114" s="281" t="s">
        <v>373</v>
      </c>
      <c r="I114" s="281" t="s">
        <v>1</v>
      </c>
      <c r="J114" s="282"/>
      <c r="K114" s="282" t="s">
        <v>377</v>
      </c>
      <c r="L114" s="281"/>
      <c r="M114" s="281" t="s">
        <v>369</v>
      </c>
      <c r="N114" s="281" t="s">
        <v>383</v>
      </c>
      <c r="O114" s="283" t="s">
        <v>371</v>
      </c>
      <c r="P114" s="284"/>
      <c r="Q114" s="285">
        <v>-81.73</v>
      </c>
    </row>
    <row r="115" spans="3:17" s="276" customFormat="1" ht="18.399999999999999" customHeight="1" x14ac:dyDescent="0.2">
      <c r="C115" s="278">
        <v>43250</v>
      </c>
      <c r="D115" s="279" t="s">
        <v>357</v>
      </c>
      <c r="E115" s="280" t="s">
        <v>358</v>
      </c>
      <c r="F115" s="281"/>
      <c r="G115" s="281" t="s">
        <v>384</v>
      </c>
      <c r="H115" s="281" t="s">
        <v>385</v>
      </c>
      <c r="I115" s="281" t="s">
        <v>202</v>
      </c>
      <c r="J115" s="282"/>
      <c r="K115" s="282" t="s">
        <v>386</v>
      </c>
      <c r="L115" s="281"/>
      <c r="M115" s="281" t="s">
        <v>362</v>
      </c>
      <c r="N115" s="281" t="s">
        <v>378</v>
      </c>
      <c r="O115" s="283" t="s">
        <v>390</v>
      </c>
      <c r="P115" s="284">
        <v>-22.5</v>
      </c>
      <c r="Q115" s="285">
        <v>-1215.8699999999999</v>
      </c>
    </row>
    <row r="116" spans="3:17" s="276" customFormat="1" ht="18.399999999999999" customHeight="1" x14ac:dyDescent="0.2">
      <c r="C116" s="278">
        <v>43250</v>
      </c>
      <c r="D116" s="279" t="s">
        <v>357</v>
      </c>
      <c r="E116" s="280" t="s">
        <v>358</v>
      </c>
      <c r="F116" s="281"/>
      <c r="G116" s="281" t="s">
        <v>384</v>
      </c>
      <c r="H116" s="281" t="s">
        <v>385</v>
      </c>
      <c r="I116" s="281" t="s">
        <v>202</v>
      </c>
      <c r="J116" s="282"/>
      <c r="K116" s="282" t="s">
        <v>386</v>
      </c>
      <c r="L116" s="281"/>
      <c r="M116" s="281" t="s">
        <v>362</v>
      </c>
      <c r="N116" s="281" t="s">
        <v>378</v>
      </c>
      <c r="O116" s="283" t="s">
        <v>387</v>
      </c>
      <c r="P116" s="284">
        <v>52.5</v>
      </c>
      <c r="Q116" s="285">
        <v>2377.15</v>
      </c>
    </row>
    <row r="117" spans="3:17" s="276" customFormat="1" ht="18.399999999999999" customHeight="1" x14ac:dyDescent="0.2">
      <c r="C117" s="278">
        <v>43250</v>
      </c>
      <c r="D117" s="279" t="s">
        <v>357</v>
      </c>
      <c r="E117" s="280" t="s">
        <v>358</v>
      </c>
      <c r="F117" s="281"/>
      <c r="G117" s="281" t="s">
        <v>384</v>
      </c>
      <c r="H117" s="281" t="s">
        <v>385</v>
      </c>
      <c r="I117" s="281" t="s">
        <v>202</v>
      </c>
      <c r="J117" s="282"/>
      <c r="K117" s="282" t="s">
        <v>386</v>
      </c>
      <c r="L117" s="281"/>
      <c r="M117" s="281" t="s">
        <v>362</v>
      </c>
      <c r="N117" s="281" t="s">
        <v>378</v>
      </c>
      <c r="O117" s="283" t="s">
        <v>391</v>
      </c>
      <c r="P117" s="284">
        <v>25</v>
      </c>
      <c r="Q117" s="285">
        <v>1350.96</v>
      </c>
    </row>
    <row r="118" spans="3:17" s="276" customFormat="1" ht="10.15" customHeight="1" x14ac:dyDescent="0.2">
      <c r="C118" s="278">
        <v>43250</v>
      </c>
      <c r="D118" s="279" t="s">
        <v>357</v>
      </c>
      <c r="E118" s="280" t="s">
        <v>358</v>
      </c>
      <c r="F118" s="281"/>
      <c r="G118" s="281" t="s">
        <v>384</v>
      </c>
      <c r="H118" s="281" t="s">
        <v>385</v>
      </c>
      <c r="I118" s="281" t="s">
        <v>202</v>
      </c>
      <c r="J118" s="282"/>
      <c r="K118" s="282" t="s">
        <v>386</v>
      </c>
      <c r="L118" s="281"/>
      <c r="M118" s="281" t="s">
        <v>365</v>
      </c>
      <c r="N118" s="281" t="s">
        <v>380</v>
      </c>
      <c r="O118" s="283" t="s">
        <v>365</v>
      </c>
      <c r="P118" s="284"/>
      <c r="Q118" s="285">
        <v>172.08</v>
      </c>
    </row>
    <row r="119" spans="3:17" s="276" customFormat="1" ht="10.15" customHeight="1" x14ac:dyDescent="0.2">
      <c r="C119" s="278">
        <v>43250</v>
      </c>
      <c r="D119" s="279" t="s">
        <v>357</v>
      </c>
      <c r="E119" s="280" t="s">
        <v>358</v>
      </c>
      <c r="F119" s="281"/>
      <c r="G119" s="281" t="s">
        <v>384</v>
      </c>
      <c r="H119" s="281" t="s">
        <v>385</v>
      </c>
      <c r="I119" s="281" t="s">
        <v>202</v>
      </c>
      <c r="J119" s="282"/>
      <c r="K119" s="282" t="s">
        <v>386</v>
      </c>
      <c r="L119" s="281"/>
      <c r="M119" s="281" t="s">
        <v>365</v>
      </c>
      <c r="N119" s="281" t="s">
        <v>381</v>
      </c>
      <c r="O119" s="283" t="s">
        <v>365</v>
      </c>
      <c r="P119" s="284"/>
      <c r="Q119" s="285">
        <v>17.82</v>
      </c>
    </row>
    <row r="120" spans="3:17" s="276" customFormat="1" ht="10.15" customHeight="1" x14ac:dyDescent="0.2">
      <c r="C120" s="278">
        <v>43250</v>
      </c>
      <c r="D120" s="279" t="s">
        <v>357</v>
      </c>
      <c r="E120" s="280" t="s">
        <v>358</v>
      </c>
      <c r="F120" s="281"/>
      <c r="G120" s="281" t="s">
        <v>384</v>
      </c>
      <c r="H120" s="281" t="s">
        <v>385</v>
      </c>
      <c r="I120" s="281" t="s">
        <v>202</v>
      </c>
      <c r="J120" s="282"/>
      <c r="K120" s="282" t="s">
        <v>386</v>
      </c>
      <c r="L120" s="281"/>
      <c r="M120" s="281" t="s">
        <v>365</v>
      </c>
      <c r="N120" s="281" t="s">
        <v>382</v>
      </c>
      <c r="O120" s="283" t="s">
        <v>365</v>
      </c>
      <c r="P120" s="284"/>
      <c r="Q120" s="285">
        <v>31.4</v>
      </c>
    </row>
    <row r="121" spans="3:17" s="276" customFormat="1" ht="10.15" customHeight="1" x14ac:dyDescent="0.2">
      <c r="C121" s="278">
        <v>43250</v>
      </c>
      <c r="D121" s="279" t="s">
        <v>357</v>
      </c>
      <c r="E121" s="280" t="s">
        <v>358</v>
      </c>
      <c r="F121" s="281"/>
      <c r="G121" s="281" t="s">
        <v>384</v>
      </c>
      <c r="H121" s="281" t="s">
        <v>385</v>
      </c>
      <c r="I121" s="281" t="s">
        <v>202</v>
      </c>
      <c r="J121" s="282"/>
      <c r="K121" s="282" t="s">
        <v>386</v>
      </c>
      <c r="L121" s="281"/>
      <c r="M121" s="281" t="s">
        <v>369</v>
      </c>
      <c r="N121" s="281" t="s">
        <v>383</v>
      </c>
      <c r="O121" s="283" t="s">
        <v>371</v>
      </c>
      <c r="P121" s="284"/>
      <c r="Q121" s="285">
        <v>260.17</v>
      </c>
    </row>
    <row r="122" spans="3:17" s="276" customFormat="1" ht="18.399999999999999" customHeight="1" x14ac:dyDescent="0.2">
      <c r="C122" s="278">
        <v>43250</v>
      </c>
      <c r="D122" s="279" t="s">
        <v>357</v>
      </c>
      <c r="E122" s="280" t="s">
        <v>358</v>
      </c>
      <c r="F122" s="281"/>
      <c r="G122" s="281" t="s">
        <v>388</v>
      </c>
      <c r="H122" s="281" t="s">
        <v>389</v>
      </c>
      <c r="I122" s="281" t="s">
        <v>9</v>
      </c>
      <c r="J122" s="282"/>
      <c r="K122" s="282" t="s">
        <v>386</v>
      </c>
      <c r="L122" s="281"/>
      <c r="M122" s="281" t="s">
        <v>362</v>
      </c>
      <c r="N122" s="281" t="s">
        <v>378</v>
      </c>
      <c r="O122" s="283" t="s">
        <v>387</v>
      </c>
      <c r="P122" s="284">
        <v>14</v>
      </c>
      <c r="Q122" s="285">
        <v>633.91</v>
      </c>
    </row>
    <row r="123" spans="3:17" s="276" customFormat="1" ht="10.15" customHeight="1" x14ac:dyDescent="0.2">
      <c r="C123" s="278">
        <v>43250</v>
      </c>
      <c r="D123" s="279" t="s">
        <v>357</v>
      </c>
      <c r="E123" s="280" t="s">
        <v>358</v>
      </c>
      <c r="F123" s="281"/>
      <c r="G123" s="281" t="s">
        <v>388</v>
      </c>
      <c r="H123" s="281" t="s">
        <v>389</v>
      </c>
      <c r="I123" s="281" t="s">
        <v>9</v>
      </c>
      <c r="J123" s="282"/>
      <c r="K123" s="282" t="s">
        <v>386</v>
      </c>
      <c r="L123" s="281"/>
      <c r="M123" s="281" t="s">
        <v>365</v>
      </c>
      <c r="N123" s="281" t="s">
        <v>380</v>
      </c>
      <c r="O123" s="283" t="s">
        <v>365</v>
      </c>
      <c r="P123" s="284"/>
      <c r="Q123" s="285">
        <v>43.42</v>
      </c>
    </row>
    <row r="124" spans="3:17" s="276" customFormat="1" ht="10.15" customHeight="1" x14ac:dyDescent="0.2">
      <c r="C124" s="278">
        <v>43250</v>
      </c>
      <c r="D124" s="279" t="s">
        <v>357</v>
      </c>
      <c r="E124" s="280" t="s">
        <v>358</v>
      </c>
      <c r="F124" s="281"/>
      <c r="G124" s="281" t="s">
        <v>388</v>
      </c>
      <c r="H124" s="281" t="s">
        <v>389</v>
      </c>
      <c r="I124" s="281" t="s">
        <v>9</v>
      </c>
      <c r="J124" s="282"/>
      <c r="K124" s="282" t="s">
        <v>386</v>
      </c>
      <c r="L124" s="281"/>
      <c r="M124" s="281" t="s">
        <v>365</v>
      </c>
      <c r="N124" s="281" t="s">
        <v>381</v>
      </c>
      <c r="O124" s="283" t="s">
        <v>365</v>
      </c>
      <c r="P124" s="284"/>
      <c r="Q124" s="285">
        <v>4.1399999999999997</v>
      </c>
    </row>
    <row r="125" spans="3:17" s="276" customFormat="1" ht="10.15" customHeight="1" x14ac:dyDescent="0.2">
      <c r="C125" s="278">
        <v>43250</v>
      </c>
      <c r="D125" s="279" t="s">
        <v>357</v>
      </c>
      <c r="E125" s="280" t="s">
        <v>358</v>
      </c>
      <c r="F125" s="281"/>
      <c r="G125" s="281" t="s">
        <v>388</v>
      </c>
      <c r="H125" s="281" t="s">
        <v>389</v>
      </c>
      <c r="I125" s="281" t="s">
        <v>9</v>
      </c>
      <c r="J125" s="282"/>
      <c r="K125" s="282" t="s">
        <v>386</v>
      </c>
      <c r="L125" s="281"/>
      <c r="M125" s="281" t="s">
        <v>365</v>
      </c>
      <c r="N125" s="281" t="s">
        <v>382</v>
      </c>
      <c r="O125" s="283" t="s">
        <v>365</v>
      </c>
      <c r="P125" s="284"/>
      <c r="Q125" s="285">
        <v>7.92</v>
      </c>
    </row>
    <row r="126" spans="3:17" s="276" customFormat="1" ht="10.15" customHeight="1" x14ac:dyDescent="0.2">
      <c r="C126" s="278">
        <v>43250</v>
      </c>
      <c r="D126" s="279" t="s">
        <v>357</v>
      </c>
      <c r="E126" s="280" t="s">
        <v>358</v>
      </c>
      <c r="F126" s="281"/>
      <c r="G126" s="281" t="s">
        <v>388</v>
      </c>
      <c r="H126" s="281" t="s">
        <v>389</v>
      </c>
      <c r="I126" s="281" t="s">
        <v>9</v>
      </c>
      <c r="J126" s="282"/>
      <c r="K126" s="282" t="s">
        <v>386</v>
      </c>
      <c r="L126" s="281"/>
      <c r="M126" s="281" t="s">
        <v>369</v>
      </c>
      <c r="N126" s="281" t="s">
        <v>383</v>
      </c>
      <c r="O126" s="283" t="s">
        <v>371</v>
      </c>
      <c r="P126" s="284"/>
      <c r="Q126" s="285">
        <v>60.22</v>
      </c>
    </row>
    <row r="127" spans="3:17" s="276" customFormat="1" ht="10.15" customHeight="1" x14ac:dyDescent="0.2">
      <c r="C127" s="278">
        <v>43250</v>
      </c>
      <c r="D127" s="279" t="s">
        <v>357</v>
      </c>
      <c r="E127" s="280" t="s">
        <v>358</v>
      </c>
      <c r="F127" s="281"/>
      <c r="G127" s="281" t="s">
        <v>374</v>
      </c>
      <c r="H127" s="281" t="s">
        <v>375</v>
      </c>
      <c r="I127" s="281" t="s">
        <v>376</v>
      </c>
      <c r="J127" s="282"/>
      <c r="K127" s="282" t="s">
        <v>377</v>
      </c>
      <c r="L127" s="281"/>
      <c r="M127" s="281" t="s">
        <v>365</v>
      </c>
      <c r="N127" s="281" t="s">
        <v>381</v>
      </c>
      <c r="O127" s="283" t="s">
        <v>365</v>
      </c>
      <c r="P127" s="284"/>
      <c r="Q127" s="285">
        <v>0</v>
      </c>
    </row>
    <row r="128" spans="3:17" s="276" customFormat="1" ht="10.15" customHeight="1" x14ac:dyDescent="0.2">
      <c r="C128" s="278">
        <v>43250</v>
      </c>
      <c r="D128" s="279" t="s">
        <v>357</v>
      </c>
      <c r="E128" s="280" t="s">
        <v>358</v>
      </c>
      <c r="F128" s="281"/>
      <c r="G128" s="281" t="s">
        <v>374</v>
      </c>
      <c r="H128" s="281" t="s">
        <v>375</v>
      </c>
      <c r="I128" s="281" t="s">
        <v>376</v>
      </c>
      <c r="J128" s="282"/>
      <c r="K128" s="282" t="s">
        <v>377</v>
      </c>
      <c r="L128" s="281"/>
      <c r="M128" s="281" t="s">
        <v>369</v>
      </c>
      <c r="N128" s="281" t="s">
        <v>383</v>
      </c>
      <c r="O128" s="283" t="s">
        <v>371</v>
      </c>
      <c r="P128" s="284"/>
      <c r="Q128" s="285">
        <v>0</v>
      </c>
    </row>
    <row r="129" spans="3:17" s="276" customFormat="1" ht="18.399999999999999" customHeight="1" x14ac:dyDescent="0.2">
      <c r="C129" s="278">
        <v>43250</v>
      </c>
      <c r="D129" s="279" t="s">
        <v>357</v>
      </c>
      <c r="E129" s="280" t="s">
        <v>358</v>
      </c>
      <c r="F129" s="281"/>
      <c r="G129" s="281" t="s">
        <v>359</v>
      </c>
      <c r="H129" s="281" t="s">
        <v>360</v>
      </c>
      <c r="I129" s="281" t="s">
        <v>207</v>
      </c>
      <c r="J129" s="282"/>
      <c r="K129" s="282" t="s">
        <v>386</v>
      </c>
      <c r="L129" s="281"/>
      <c r="M129" s="281" t="s">
        <v>362</v>
      </c>
      <c r="N129" s="281" t="s">
        <v>378</v>
      </c>
      <c r="O129" s="283" t="s">
        <v>387</v>
      </c>
      <c r="P129" s="284">
        <v>65.5</v>
      </c>
      <c r="Q129" s="285">
        <v>2965.78</v>
      </c>
    </row>
    <row r="130" spans="3:17" s="276" customFormat="1" ht="10.15" customHeight="1" x14ac:dyDescent="0.2">
      <c r="C130" s="278">
        <v>43250</v>
      </c>
      <c r="D130" s="279" t="s">
        <v>357</v>
      </c>
      <c r="E130" s="280" t="s">
        <v>358</v>
      </c>
      <c r="F130" s="281"/>
      <c r="G130" s="281" t="s">
        <v>359</v>
      </c>
      <c r="H130" s="281" t="s">
        <v>360</v>
      </c>
      <c r="I130" s="281" t="s">
        <v>207</v>
      </c>
      <c r="J130" s="282"/>
      <c r="K130" s="282" t="s">
        <v>386</v>
      </c>
      <c r="L130" s="281"/>
      <c r="M130" s="281" t="s">
        <v>365</v>
      </c>
      <c r="N130" s="281" t="s">
        <v>380</v>
      </c>
      <c r="O130" s="283" t="s">
        <v>365</v>
      </c>
      <c r="P130" s="284"/>
      <c r="Q130" s="285">
        <v>203.15</v>
      </c>
    </row>
    <row r="131" spans="3:17" s="276" customFormat="1" ht="10.15" customHeight="1" x14ac:dyDescent="0.2">
      <c r="C131" s="278">
        <v>43250</v>
      </c>
      <c r="D131" s="279" t="s">
        <v>357</v>
      </c>
      <c r="E131" s="280" t="s">
        <v>358</v>
      </c>
      <c r="F131" s="281"/>
      <c r="G131" s="281" t="s">
        <v>359</v>
      </c>
      <c r="H131" s="281" t="s">
        <v>360</v>
      </c>
      <c r="I131" s="281" t="s">
        <v>207</v>
      </c>
      <c r="J131" s="282"/>
      <c r="K131" s="282" t="s">
        <v>386</v>
      </c>
      <c r="L131" s="281"/>
      <c r="M131" s="281" t="s">
        <v>365</v>
      </c>
      <c r="N131" s="281" t="s">
        <v>381</v>
      </c>
      <c r="O131" s="283" t="s">
        <v>365</v>
      </c>
      <c r="P131" s="284"/>
      <c r="Q131" s="285">
        <v>19.3</v>
      </c>
    </row>
    <row r="132" spans="3:17" s="276" customFormat="1" ht="10.15" customHeight="1" x14ac:dyDescent="0.2">
      <c r="C132" s="278">
        <v>43250</v>
      </c>
      <c r="D132" s="279" t="s">
        <v>357</v>
      </c>
      <c r="E132" s="280" t="s">
        <v>358</v>
      </c>
      <c r="F132" s="281"/>
      <c r="G132" s="281" t="s">
        <v>359</v>
      </c>
      <c r="H132" s="281" t="s">
        <v>360</v>
      </c>
      <c r="I132" s="281" t="s">
        <v>207</v>
      </c>
      <c r="J132" s="282"/>
      <c r="K132" s="282" t="s">
        <v>386</v>
      </c>
      <c r="L132" s="281"/>
      <c r="M132" s="281" t="s">
        <v>365</v>
      </c>
      <c r="N132" s="281" t="s">
        <v>382</v>
      </c>
      <c r="O132" s="283" t="s">
        <v>365</v>
      </c>
      <c r="P132" s="284"/>
      <c r="Q132" s="285">
        <v>37.07</v>
      </c>
    </row>
    <row r="133" spans="3:17" s="276" customFormat="1" ht="10.15" customHeight="1" x14ac:dyDescent="0.2">
      <c r="C133" s="278">
        <v>43250</v>
      </c>
      <c r="D133" s="279" t="s">
        <v>357</v>
      </c>
      <c r="E133" s="280" t="s">
        <v>358</v>
      </c>
      <c r="F133" s="281"/>
      <c r="G133" s="281" t="s">
        <v>359</v>
      </c>
      <c r="H133" s="281" t="s">
        <v>360</v>
      </c>
      <c r="I133" s="281" t="s">
        <v>207</v>
      </c>
      <c r="J133" s="282"/>
      <c r="K133" s="282" t="s">
        <v>386</v>
      </c>
      <c r="L133" s="281"/>
      <c r="M133" s="281" t="s">
        <v>369</v>
      </c>
      <c r="N133" s="281" t="s">
        <v>383</v>
      </c>
      <c r="O133" s="283" t="s">
        <v>371</v>
      </c>
      <c r="P133" s="284"/>
      <c r="Q133" s="285">
        <v>281.75</v>
      </c>
    </row>
    <row r="134" spans="3:17" s="276" customFormat="1" ht="10.15" customHeight="1" x14ac:dyDescent="0.2">
      <c r="C134" s="278">
        <v>43250</v>
      </c>
      <c r="D134" s="279" t="s">
        <v>357</v>
      </c>
      <c r="E134" s="280" t="s">
        <v>358</v>
      </c>
      <c r="F134" s="281"/>
      <c r="G134" s="281" t="s">
        <v>372</v>
      </c>
      <c r="H134" s="281" t="s">
        <v>373</v>
      </c>
      <c r="I134" s="281" t="s">
        <v>1</v>
      </c>
      <c r="J134" s="282"/>
      <c r="K134" s="282" t="s">
        <v>361</v>
      </c>
      <c r="L134" s="281"/>
      <c r="M134" s="281" t="s">
        <v>365</v>
      </c>
      <c r="N134" s="281" t="s">
        <v>367</v>
      </c>
      <c r="O134" s="283" t="s">
        <v>365</v>
      </c>
      <c r="P134" s="284"/>
      <c r="Q134" s="285">
        <v>-1.00000000000005E-2</v>
      </c>
    </row>
    <row r="135" spans="3:17" s="276" customFormat="1" ht="10.15" customHeight="1" x14ac:dyDescent="0.2">
      <c r="C135" s="278">
        <v>43250</v>
      </c>
      <c r="D135" s="279" t="s">
        <v>357</v>
      </c>
      <c r="E135" s="280" t="s">
        <v>358</v>
      </c>
      <c r="F135" s="281"/>
      <c r="G135" s="281" t="s">
        <v>372</v>
      </c>
      <c r="H135" s="281" t="s">
        <v>373</v>
      </c>
      <c r="I135" s="281" t="s">
        <v>1</v>
      </c>
      <c r="J135" s="282"/>
      <c r="K135" s="282" t="s">
        <v>361</v>
      </c>
      <c r="L135" s="281"/>
      <c r="M135" s="281" t="s">
        <v>369</v>
      </c>
      <c r="N135" s="281" t="s">
        <v>370</v>
      </c>
      <c r="O135" s="283" t="s">
        <v>371</v>
      </c>
      <c r="P135" s="284"/>
      <c r="Q135" s="285">
        <v>-5.3290705182007498E-15</v>
      </c>
    </row>
    <row r="136" spans="3:17" s="276" customFormat="1" ht="18.399999999999999" customHeight="1" x14ac:dyDescent="0.2">
      <c r="C136" s="278">
        <v>43250</v>
      </c>
      <c r="D136" s="279" t="s">
        <v>357</v>
      </c>
      <c r="E136" s="280" t="s">
        <v>358</v>
      </c>
      <c r="F136" s="281"/>
      <c r="G136" s="281" t="s">
        <v>372</v>
      </c>
      <c r="H136" s="281" t="s">
        <v>373</v>
      </c>
      <c r="I136" s="281" t="s">
        <v>1</v>
      </c>
      <c r="J136" s="282"/>
      <c r="K136" s="282" t="s">
        <v>377</v>
      </c>
      <c r="L136" s="281"/>
      <c r="M136" s="281" t="s">
        <v>362</v>
      </c>
      <c r="N136" s="281" t="s">
        <v>378</v>
      </c>
      <c r="O136" s="283" t="s">
        <v>387</v>
      </c>
      <c r="P136" s="284">
        <v>4</v>
      </c>
      <c r="Q136" s="285">
        <v>181.12</v>
      </c>
    </row>
    <row r="137" spans="3:17" s="276" customFormat="1" ht="10.15" customHeight="1" x14ac:dyDescent="0.2">
      <c r="C137" s="278">
        <v>43250</v>
      </c>
      <c r="D137" s="279" t="s">
        <v>357</v>
      </c>
      <c r="E137" s="280" t="s">
        <v>358</v>
      </c>
      <c r="F137" s="281"/>
      <c r="G137" s="281" t="s">
        <v>372</v>
      </c>
      <c r="H137" s="281" t="s">
        <v>373</v>
      </c>
      <c r="I137" s="281" t="s">
        <v>1</v>
      </c>
      <c r="J137" s="282"/>
      <c r="K137" s="282" t="s">
        <v>377</v>
      </c>
      <c r="L137" s="281"/>
      <c r="M137" s="281" t="s">
        <v>365</v>
      </c>
      <c r="N137" s="281" t="s">
        <v>380</v>
      </c>
      <c r="O137" s="283" t="s">
        <v>365</v>
      </c>
      <c r="P137" s="284"/>
      <c r="Q137" s="285">
        <v>12.4</v>
      </c>
    </row>
    <row r="138" spans="3:17" s="276" customFormat="1" ht="10.15" customHeight="1" x14ac:dyDescent="0.2">
      <c r="C138" s="278">
        <v>43250</v>
      </c>
      <c r="D138" s="279" t="s">
        <v>357</v>
      </c>
      <c r="E138" s="280" t="s">
        <v>358</v>
      </c>
      <c r="F138" s="281"/>
      <c r="G138" s="281" t="s">
        <v>372</v>
      </c>
      <c r="H138" s="281" t="s">
        <v>373</v>
      </c>
      <c r="I138" s="281" t="s">
        <v>1</v>
      </c>
      <c r="J138" s="282"/>
      <c r="K138" s="282" t="s">
        <v>377</v>
      </c>
      <c r="L138" s="281"/>
      <c r="M138" s="281" t="s">
        <v>365</v>
      </c>
      <c r="N138" s="281" t="s">
        <v>381</v>
      </c>
      <c r="O138" s="283" t="s">
        <v>365</v>
      </c>
      <c r="P138" s="284"/>
      <c r="Q138" s="285">
        <v>1.18</v>
      </c>
    </row>
    <row r="139" spans="3:17" s="276" customFormat="1" ht="10.15" customHeight="1" x14ac:dyDescent="0.2">
      <c r="C139" s="278">
        <v>43250</v>
      </c>
      <c r="D139" s="279" t="s">
        <v>357</v>
      </c>
      <c r="E139" s="280" t="s">
        <v>358</v>
      </c>
      <c r="F139" s="281"/>
      <c r="G139" s="281" t="s">
        <v>372</v>
      </c>
      <c r="H139" s="281" t="s">
        <v>373</v>
      </c>
      <c r="I139" s="281" t="s">
        <v>1</v>
      </c>
      <c r="J139" s="282"/>
      <c r="K139" s="282" t="s">
        <v>377</v>
      </c>
      <c r="L139" s="281"/>
      <c r="M139" s="281" t="s">
        <v>365</v>
      </c>
      <c r="N139" s="281" t="s">
        <v>382</v>
      </c>
      <c r="O139" s="283" t="s">
        <v>365</v>
      </c>
      <c r="P139" s="284"/>
      <c r="Q139" s="285">
        <v>2.2599999999999998</v>
      </c>
    </row>
    <row r="140" spans="3:17" s="276" customFormat="1" ht="10.15" customHeight="1" x14ac:dyDescent="0.2">
      <c r="C140" s="278">
        <v>43250</v>
      </c>
      <c r="D140" s="279" t="s">
        <v>357</v>
      </c>
      <c r="E140" s="280" t="s">
        <v>358</v>
      </c>
      <c r="F140" s="281"/>
      <c r="G140" s="281" t="s">
        <v>372</v>
      </c>
      <c r="H140" s="281" t="s">
        <v>373</v>
      </c>
      <c r="I140" s="281" t="s">
        <v>1</v>
      </c>
      <c r="J140" s="282"/>
      <c r="K140" s="282" t="s">
        <v>377</v>
      </c>
      <c r="L140" s="281"/>
      <c r="M140" s="281" t="s">
        <v>369</v>
      </c>
      <c r="N140" s="281" t="s">
        <v>383</v>
      </c>
      <c r="O140" s="283" t="s">
        <v>371</v>
      </c>
      <c r="P140" s="284"/>
      <c r="Q140" s="285">
        <v>17.21</v>
      </c>
    </row>
    <row r="141" spans="3:17" s="276" customFormat="1" ht="18.399999999999999" customHeight="1" x14ac:dyDescent="0.2">
      <c r="C141" s="278">
        <v>43264</v>
      </c>
      <c r="D141" s="279" t="s">
        <v>357</v>
      </c>
      <c r="E141" s="280" t="s">
        <v>358</v>
      </c>
      <c r="F141" s="281"/>
      <c r="G141" s="281" t="s">
        <v>384</v>
      </c>
      <c r="H141" s="281" t="s">
        <v>385</v>
      </c>
      <c r="I141" s="281" t="s">
        <v>202</v>
      </c>
      <c r="J141" s="282"/>
      <c r="K141" s="282" t="s">
        <v>386</v>
      </c>
      <c r="L141" s="281"/>
      <c r="M141" s="281" t="s">
        <v>362</v>
      </c>
      <c r="N141" s="281" t="s">
        <v>378</v>
      </c>
      <c r="O141" s="283" t="s">
        <v>387</v>
      </c>
      <c r="P141" s="284">
        <v>30</v>
      </c>
      <c r="Q141" s="285">
        <v>1358.37</v>
      </c>
    </row>
    <row r="142" spans="3:17" s="276" customFormat="1" ht="10.15" customHeight="1" x14ac:dyDescent="0.2">
      <c r="C142" s="278">
        <v>43264</v>
      </c>
      <c r="D142" s="279" t="s">
        <v>357</v>
      </c>
      <c r="E142" s="280" t="s">
        <v>358</v>
      </c>
      <c r="F142" s="281"/>
      <c r="G142" s="281" t="s">
        <v>384</v>
      </c>
      <c r="H142" s="281" t="s">
        <v>385</v>
      </c>
      <c r="I142" s="281" t="s">
        <v>202</v>
      </c>
      <c r="J142" s="282"/>
      <c r="K142" s="282" t="s">
        <v>386</v>
      </c>
      <c r="L142" s="281"/>
      <c r="M142" s="281" t="s">
        <v>365</v>
      </c>
      <c r="N142" s="281" t="s">
        <v>380</v>
      </c>
      <c r="O142" s="283" t="s">
        <v>365</v>
      </c>
      <c r="P142" s="284"/>
      <c r="Q142" s="285">
        <v>93.04</v>
      </c>
    </row>
    <row r="143" spans="3:17" s="276" customFormat="1" ht="10.15" customHeight="1" x14ac:dyDescent="0.2">
      <c r="C143" s="278">
        <v>43264</v>
      </c>
      <c r="D143" s="279" t="s">
        <v>357</v>
      </c>
      <c r="E143" s="280" t="s">
        <v>358</v>
      </c>
      <c r="F143" s="281"/>
      <c r="G143" s="281" t="s">
        <v>384</v>
      </c>
      <c r="H143" s="281" t="s">
        <v>385</v>
      </c>
      <c r="I143" s="281" t="s">
        <v>202</v>
      </c>
      <c r="J143" s="282"/>
      <c r="K143" s="282" t="s">
        <v>386</v>
      </c>
      <c r="L143" s="281"/>
      <c r="M143" s="281" t="s">
        <v>365</v>
      </c>
      <c r="N143" s="281" t="s">
        <v>381</v>
      </c>
      <c r="O143" s="283" t="s">
        <v>365</v>
      </c>
      <c r="P143" s="284"/>
      <c r="Q143" s="285">
        <v>8.84</v>
      </c>
    </row>
    <row r="144" spans="3:17" s="276" customFormat="1" ht="10.15" customHeight="1" x14ac:dyDescent="0.2">
      <c r="C144" s="278">
        <v>43264</v>
      </c>
      <c r="D144" s="279" t="s">
        <v>357</v>
      </c>
      <c r="E144" s="280" t="s">
        <v>358</v>
      </c>
      <c r="F144" s="281"/>
      <c r="G144" s="281" t="s">
        <v>384</v>
      </c>
      <c r="H144" s="281" t="s">
        <v>385</v>
      </c>
      <c r="I144" s="281" t="s">
        <v>202</v>
      </c>
      <c r="J144" s="282"/>
      <c r="K144" s="282" t="s">
        <v>386</v>
      </c>
      <c r="L144" s="281"/>
      <c r="M144" s="281" t="s">
        <v>365</v>
      </c>
      <c r="N144" s="281" t="s">
        <v>382</v>
      </c>
      <c r="O144" s="283" t="s">
        <v>365</v>
      </c>
      <c r="P144" s="284"/>
      <c r="Q144" s="285">
        <v>16.98</v>
      </c>
    </row>
    <row r="145" spans="3:17" s="276" customFormat="1" ht="10.15" customHeight="1" x14ac:dyDescent="0.2">
      <c r="C145" s="278">
        <v>43264</v>
      </c>
      <c r="D145" s="279" t="s">
        <v>357</v>
      </c>
      <c r="E145" s="280" t="s">
        <v>358</v>
      </c>
      <c r="F145" s="281"/>
      <c r="G145" s="281" t="s">
        <v>384</v>
      </c>
      <c r="H145" s="281" t="s">
        <v>385</v>
      </c>
      <c r="I145" s="281" t="s">
        <v>202</v>
      </c>
      <c r="J145" s="282"/>
      <c r="K145" s="282" t="s">
        <v>386</v>
      </c>
      <c r="L145" s="281"/>
      <c r="M145" s="281" t="s">
        <v>369</v>
      </c>
      <c r="N145" s="281" t="s">
        <v>383</v>
      </c>
      <c r="O145" s="283" t="s">
        <v>371</v>
      </c>
      <c r="P145" s="284"/>
      <c r="Q145" s="285">
        <v>129.05000000000001</v>
      </c>
    </row>
    <row r="146" spans="3:17" s="276" customFormat="1" ht="18.399999999999999" customHeight="1" x14ac:dyDescent="0.2">
      <c r="C146" s="278">
        <v>43264</v>
      </c>
      <c r="D146" s="279" t="s">
        <v>357</v>
      </c>
      <c r="E146" s="280" t="s">
        <v>358</v>
      </c>
      <c r="F146" s="281"/>
      <c r="G146" s="281" t="s">
        <v>388</v>
      </c>
      <c r="H146" s="281" t="s">
        <v>389</v>
      </c>
      <c r="I146" s="281" t="s">
        <v>9</v>
      </c>
      <c r="J146" s="282"/>
      <c r="K146" s="282" t="s">
        <v>386</v>
      </c>
      <c r="L146" s="281"/>
      <c r="M146" s="281" t="s">
        <v>362</v>
      </c>
      <c r="N146" s="281" t="s">
        <v>378</v>
      </c>
      <c r="O146" s="283" t="s">
        <v>387</v>
      </c>
      <c r="P146" s="284">
        <v>14</v>
      </c>
      <c r="Q146" s="285">
        <v>633.91</v>
      </c>
    </row>
    <row r="147" spans="3:17" s="276" customFormat="1" ht="10.15" customHeight="1" x14ac:dyDescent="0.2">
      <c r="C147" s="278">
        <v>43264</v>
      </c>
      <c r="D147" s="279" t="s">
        <v>357</v>
      </c>
      <c r="E147" s="280" t="s">
        <v>358</v>
      </c>
      <c r="F147" s="281"/>
      <c r="G147" s="281" t="s">
        <v>388</v>
      </c>
      <c r="H147" s="281" t="s">
        <v>389</v>
      </c>
      <c r="I147" s="281" t="s">
        <v>9</v>
      </c>
      <c r="J147" s="282"/>
      <c r="K147" s="282" t="s">
        <v>386</v>
      </c>
      <c r="L147" s="281"/>
      <c r="M147" s="281" t="s">
        <v>365</v>
      </c>
      <c r="N147" s="281" t="s">
        <v>380</v>
      </c>
      <c r="O147" s="283" t="s">
        <v>365</v>
      </c>
      <c r="P147" s="284"/>
      <c r="Q147" s="285">
        <v>43.42</v>
      </c>
    </row>
    <row r="148" spans="3:17" s="276" customFormat="1" ht="10.15" customHeight="1" x14ac:dyDescent="0.2">
      <c r="C148" s="278">
        <v>43264</v>
      </c>
      <c r="D148" s="279" t="s">
        <v>357</v>
      </c>
      <c r="E148" s="280" t="s">
        <v>358</v>
      </c>
      <c r="F148" s="281"/>
      <c r="G148" s="281" t="s">
        <v>388</v>
      </c>
      <c r="H148" s="281" t="s">
        <v>389</v>
      </c>
      <c r="I148" s="281" t="s">
        <v>9</v>
      </c>
      <c r="J148" s="282"/>
      <c r="K148" s="282" t="s">
        <v>386</v>
      </c>
      <c r="L148" s="281"/>
      <c r="M148" s="281" t="s">
        <v>365</v>
      </c>
      <c r="N148" s="281" t="s">
        <v>381</v>
      </c>
      <c r="O148" s="283" t="s">
        <v>365</v>
      </c>
      <c r="P148" s="284"/>
      <c r="Q148" s="285">
        <v>4.13</v>
      </c>
    </row>
    <row r="149" spans="3:17" s="276" customFormat="1" ht="10.15" customHeight="1" x14ac:dyDescent="0.2">
      <c r="C149" s="278">
        <v>43264</v>
      </c>
      <c r="D149" s="279" t="s">
        <v>357</v>
      </c>
      <c r="E149" s="280" t="s">
        <v>358</v>
      </c>
      <c r="F149" s="281"/>
      <c r="G149" s="281" t="s">
        <v>388</v>
      </c>
      <c r="H149" s="281" t="s">
        <v>389</v>
      </c>
      <c r="I149" s="281" t="s">
        <v>9</v>
      </c>
      <c r="J149" s="282"/>
      <c r="K149" s="282" t="s">
        <v>386</v>
      </c>
      <c r="L149" s="281"/>
      <c r="M149" s="281" t="s">
        <v>365</v>
      </c>
      <c r="N149" s="281" t="s">
        <v>382</v>
      </c>
      <c r="O149" s="283" t="s">
        <v>365</v>
      </c>
      <c r="P149" s="284"/>
      <c r="Q149" s="285">
        <v>7.92</v>
      </c>
    </row>
    <row r="150" spans="3:17" s="276" customFormat="1" ht="10.15" customHeight="1" x14ac:dyDescent="0.2">
      <c r="C150" s="278">
        <v>43264</v>
      </c>
      <c r="D150" s="279" t="s">
        <v>357</v>
      </c>
      <c r="E150" s="280" t="s">
        <v>358</v>
      </c>
      <c r="F150" s="281"/>
      <c r="G150" s="281" t="s">
        <v>388</v>
      </c>
      <c r="H150" s="281" t="s">
        <v>389</v>
      </c>
      <c r="I150" s="281" t="s">
        <v>9</v>
      </c>
      <c r="J150" s="282"/>
      <c r="K150" s="282" t="s">
        <v>386</v>
      </c>
      <c r="L150" s="281"/>
      <c r="M150" s="281" t="s">
        <v>369</v>
      </c>
      <c r="N150" s="281" t="s">
        <v>383</v>
      </c>
      <c r="O150" s="283" t="s">
        <v>371</v>
      </c>
      <c r="P150" s="284"/>
      <c r="Q150" s="285">
        <v>60.22</v>
      </c>
    </row>
    <row r="151" spans="3:17" s="276" customFormat="1" ht="18.399999999999999" customHeight="1" x14ac:dyDescent="0.2">
      <c r="C151" s="278">
        <v>43264</v>
      </c>
      <c r="D151" s="279" t="s">
        <v>357</v>
      </c>
      <c r="E151" s="280" t="s">
        <v>358</v>
      </c>
      <c r="F151" s="281"/>
      <c r="G151" s="281" t="s">
        <v>359</v>
      </c>
      <c r="H151" s="281" t="s">
        <v>360</v>
      </c>
      <c r="I151" s="281" t="s">
        <v>207</v>
      </c>
      <c r="J151" s="282"/>
      <c r="K151" s="282" t="s">
        <v>386</v>
      </c>
      <c r="L151" s="281"/>
      <c r="M151" s="281" t="s">
        <v>362</v>
      </c>
      <c r="N151" s="281" t="s">
        <v>378</v>
      </c>
      <c r="O151" s="283" t="s">
        <v>387</v>
      </c>
      <c r="P151" s="284">
        <v>4</v>
      </c>
      <c r="Q151" s="285">
        <v>181.12</v>
      </c>
    </row>
    <row r="152" spans="3:17" s="276" customFormat="1" ht="10.15" customHeight="1" x14ac:dyDescent="0.2">
      <c r="C152" s="278">
        <v>43264</v>
      </c>
      <c r="D152" s="279" t="s">
        <v>357</v>
      </c>
      <c r="E152" s="280" t="s">
        <v>358</v>
      </c>
      <c r="F152" s="281"/>
      <c r="G152" s="281" t="s">
        <v>359</v>
      </c>
      <c r="H152" s="281" t="s">
        <v>360</v>
      </c>
      <c r="I152" s="281" t="s">
        <v>207</v>
      </c>
      <c r="J152" s="282"/>
      <c r="K152" s="282" t="s">
        <v>386</v>
      </c>
      <c r="L152" s="281"/>
      <c r="M152" s="281" t="s">
        <v>365</v>
      </c>
      <c r="N152" s="281" t="s">
        <v>380</v>
      </c>
      <c r="O152" s="283" t="s">
        <v>365</v>
      </c>
      <c r="P152" s="284"/>
      <c r="Q152" s="285">
        <v>12.4</v>
      </c>
    </row>
    <row r="153" spans="3:17" s="276" customFormat="1" ht="10.15" customHeight="1" x14ac:dyDescent="0.2">
      <c r="C153" s="278">
        <v>43264</v>
      </c>
      <c r="D153" s="279" t="s">
        <v>357</v>
      </c>
      <c r="E153" s="280" t="s">
        <v>358</v>
      </c>
      <c r="F153" s="281"/>
      <c r="G153" s="281" t="s">
        <v>359</v>
      </c>
      <c r="H153" s="281" t="s">
        <v>360</v>
      </c>
      <c r="I153" s="281" t="s">
        <v>207</v>
      </c>
      <c r="J153" s="282"/>
      <c r="K153" s="282" t="s">
        <v>386</v>
      </c>
      <c r="L153" s="281"/>
      <c r="M153" s="281" t="s">
        <v>365</v>
      </c>
      <c r="N153" s="281" t="s">
        <v>382</v>
      </c>
      <c r="O153" s="283" t="s">
        <v>365</v>
      </c>
      <c r="P153" s="284"/>
      <c r="Q153" s="285">
        <v>2.2599999999999998</v>
      </c>
    </row>
    <row r="154" spans="3:17" s="276" customFormat="1" ht="18.399999999999999" customHeight="1" x14ac:dyDescent="0.2">
      <c r="C154" s="278">
        <v>43264</v>
      </c>
      <c r="D154" s="279" t="s">
        <v>357</v>
      </c>
      <c r="E154" s="280" t="s">
        <v>358</v>
      </c>
      <c r="F154" s="281"/>
      <c r="G154" s="281" t="s">
        <v>372</v>
      </c>
      <c r="H154" s="281" t="s">
        <v>373</v>
      </c>
      <c r="I154" s="281" t="s">
        <v>1</v>
      </c>
      <c r="J154" s="282"/>
      <c r="K154" s="282" t="s">
        <v>377</v>
      </c>
      <c r="L154" s="281"/>
      <c r="M154" s="281" t="s">
        <v>362</v>
      </c>
      <c r="N154" s="281" t="s">
        <v>378</v>
      </c>
      <c r="O154" s="283" t="s">
        <v>387</v>
      </c>
      <c r="P154" s="284">
        <v>4</v>
      </c>
      <c r="Q154" s="285">
        <v>181.12</v>
      </c>
    </row>
    <row r="155" spans="3:17" s="276" customFormat="1" ht="10.15" customHeight="1" x14ac:dyDescent="0.2">
      <c r="C155" s="278">
        <v>43264</v>
      </c>
      <c r="D155" s="279" t="s">
        <v>357</v>
      </c>
      <c r="E155" s="280" t="s">
        <v>358</v>
      </c>
      <c r="F155" s="281"/>
      <c r="G155" s="281" t="s">
        <v>372</v>
      </c>
      <c r="H155" s="281" t="s">
        <v>373</v>
      </c>
      <c r="I155" s="281" t="s">
        <v>1</v>
      </c>
      <c r="J155" s="282"/>
      <c r="K155" s="282" t="s">
        <v>377</v>
      </c>
      <c r="L155" s="281"/>
      <c r="M155" s="281" t="s">
        <v>365</v>
      </c>
      <c r="N155" s="281" t="s">
        <v>380</v>
      </c>
      <c r="O155" s="283" t="s">
        <v>365</v>
      </c>
      <c r="P155" s="284"/>
      <c r="Q155" s="285">
        <v>12.4</v>
      </c>
    </row>
    <row r="156" spans="3:17" s="276" customFormat="1" ht="10.15" customHeight="1" x14ac:dyDescent="0.2">
      <c r="C156" s="278">
        <v>43264</v>
      </c>
      <c r="D156" s="279" t="s">
        <v>357</v>
      </c>
      <c r="E156" s="280" t="s">
        <v>358</v>
      </c>
      <c r="F156" s="281"/>
      <c r="G156" s="281" t="s">
        <v>372</v>
      </c>
      <c r="H156" s="281" t="s">
        <v>373</v>
      </c>
      <c r="I156" s="281" t="s">
        <v>1</v>
      </c>
      <c r="J156" s="282"/>
      <c r="K156" s="282" t="s">
        <v>377</v>
      </c>
      <c r="L156" s="281"/>
      <c r="M156" s="281" t="s">
        <v>365</v>
      </c>
      <c r="N156" s="281" t="s">
        <v>382</v>
      </c>
      <c r="O156" s="283" t="s">
        <v>365</v>
      </c>
      <c r="P156" s="284"/>
      <c r="Q156" s="285">
        <v>2.2599999999999998</v>
      </c>
    </row>
    <row r="157" spans="3:17" s="276" customFormat="1" ht="18.399999999999999" customHeight="1" x14ac:dyDescent="0.2">
      <c r="C157" s="278">
        <v>43278</v>
      </c>
      <c r="D157" s="279" t="s">
        <v>357</v>
      </c>
      <c r="E157" s="280" t="s">
        <v>358</v>
      </c>
      <c r="F157" s="281"/>
      <c r="G157" s="281" t="s">
        <v>384</v>
      </c>
      <c r="H157" s="281" t="s">
        <v>385</v>
      </c>
      <c r="I157" s="281" t="s">
        <v>202</v>
      </c>
      <c r="J157" s="282"/>
      <c r="K157" s="282" t="s">
        <v>386</v>
      </c>
      <c r="L157" s="281"/>
      <c r="M157" s="281" t="s">
        <v>362</v>
      </c>
      <c r="N157" s="281" t="s">
        <v>378</v>
      </c>
      <c r="O157" s="283" t="s">
        <v>387</v>
      </c>
      <c r="P157" s="284">
        <v>30</v>
      </c>
      <c r="Q157" s="285">
        <v>1358.37</v>
      </c>
    </row>
    <row r="158" spans="3:17" s="276" customFormat="1" ht="10.15" customHeight="1" x14ac:dyDescent="0.2">
      <c r="C158" s="278">
        <v>43278</v>
      </c>
      <c r="D158" s="279" t="s">
        <v>357</v>
      </c>
      <c r="E158" s="280" t="s">
        <v>358</v>
      </c>
      <c r="F158" s="281"/>
      <c r="G158" s="281" t="s">
        <v>384</v>
      </c>
      <c r="H158" s="281" t="s">
        <v>385</v>
      </c>
      <c r="I158" s="281" t="s">
        <v>202</v>
      </c>
      <c r="J158" s="282"/>
      <c r="K158" s="282" t="s">
        <v>386</v>
      </c>
      <c r="L158" s="281"/>
      <c r="M158" s="281" t="s">
        <v>365</v>
      </c>
      <c r="N158" s="281" t="s">
        <v>380</v>
      </c>
      <c r="O158" s="283" t="s">
        <v>365</v>
      </c>
      <c r="P158" s="284"/>
      <c r="Q158" s="285">
        <v>93.04</v>
      </c>
    </row>
    <row r="159" spans="3:17" s="276" customFormat="1" ht="10.15" customHeight="1" x14ac:dyDescent="0.2">
      <c r="C159" s="278">
        <v>43278</v>
      </c>
      <c r="D159" s="279" t="s">
        <v>357</v>
      </c>
      <c r="E159" s="280" t="s">
        <v>358</v>
      </c>
      <c r="F159" s="281"/>
      <c r="G159" s="281" t="s">
        <v>384</v>
      </c>
      <c r="H159" s="281" t="s">
        <v>385</v>
      </c>
      <c r="I159" s="281" t="s">
        <v>202</v>
      </c>
      <c r="J159" s="282"/>
      <c r="K159" s="282" t="s">
        <v>386</v>
      </c>
      <c r="L159" s="281"/>
      <c r="M159" s="281" t="s">
        <v>365</v>
      </c>
      <c r="N159" s="281" t="s">
        <v>381</v>
      </c>
      <c r="O159" s="283" t="s">
        <v>365</v>
      </c>
      <c r="P159" s="284"/>
      <c r="Q159" s="285">
        <v>8.84</v>
      </c>
    </row>
    <row r="160" spans="3:17" s="276" customFormat="1" ht="10.15" customHeight="1" x14ac:dyDescent="0.2">
      <c r="C160" s="278">
        <v>43278</v>
      </c>
      <c r="D160" s="279" t="s">
        <v>357</v>
      </c>
      <c r="E160" s="280" t="s">
        <v>358</v>
      </c>
      <c r="F160" s="281"/>
      <c r="G160" s="281" t="s">
        <v>384</v>
      </c>
      <c r="H160" s="281" t="s">
        <v>385</v>
      </c>
      <c r="I160" s="281" t="s">
        <v>202</v>
      </c>
      <c r="J160" s="282"/>
      <c r="K160" s="282" t="s">
        <v>386</v>
      </c>
      <c r="L160" s="281"/>
      <c r="M160" s="281" t="s">
        <v>365</v>
      </c>
      <c r="N160" s="281" t="s">
        <v>382</v>
      </c>
      <c r="O160" s="283" t="s">
        <v>365</v>
      </c>
      <c r="P160" s="284"/>
      <c r="Q160" s="285">
        <v>16.98</v>
      </c>
    </row>
    <row r="161" spans="3:17" s="276" customFormat="1" ht="10.15" customHeight="1" x14ac:dyDescent="0.2">
      <c r="C161" s="278">
        <v>43278</v>
      </c>
      <c r="D161" s="279" t="s">
        <v>357</v>
      </c>
      <c r="E161" s="280" t="s">
        <v>358</v>
      </c>
      <c r="F161" s="281"/>
      <c r="G161" s="281" t="s">
        <v>384</v>
      </c>
      <c r="H161" s="281" t="s">
        <v>385</v>
      </c>
      <c r="I161" s="281" t="s">
        <v>202</v>
      </c>
      <c r="J161" s="282"/>
      <c r="K161" s="282" t="s">
        <v>386</v>
      </c>
      <c r="L161" s="281"/>
      <c r="M161" s="281" t="s">
        <v>369</v>
      </c>
      <c r="N161" s="281" t="s">
        <v>383</v>
      </c>
      <c r="O161" s="283" t="s">
        <v>371</v>
      </c>
      <c r="P161" s="284"/>
      <c r="Q161" s="285">
        <v>129.05000000000001</v>
      </c>
    </row>
    <row r="162" spans="3:17" s="276" customFormat="1" ht="18.399999999999999" customHeight="1" x14ac:dyDescent="0.2">
      <c r="C162" s="278">
        <v>43278</v>
      </c>
      <c r="D162" s="279" t="s">
        <v>357</v>
      </c>
      <c r="E162" s="280" t="s">
        <v>358</v>
      </c>
      <c r="F162" s="281"/>
      <c r="G162" s="281" t="s">
        <v>388</v>
      </c>
      <c r="H162" s="281" t="s">
        <v>389</v>
      </c>
      <c r="I162" s="281" t="s">
        <v>9</v>
      </c>
      <c r="J162" s="282"/>
      <c r="K162" s="282" t="s">
        <v>386</v>
      </c>
      <c r="L162" s="281"/>
      <c r="M162" s="281" t="s">
        <v>362</v>
      </c>
      <c r="N162" s="281" t="s">
        <v>378</v>
      </c>
      <c r="O162" s="283" t="s">
        <v>387</v>
      </c>
      <c r="P162" s="284">
        <v>14</v>
      </c>
      <c r="Q162" s="285">
        <v>633.91</v>
      </c>
    </row>
    <row r="163" spans="3:17" s="276" customFormat="1" ht="10.15" customHeight="1" x14ac:dyDescent="0.2">
      <c r="C163" s="278">
        <v>43278</v>
      </c>
      <c r="D163" s="279" t="s">
        <v>357</v>
      </c>
      <c r="E163" s="280" t="s">
        <v>358</v>
      </c>
      <c r="F163" s="281"/>
      <c r="G163" s="281" t="s">
        <v>388</v>
      </c>
      <c r="H163" s="281" t="s">
        <v>389</v>
      </c>
      <c r="I163" s="281" t="s">
        <v>9</v>
      </c>
      <c r="J163" s="282"/>
      <c r="K163" s="282" t="s">
        <v>386</v>
      </c>
      <c r="L163" s="281"/>
      <c r="M163" s="281" t="s">
        <v>365</v>
      </c>
      <c r="N163" s="281" t="s">
        <v>380</v>
      </c>
      <c r="O163" s="283" t="s">
        <v>365</v>
      </c>
      <c r="P163" s="284"/>
      <c r="Q163" s="285">
        <v>43.42</v>
      </c>
    </row>
    <row r="164" spans="3:17" s="276" customFormat="1" ht="10.15" customHeight="1" x14ac:dyDescent="0.2">
      <c r="C164" s="278">
        <v>43278</v>
      </c>
      <c r="D164" s="279" t="s">
        <v>357</v>
      </c>
      <c r="E164" s="280" t="s">
        <v>358</v>
      </c>
      <c r="F164" s="281"/>
      <c r="G164" s="281" t="s">
        <v>388</v>
      </c>
      <c r="H164" s="281" t="s">
        <v>389</v>
      </c>
      <c r="I164" s="281" t="s">
        <v>9</v>
      </c>
      <c r="J164" s="282"/>
      <c r="K164" s="282" t="s">
        <v>386</v>
      </c>
      <c r="L164" s="281"/>
      <c r="M164" s="281" t="s">
        <v>365</v>
      </c>
      <c r="N164" s="281" t="s">
        <v>381</v>
      </c>
      <c r="O164" s="283" t="s">
        <v>365</v>
      </c>
      <c r="P164" s="284"/>
      <c r="Q164" s="285">
        <v>4.13</v>
      </c>
    </row>
    <row r="165" spans="3:17" s="276" customFormat="1" ht="10.15" customHeight="1" x14ac:dyDescent="0.2">
      <c r="C165" s="278">
        <v>43278</v>
      </c>
      <c r="D165" s="279" t="s">
        <v>357</v>
      </c>
      <c r="E165" s="280" t="s">
        <v>358</v>
      </c>
      <c r="F165" s="281"/>
      <c r="G165" s="281" t="s">
        <v>388</v>
      </c>
      <c r="H165" s="281" t="s">
        <v>389</v>
      </c>
      <c r="I165" s="281" t="s">
        <v>9</v>
      </c>
      <c r="J165" s="282"/>
      <c r="K165" s="282" t="s">
        <v>386</v>
      </c>
      <c r="L165" s="281"/>
      <c r="M165" s="281" t="s">
        <v>365</v>
      </c>
      <c r="N165" s="281" t="s">
        <v>382</v>
      </c>
      <c r="O165" s="283" t="s">
        <v>365</v>
      </c>
      <c r="P165" s="284"/>
      <c r="Q165" s="285">
        <v>7.92</v>
      </c>
    </row>
    <row r="166" spans="3:17" s="276" customFormat="1" ht="10.15" customHeight="1" x14ac:dyDescent="0.2">
      <c r="C166" s="278">
        <v>43278</v>
      </c>
      <c r="D166" s="279" t="s">
        <v>357</v>
      </c>
      <c r="E166" s="280" t="s">
        <v>358</v>
      </c>
      <c r="F166" s="281"/>
      <c r="G166" s="281" t="s">
        <v>388</v>
      </c>
      <c r="H166" s="281" t="s">
        <v>389</v>
      </c>
      <c r="I166" s="281" t="s">
        <v>9</v>
      </c>
      <c r="J166" s="282"/>
      <c r="K166" s="282" t="s">
        <v>386</v>
      </c>
      <c r="L166" s="281"/>
      <c r="M166" s="281" t="s">
        <v>369</v>
      </c>
      <c r="N166" s="281" t="s">
        <v>383</v>
      </c>
      <c r="O166" s="283" t="s">
        <v>371</v>
      </c>
      <c r="P166" s="284"/>
      <c r="Q166" s="285">
        <v>60.22</v>
      </c>
    </row>
    <row r="167" spans="3:17" s="276" customFormat="1" ht="18.399999999999999" customHeight="1" x14ac:dyDescent="0.2">
      <c r="C167" s="278">
        <v>43278</v>
      </c>
      <c r="D167" s="279" t="s">
        <v>357</v>
      </c>
      <c r="E167" s="280" t="s">
        <v>358</v>
      </c>
      <c r="F167" s="281"/>
      <c r="G167" s="281" t="s">
        <v>359</v>
      </c>
      <c r="H167" s="281" t="s">
        <v>360</v>
      </c>
      <c r="I167" s="281" t="s">
        <v>207</v>
      </c>
      <c r="J167" s="282"/>
      <c r="K167" s="282" t="s">
        <v>386</v>
      </c>
      <c r="L167" s="281"/>
      <c r="M167" s="281" t="s">
        <v>362</v>
      </c>
      <c r="N167" s="281" t="s">
        <v>378</v>
      </c>
      <c r="O167" s="283" t="s">
        <v>387</v>
      </c>
      <c r="P167" s="284">
        <v>4</v>
      </c>
      <c r="Q167" s="285">
        <v>181.12</v>
      </c>
    </row>
    <row r="168" spans="3:17" s="276" customFormat="1" ht="10.15" customHeight="1" x14ac:dyDescent="0.2">
      <c r="C168" s="278">
        <v>43278</v>
      </c>
      <c r="D168" s="279" t="s">
        <v>357</v>
      </c>
      <c r="E168" s="280" t="s">
        <v>358</v>
      </c>
      <c r="F168" s="281"/>
      <c r="G168" s="281" t="s">
        <v>359</v>
      </c>
      <c r="H168" s="281" t="s">
        <v>360</v>
      </c>
      <c r="I168" s="281" t="s">
        <v>207</v>
      </c>
      <c r="J168" s="282"/>
      <c r="K168" s="282" t="s">
        <v>386</v>
      </c>
      <c r="L168" s="281"/>
      <c r="M168" s="281" t="s">
        <v>365</v>
      </c>
      <c r="N168" s="281" t="s">
        <v>380</v>
      </c>
      <c r="O168" s="283" t="s">
        <v>365</v>
      </c>
      <c r="P168" s="284"/>
      <c r="Q168" s="285">
        <v>12.4</v>
      </c>
    </row>
    <row r="169" spans="3:17" s="276" customFormat="1" ht="10.15" customHeight="1" x14ac:dyDescent="0.2">
      <c r="C169" s="278">
        <v>43278</v>
      </c>
      <c r="D169" s="279" t="s">
        <v>357</v>
      </c>
      <c r="E169" s="280" t="s">
        <v>358</v>
      </c>
      <c r="F169" s="281"/>
      <c r="G169" s="281" t="s">
        <v>359</v>
      </c>
      <c r="H169" s="281" t="s">
        <v>360</v>
      </c>
      <c r="I169" s="281" t="s">
        <v>207</v>
      </c>
      <c r="J169" s="282"/>
      <c r="K169" s="282" t="s">
        <v>386</v>
      </c>
      <c r="L169" s="281"/>
      <c r="M169" s="281" t="s">
        <v>365</v>
      </c>
      <c r="N169" s="281" t="s">
        <v>382</v>
      </c>
      <c r="O169" s="283" t="s">
        <v>365</v>
      </c>
      <c r="P169" s="284"/>
      <c r="Q169" s="285">
        <v>2.2599999999999998</v>
      </c>
    </row>
    <row r="170" spans="3:17" s="276" customFormat="1" ht="18.399999999999999" customHeight="1" x14ac:dyDescent="0.2">
      <c r="C170" s="278">
        <v>43278</v>
      </c>
      <c r="D170" s="279" t="s">
        <v>357</v>
      </c>
      <c r="E170" s="280" t="s">
        <v>358</v>
      </c>
      <c r="F170" s="281"/>
      <c r="G170" s="281" t="s">
        <v>372</v>
      </c>
      <c r="H170" s="281" t="s">
        <v>373</v>
      </c>
      <c r="I170" s="281" t="s">
        <v>1</v>
      </c>
      <c r="J170" s="282"/>
      <c r="K170" s="282" t="s">
        <v>377</v>
      </c>
      <c r="L170" s="281"/>
      <c r="M170" s="281" t="s">
        <v>362</v>
      </c>
      <c r="N170" s="281" t="s">
        <v>378</v>
      </c>
      <c r="O170" s="283" t="s">
        <v>387</v>
      </c>
      <c r="P170" s="284">
        <v>4</v>
      </c>
      <c r="Q170" s="285">
        <v>181.12</v>
      </c>
    </row>
    <row r="171" spans="3:17" s="276" customFormat="1" ht="10.15" customHeight="1" x14ac:dyDescent="0.2">
      <c r="C171" s="278">
        <v>43278</v>
      </c>
      <c r="D171" s="279" t="s">
        <v>357</v>
      </c>
      <c r="E171" s="280" t="s">
        <v>358</v>
      </c>
      <c r="F171" s="281"/>
      <c r="G171" s="281" t="s">
        <v>372</v>
      </c>
      <c r="H171" s="281" t="s">
        <v>373</v>
      </c>
      <c r="I171" s="281" t="s">
        <v>1</v>
      </c>
      <c r="J171" s="282"/>
      <c r="K171" s="282" t="s">
        <v>377</v>
      </c>
      <c r="L171" s="281"/>
      <c r="M171" s="281" t="s">
        <v>365</v>
      </c>
      <c r="N171" s="281" t="s">
        <v>380</v>
      </c>
      <c r="O171" s="283" t="s">
        <v>365</v>
      </c>
      <c r="P171" s="284"/>
      <c r="Q171" s="285">
        <v>12.4</v>
      </c>
    </row>
    <row r="172" spans="3:17" s="276" customFormat="1" ht="10.15" customHeight="1" x14ac:dyDescent="0.2">
      <c r="C172" s="278">
        <v>43278</v>
      </c>
      <c r="D172" s="279" t="s">
        <v>357</v>
      </c>
      <c r="E172" s="280" t="s">
        <v>358</v>
      </c>
      <c r="F172" s="281"/>
      <c r="G172" s="281" t="s">
        <v>372</v>
      </c>
      <c r="H172" s="281" t="s">
        <v>373</v>
      </c>
      <c r="I172" s="281" t="s">
        <v>1</v>
      </c>
      <c r="J172" s="282"/>
      <c r="K172" s="282" t="s">
        <v>377</v>
      </c>
      <c r="L172" s="281"/>
      <c r="M172" s="281" t="s">
        <v>365</v>
      </c>
      <c r="N172" s="281" t="s">
        <v>382</v>
      </c>
      <c r="O172" s="283" t="s">
        <v>365</v>
      </c>
      <c r="P172" s="284"/>
      <c r="Q172" s="285">
        <v>2.2599999999999998</v>
      </c>
    </row>
    <row r="173" spans="3:17" s="276" customFormat="1" ht="18.399999999999999" customHeight="1" x14ac:dyDescent="0.2">
      <c r="C173" s="278">
        <v>43292</v>
      </c>
      <c r="D173" s="279" t="s">
        <v>357</v>
      </c>
      <c r="E173" s="280" t="s">
        <v>358</v>
      </c>
      <c r="F173" s="281"/>
      <c r="G173" s="281" t="s">
        <v>384</v>
      </c>
      <c r="H173" s="281" t="s">
        <v>385</v>
      </c>
      <c r="I173" s="281" t="s">
        <v>202</v>
      </c>
      <c r="J173" s="282"/>
      <c r="K173" s="282" t="s">
        <v>386</v>
      </c>
      <c r="L173" s="281"/>
      <c r="M173" s="281" t="s">
        <v>362</v>
      </c>
      <c r="N173" s="281" t="s">
        <v>378</v>
      </c>
      <c r="O173" s="283" t="s">
        <v>387</v>
      </c>
      <c r="P173" s="284">
        <v>15</v>
      </c>
      <c r="Q173" s="285">
        <v>679.19</v>
      </c>
    </row>
    <row r="174" spans="3:17" s="276" customFormat="1" ht="18.399999999999999" customHeight="1" x14ac:dyDescent="0.2">
      <c r="C174" s="278">
        <v>43292</v>
      </c>
      <c r="D174" s="279" t="s">
        <v>357</v>
      </c>
      <c r="E174" s="280" t="s">
        <v>358</v>
      </c>
      <c r="F174" s="281"/>
      <c r="G174" s="281" t="s">
        <v>384</v>
      </c>
      <c r="H174" s="281" t="s">
        <v>385</v>
      </c>
      <c r="I174" s="281" t="s">
        <v>202</v>
      </c>
      <c r="J174" s="282"/>
      <c r="K174" s="282" t="s">
        <v>386</v>
      </c>
      <c r="L174" s="281"/>
      <c r="M174" s="281" t="s">
        <v>362</v>
      </c>
      <c r="N174" s="281" t="s">
        <v>378</v>
      </c>
      <c r="O174" s="283" t="s">
        <v>391</v>
      </c>
      <c r="P174" s="284">
        <v>16</v>
      </c>
      <c r="Q174" s="285">
        <v>864.62</v>
      </c>
    </row>
    <row r="175" spans="3:17" s="276" customFormat="1" ht="10.15" customHeight="1" x14ac:dyDescent="0.2">
      <c r="C175" s="278">
        <v>43292</v>
      </c>
      <c r="D175" s="279" t="s">
        <v>357</v>
      </c>
      <c r="E175" s="280" t="s">
        <v>358</v>
      </c>
      <c r="F175" s="281"/>
      <c r="G175" s="281" t="s">
        <v>384</v>
      </c>
      <c r="H175" s="281" t="s">
        <v>385</v>
      </c>
      <c r="I175" s="281" t="s">
        <v>202</v>
      </c>
      <c r="J175" s="282"/>
      <c r="K175" s="282" t="s">
        <v>386</v>
      </c>
      <c r="L175" s="281"/>
      <c r="M175" s="281" t="s">
        <v>365</v>
      </c>
      <c r="N175" s="281" t="s">
        <v>380</v>
      </c>
      <c r="O175" s="283" t="s">
        <v>365</v>
      </c>
      <c r="P175" s="284"/>
      <c r="Q175" s="285">
        <v>105.75</v>
      </c>
    </row>
    <row r="176" spans="3:17" s="276" customFormat="1" ht="10.15" customHeight="1" x14ac:dyDescent="0.2">
      <c r="C176" s="278">
        <v>43292</v>
      </c>
      <c r="D176" s="279" t="s">
        <v>357</v>
      </c>
      <c r="E176" s="280" t="s">
        <v>358</v>
      </c>
      <c r="F176" s="281"/>
      <c r="G176" s="281" t="s">
        <v>384</v>
      </c>
      <c r="H176" s="281" t="s">
        <v>385</v>
      </c>
      <c r="I176" s="281" t="s">
        <v>202</v>
      </c>
      <c r="J176" s="282"/>
      <c r="K176" s="282" t="s">
        <v>386</v>
      </c>
      <c r="L176" s="281"/>
      <c r="M176" s="281" t="s">
        <v>365</v>
      </c>
      <c r="N176" s="281" t="s">
        <v>381</v>
      </c>
      <c r="O176" s="283" t="s">
        <v>365</v>
      </c>
      <c r="P176" s="284"/>
      <c r="Q176" s="285">
        <v>10.050000000000001</v>
      </c>
    </row>
    <row r="177" spans="3:17" s="276" customFormat="1" ht="10.15" customHeight="1" x14ac:dyDescent="0.2">
      <c r="C177" s="278">
        <v>43292</v>
      </c>
      <c r="D177" s="279" t="s">
        <v>357</v>
      </c>
      <c r="E177" s="280" t="s">
        <v>358</v>
      </c>
      <c r="F177" s="281"/>
      <c r="G177" s="281" t="s">
        <v>384</v>
      </c>
      <c r="H177" s="281" t="s">
        <v>385</v>
      </c>
      <c r="I177" s="281" t="s">
        <v>202</v>
      </c>
      <c r="J177" s="282"/>
      <c r="K177" s="282" t="s">
        <v>386</v>
      </c>
      <c r="L177" s="281"/>
      <c r="M177" s="281" t="s">
        <v>365</v>
      </c>
      <c r="N177" s="281" t="s">
        <v>382</v>
      </c>
      <c r="O177" s="283" t="s">
        <v>365</v>
      </c>
      <c r="P177" s="284"/>
      <c r="Q177" s="285">
        <v>19.3</v>
      </c>
    </row>
    <row r="178" spans="3:17" s="276" customFormat="1" ht="10.15" customHeight="1" x14ac:dyDescent="0.2">
      <c r="C178" s="278">
        <v>43292</v>
      </c>
      <c r="D178" s="279" t="s">
        <v>357</v>
      </c>
      <c r="E178" s="280" t="s">
        <v>358</v>
      </c>
      <c r="F178" s="281"/>
      <c r="G178" s="281" t="s">
        <v>384</v>
      </c>
      <c r="H178" s="281" t="s">
        <v>385</v>
      </c>
      <c r="I178" s="281" t="s">
        <v>202</v>
      </c>
      <c r="J178" s="282"/>
      <c r="K178" s="282" t="s">
        <v>386</v>
      </c>
      <c r="L178" s="281"/>
      <c r="M178" s="281" t="s">
        <v>369</v>
      </c>
      <c r="N178" s="281" t="s">
        <v>383</v>
      </c>
      <c r="O178" s="283" t="s">
        <v>371</v>
      </c>
      <c r="P178" s="284"/>
      <c r="Q178" s="285">
        <v>146.66</v>
      </c>
    </row>
    <row r="179" spans="3:17" s="276" customFormat="1" ht="18.399999999999999" customHeight="1" x14ac:dyDescent="0.2">
      <c r="C179" s="278">
        <v>43292</v>
      </c>
      <c r="D179" s="279" t="s">
        <v>357</v>
      </c>
      <c r="E179" s="280" t="s">
        <v>358</v>
      </c>
      <c r="F179" s="281"/>
      <c r="G179" s="281" t="s">
        <v>388</v>
      </c>
      <c r="H179" s="281" t="s">
        <v>389</v>
      </c>
      <c r="I179" s="281" t="s">
        <v>9</v>
      </c>
      <c r="J179" s="282"/>
      <c r="K179" s="282" t="s">
        <v>386</v>
      </c>
      <c r="L179" s="281"/>
      <c r="M179" s="281" t="s">
        <v>362</v>
      </c>
      <c r="N179" s="281" t="s">
        <v>378</v>
      </c>
      <c r="O179" s="283" t="s">
        <v>387</v>
      </c>
      <c r="P179" s="284">
        <v>7</v>
      </c>
      <c r="Q179" s="285">
        <v>316.95</v>
      </c>
    </row>
    <row r="180" spans="3:17" s="276" customFormat="1" ht="10.15" customHeight="1" x14ac:dyDescent="0.2">
      <c r="C180" s="278">
        <v>43292</v>
      </c>
      <c r="D180" s="279" t="s">
        <v>357</v>
      </c>
      <c r="E180" s="280" t="s">
        <v>358</v>
      </c>
      <c r="F180" s="281"/>
      <c r="G180" s="281" t="s">
        <v>388</v>
      </c>
      <c r="H180" s="281" t="s">
        <v>389</v>
      </c>
      <c r="I180" s="281" t="s">
        <v>9</v>
      </c>
      <c r="J180" s="282"/>
      <c r="K180" s="282" t="s">
        <v>386</v>
      </c>
      <c r="L180" s="281"/>
      <c r="M180" s="281" t="s">
        <v>365</v>
      </c>
      <c r="N180" s="281" t="s">
        <v>380</v>
      </c>
      <c r="O180" s="283" t="s">
        <v>365</v>
      </c>
      <c r="P180" s="284"/>
      <c r="Q180" s="285">
        <v>21.71</v>
      </c>
    </row>
    <row r="181" spans="3:17" s="276" customFormat="1" ht="10.15" customHeight="1" x14ac:dyDescent="0.2">
      <c r="C181" s="278">
        <v>43292</v>
      </c>
      <c r="D181" s="279" t="s">
        <v>357</v>
      </c>
      <c r="E181" s="280" t="s">
        <v>358</v>
      </c>
      <c r="F181" s="281"/>
      <c r="G181" s="281" t="s">
        <v>388</v>
      </c>
      <c r="H181" s="281" t="s">
        <v>389</v>
      </c>
      <c r="I181" s="281" t="s">
        <v>9</v>
      </c>
      <c r="J181" s="282"/>
      <c r="K181" s="282" t="s">
        <v>386</v>
      </c>
      <c r="L181" s="281"/>
      <c r="M181" s="281" t="s">
        <v>365</v>
      </c>
      <c r="N181" s="281" t="s">
        <v>382</v>
      </c>
      <c r="O181" s="283" t="s">
        <v>365</v>
      </c>
      <c r="P181" s="284"/>
      <c r="Q181" s="285">
        <v>3.96</v>
      </c>
    </row>
    <row r="182" spans="3:17" s="276" customFormat="1" ht="18.399999999999999" customHeight="1" x14ac:dyDescent="0.2">
      <c r="C182" s="278">
        <v>43292</v>
      </c>
      <c r="D182" s="279" t="s">
        <v>357</v>
      </c>
      <c r="E182" s="280" t="s">
        <v>358</v>
      </c>
      <c r="F182" s="281"/>
      <c r="G182" s="281" t="s">
        <v>359</v>
      </c>
      <c r="H182" s="281" t="s">
        <v>360</v>
      </c>
      <c r="I182" s="281" t="s">
        <v>207</v>
      </c>
      <c r="J182" s="282"/>
      <c r="K182" s="282" t="s">
        <v>386</v>
      </c>
      <c r="L182" s="281"/>
      <c r="M182" s="281" t="s">
        <v>362</v>
      </c>
      <c r="N182" s="281" t="s">
        <v>378</v>
      </c>
      <c r="O182" s="283" t="s">
        <v>387</v>
      </c>
      <c r="P182" s="284">
        <v>2</v>
      </c>
      <c r="Q182" s="285">
        <v>90.56</v>
      </c>
    </row>
    <row r="183" spans="3:17" s="276" customFormat="1" ht="10.15" customHeight="1" x14ac:dyDescent="0.2">
      <c r="C183" s="278">
        <v>43292</v>
      </c>
      <c r="D183" s="279" t="s">
        <v>357</v>
      </c>
      <c r="E183" s="280" t="s">
        <v>358</v>
      </c>
      <c r="F183" s="281"/>
      <c r="G183" s="281" t="s">
        <v>359</v>
      </c>
      <c r="H183" s="281" t="s">
        <v>360</v>
      </c>
      <c r="I183" s="281" t="s">
        <v>207</v>
      </c>
      <c r="J183" s="282"/>
      <c r="K183" s="282" t="s">
        <v>386</v>
      </c>
      <c r="L183" s="281"/>
      <c r="M183" s="281" t="s">
        <v>365</v>
      </c>
      <c r="N183" s="281" t="s">
        <v>380</v>
      </c>
      <c r="O183" s="283" t="s">
        <v>365</v>
      </c>
      <c r="P183" s="284"/>
      <c r="Q183" s="285">
        <v>6.2</v>
      </c>
    </row>
    <row r="184" spans="3:17" s="276" customFormat="1" ht="10.15" customHeight="1" x14ac:dyDescent="0.2">
      <c r="C184" s="278">
        <v>43292</v>
      </c>
      <c r="D184" s="279" t="s">
        <v>357</v>
      </c>
      <c r="E184" s="280" t="s">
        <v>358</v>
      </c>
      <c r="F184" s="281"/>
      <c r="G184" s="281" t="s">
        <v>359</v>
      </c>
      <c r="H184" s="281" t="s">
        <v>360</v>
      </c>
      <c r="I184" s="281" t="s">
        <v>207</v>
      </c>
      <c r="J184" s="282"/>
      <c r="K184" s="282" t="s">
        <v>386</v>
      </c>
      <c r="L184" s="281"/>
      <c r="M184" s="281" t="s">
        <v>365</v>
      </c>
      <c r="N184" s="281" t="s">
        <v>382</v>
      </c>
      <c r="O184" s="283" t="s">
        <v>365</v>
      </c>
      <c r="P184" s="284"/>
      <c r="Q184" s="285">
        <v>1.1299999999999999</v>
      </c>
    </row>
    <row r="185" spans="3:17" s="276" customFormat="1" ht="18.399999999999999" customHeight="1" x14ac:dyDescent="0.2">
      <c r="C185" s="278">
        <v>43292</v>
      </c>
      <c r="D185" s="279" t="s">
        <v>357</v>
      </c>
      <c r="E185" s="280" t="s">
        <v>358</v>
      </c>
      <c r="F185" s="281"/>
      <c r="G185" s="281" t="s">
        <v>372</v>
      </c>
      <c r="H185" s="281" t="s">
        <v>373</v>
      </c>
      <c r="I185" s="281" t="s">
        <v>1</v>
      </c>
      <c r="J185" s="282"/>
      <c r="K185" s="282" t="s">
        <v>377</v>
      </c>
      <c r="L185" s="281"/>
      <c r="M185" s="281" t="s">
        <v>362</v>
      </c>
      <c r="N185" s="281" t="s">
        <v>378</v>
      </c>
      <c r="O185" s="283" t="s">
        <v>387</v>
      </c>
      <c r="P185" s="284">
        <v>7</v>
      </c>
      <c r="Q185" s="285">
        <v>316.95</v>
      </c>
    </row>
    <row r="186" spans="3:17" s="276" customFormat="1" ht="10.15" customHeight="1" x14ac:dyDescent="0.2">
      <c r="C186" s="278">
        <v>43292</v>
      </c>
      <c r="D186" s="279" t="s">
        <v>357</v>
      </c>
      <c r="E186" s="280" t="s">
        <v>358</v>
      </c>
      <c r="F186" s="281"/>
      <c r="G186" s="281" t="s">
        <v>372</v>
      </c>
      <c r="H186" s="281" t="s">
        <v>373</v>
      </c>
      <c r="I186" s="281" t="s">
        <v>1</v>
      </c>
      <c r="J186" s="282"/>
      <c r="K186" s="282" t="s">
        <v>377</v>
      </c>
      <c r="L186" s="281"/>
      <c r="M186" s="281" t="s">
        <v>365</v>
      </c>
      <c r="N186" s="281" t="s">
        <v>380</v>
      </c>
      <c r="O186" s="283" t="s">
        <v>365</v>
      </c>
      <c r="P186" s="284"/>
      <c r="Q186" s="285">
        <v>21.71</v>
      </c>
    </row>
    <row r="187" spans="3:17" s="276" customFormat="1" ht="10.15" customHeight="1" x14ac:dyDescent="0.2">
      <c r="C187" s="278">
        <v>43292</v>
      </c>
      <c r="D187" s="279" t="s">
        <v>357</v>
      </c>
      <c r="E187" s="280" t="s">
        <v>358</v>
      </c>
      <c r="F187" s="281"/>
      <c r="G187" s="281" t="s">
        <v>372</v>
      </c>
      <c r="H187" s="281" t="s">
        <v>373</v>
      </c>
      <c r="I187" s="281" t="s">
        <v>1</v>
      </c>
      <c r="J187" s="282"/>
      <c r="K187" s="282" t="s">
        <v>377</v>
      </c>
      <c r="L187" s="281"/>
      <c r="M187" s="281" t="s">
        <v>365</v>
      </c>
      <c r="N187" s="281" t="s">
        <v>382</v>
      </c>
      <c r="O187" s="283" t="s">
        <v>365</v>
      </c>
      <c r="P187" s="284"/>
      <c r="Q187" s="285">
        <v>3.96</v>
      </c>
    </row>
    <row r="188" spans="3:17" s="276" customFormat="1" ht="28.5" customHeight="1" x14ac:dyDescent="0.15">
      <c r="C188" s="367"/>
      <c r="D188" s="368" t="s">
        <v>457</v>
      </c>
      <c r="E188" s="369">
        <v>5</v>
      </c>
      <c r="F188" s="370"/>
      <c r="G188" s="370"/>
      <c r="H188" s="371"/>
      <c r="I188" s="371"/>
      <c r="J188" s="370"/>
      <c r="K188" s="370"/>
      <c r="L188" s="370"/>
      <c r="M188" s="370"/>
      <c r="N188" s="370"/>
      <c r="O188" s="372" t="s">
        <v>458</v>
      </c>
      <c r="P188" s="373" t="s">
        <v>459</v>
      </c>
      <c r="Q188" s="374">
        <v>34946.78</v>
      </c>
    </row>
    <row r="189" spans="3:17" s="276" customFormat="1" ht="72.2" customHeight="1" x14ac:dyDescent="0.15"/>
  </sheetData>
  <mergeCells count="2">
    <mergeCell ref="B2:K2"/>
    <mergeCell ref="C4:H4"/>
  </mergeCells>
  <pageMargins left="0.7" right="0.7" top="0.75" bottom="0.75" header="0.3" footer="0.3"/>
  <pageSetup paperSize="9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A5CE-A9F4-44F8-B3B7-1A13F55D407C}">
  <dimension ref="A1:O7"/>
  <sheetViews>
    <sheetView workbookViewId="0">
      <selection activeCell="K28" sqref="K28"/>
    </sheetView>
  </sheetViews>
  <sheetFormatPr defaultRowHeight="15" x14ac:dyDescent="0.25"/>
  <sheetData>
    <row r="1" spans="1:15" s="276" customFormat="1" ht="9.4" customHeight="1" x14ac:dyDescent="0.2">
      <c r="A1" s="278">
        <v>43166</v>
      </c>
      <c r="B1" s="279" t="s">
        <v>357</v>
      </c>
      <c r="C1" s="280" t="s">
        <v>358</v>
      </c>
      <c r="D1" s="281"/>
      <c r="E1" s="281" t="s">
        <v>374</v>
      </c>
      <c r="F1" s="281" t="s">
        <v>375</v>
      </c>
      <c r="G1" s="281" t="s">
        <v>376</v>
      </c>
      <c r="H1" s="282"/>
      <c r="I1" s="282" t="s">
        <v>377</v>
      </c>
      <c r="J1" s="281"/>
      <c r="K1" s="281" t="s">
        <v>362</v>
      </c>
      <c r="L1" s="281" t="s">
        <v>378</v>
      </c>
      <c r="M1" s="283" t="s">
        <v>379</v>
      </c>
      <c r="N1" s="284">
        <v>6</v>
      </c>
      <c r="O1" s="285">
        <v>1517.08</v>
      </c>
    </row>
    <row r="2" spans="1:15" s="276" customFormat="1" ht="10.15" customHeight="1" x14ac:dyDescent="0.2">
      <c r="A2" s="278">
        <v>43166</v>
      </c>
      <c r="B2" s="279" t="s">
        <v>357</v>
      </c>
      <c r="C2" s="280" t="s">
        <v>358</v>
      </c>
      <c r="D2" s="281"/>
      <c r="E2" s="281" t="s">
        <v>374</v>
      </c>
      <c r="F2" s="281" t="s">
        <v>375</v>
      </c>
      <c r="G2" s="281" t="s">
        <v>376</v>
      </c>
      <c r="H2" s="282"/>
      <c r="I2" s="282" t="s">
        <v>377</v>
      </c>
      <c r="J2" s="281"/>
      <c r="K2" s="281" t="s">
        <v>365</v>
      </c>
      <c r="L2" s="281" t="s">
        <v>380</v>
      </c>
      <c r="M2" s="283" t="s">
        <v>365</v>
      </c>
      <c r="N2" s="284"/>
      <c r="O2" s="285">
        <v>103.92</v>
      </c>
    </row>
    <row r="3" spans="1:15" s="276" customFormat="1" ht="10.15" customHeight="1" x14ac:dyDescent="0.2">
      <c r="A3" s="278">
        <v>43166</v>
      </c>
      <c r="B3" s="279" t="s">
        <v>357</v>
      </c>
      <c r="C3" s="280" t="s">
        <v>358</v>
      </c>
      <c r="D3" s="281"/>
      <c r="E3" s="281" t="s">
        <v>374</v>
      </c>
      <c r="F3" s="281" t="s">
        <v>375</v>
      </c>
      <c r="G3" s="281" t="s">
        <v>376</v>
      </c>
      <c r="H3" s="282"/>
      <c r="I3" s="282" t="s">
        <v>377</v>
      </c>
      <c r="J3" s="281"/>
      <c r="K3" s="281" t="s">
        <v>365</v>
      </c>
      <c r="L3" s="281" t="s">
        <v>381</v>
      </c>
      <c r="M3" s="283" t="s">
        <v>365</v>
      </c>
      <c r="N3" s="284"/>
      <c r="O3" s="285">
        <v>9.8699999999999992</v>
      </c>
    </row>
    <row r="4" spans="1:15" s="276" customFormat="1" ht="18.399999999999999" customHeight="1" x14ac:dyDescent="0.2">
      <c r="A4" s="278">
        <v>43166</v>
      </c>
      <c r="B4" s="279" t="s">
        <v>357</v>
      </c>
      <c r="C4" s="280" t="s">
        <v>358</v>
      </c>
      <c r="D4" s="281"/>
      <c r="E4" s="281" t="s">
        <v>374</v>
      </c>
      <c r="F4" s="281" t="s">
        <v>375</v>
      </c>
      <c r="G4" s="281" t="s">
        <v>376</v>
      </c>
      <c r="H4" s="282"/>
      <c r="I4" s="282" t="s">
        <v>377</v>
      </c>
      <c r="J4" s="281"/>
      <c r="K4" s="281" t="s">
        <v>365</v>
      </c>
      <c r="L4" s="281" t="s">
        <v>382</v>
      </c>
      <c r="M4" s="283" t="s">
        <v>365</v>
      </c>
      <c r="N4" s="284"/>
      <c r="O4" s="285">
        <v>18.96</v>
      </c>
    </row>
    <row r="5" spans="1:15" s="276" customFormat="1" ht="10.15" customHeight="1" x14ac:dyDescent="0.2">
      <c r="A5" s="278">
        <v>43166</v>
      </c>
      <c r="B5" s="279" t="s">
        <v>357</v>
      </c>
      <c r="C5" s="280" t="s">
        <v>358</v>
      </c>
      <c r="D5" s="281"/>
      <c r="E5" s="281" t="s">
        <v>374</v>
      </c>
      <c r="F5" s="281" t="s">
        <v>375</v>
      </c>
      <c r="G5" s="281" t="s">
        <v>376</v>
      </c>
      <c r="H5" s="282"/>
      <c r="I5" s="282" t="s">
        <v>377</v>
      </c>
      <c r="J5" s="281"/>
      <c r="K5" s="281" t="s">
        <v>369</v>
      </c>
      <c r="L5" s="281" t="s">
        <v>383</v>
      </c>
      <c r="M5" s="283" t="s">
        <v>371</v>
      </c>
      <c r="N5" s="284"/>
      <c r="O5" s="285">
        <v>144.12</v>
      </c>
    </row>
    <row r="6" spans="1:15" s="276" customFormat="1" ht="10.15" customHeight="1" x14ac:dyDescent="0.2">
      <c r="A6" s="278">
        <v>43250</v>
      </c>
      <c r="B6" s="279" t="s">
        <v>357</v>
      </c>
      <c r="C6" s="280" t="s">
        <v>358</v>
      </c>
      <c r="D6" s="281"/>
      <c r="E6" s="281" t="s">
        <v>374</v>
      </c>
      <c r="F6" s="281" t="s">
        <v>375</v>
      </c>
      <c r="G6" s="281" t="s">
        <v>376</v>
      </c>
      <c r="H6" s="282"/>
      <c r="I6" s="282" t="s">
        <v>377</v>
      </c>
      <c r="J6" s="281"/>
      <c r="K6" s="281" t="s">
        <v>365</v>
      </c>
      <c r="L6" s="281" t="s">
        <v>381</v>
      </c>
      <c r="M6" s="283" t="s">
        <v>365</v>
      </c>
      <c r="N6" s="284"/>
      <c r="O6" s="285">
        <v>0</v>
      </c>
    </row>
    <row r="7" spans="1:15" s="276" customFormat="1" ht="10.15" customHeight="1" x14ac:dyDescent="0.2">
      <c r="A7" s="278">
        <v>43250</v>
      </c>
      <c r="B7" s="279" t="s">
        <v>357</v>
      </c>
      <c r="C7" s="280" t="s">
        <v>358</v>
      </c>
      <c r="D7" s="281"/>
      <c r="E7" s="281" t="s">
        <v>374</v>
      </c>
      <c r="F7" s="281" t="s">
        <v>375</v>
      </c>
      <c r="G7" s="281" t="s">
        <v>376</v>
      </c>
      <c r="H7" s="282"/>
      <c r="I7" s="282" t="s">
        <v>377</v>
      </c>
      <c r="J7" s="281"/>
      <c r="K7" s="281" t="s">
        <v>369</v>
      </c>
      <c r="L7" s="281" t="s">
        <v>383</v>
      </c>
      <c r="M7" s="283" t="s">
        <v>371</v>
      </c>
      <c r="N7" s="284"/>
      <c r="O7" s="28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5E47-75EB-46D3-AFE4-47E784C96E98}">
  <dimension ref="A1:K176"/>
  <sheetViews>
    <sheetView topLeftCell="A81" workbookViewId="0">
      <selection activeCell="K176" sqref="K176"/>
    </sheetView>
  </sheetViews>
  <sheetFormatPr defaultColWidth="9.28515625" defaultRowHeight="12.75" x14ac:dyDescent="0.2"/>
  <cols>
    <col min="1" max="1" width="23.5703125" style="286" customWidth="1"/>
    <col min="2" max="2" width="8.28515625" style="286" customWidth="1"/>
    <col min="3" max="3" width="13.7109375" style="286" customWidth="1"/>
    <col min="4" max="4" width="11.28515625" style="286" customWidth="1"/>
    <col min="5" max="5" width="7.5703125" style="286" customWidth="1"/>
    <col min="6" max="6" width="10.7109375" style="286" customWidth="1"/>
    <col min="7" max="7" width="8.140625" style="286" customWidth="1"/>
    <col min="8" max="8" width="10" style="286" customWidth="1"/>
    <col min="9" max="9" width="9.85546875" style="286" customWidth="1"/>
    <col min="10" max="10" width="13.7109375" style="286" customWidth="1"/>
    <col min="11" max="11" width="4.7109375" style="286" customWidth="1"/>
    <col min="12" max="16384" width="9.28515625" style="286"/>
  </cols>
  <sheetData>
    <row r="1" spans="1:10" s="276" customFormat="1" ht="26.45" customHeight="1" x14ac:dyDescent="0.15">
      <c r="A1" s="277" t="s">
        <v>347</v>
      </c>
      <c r="B1" s="277" t="s">
        <v>348</v>
      </c>
      <c r="C1" s="277" t="s">
        <v>349</v>
      </c>
      <c r="D1" s="277" t="s">
        <v>350</v>
      </c>
      <c r="E1" s="277" t="s">
        <v>351</v>
      </c>
      <c r="F1" s="277" t="s">
        <v>352</v>
      </c>
      <c r="G1" s="277" t="s">
        <v>353</v>
      </c>
      <c r="H1" s="277" t="s">
        <v>354</v>
      </c>
      <c r="I1" s="277" t="s">
        <v>355</v>
      </c>
      <c r="J1" s="277" t="s">
        <v>356</v>
      </c>
    </row>
    <row r="2" spans="1:10" s="276" customFormat="1" ht="18.399999999999999" customHeight="1" x14ac:dyDescent="0.2">
      <c r="A2" s="278">
        <v>43124</v>
      </c>
      <c r="B2" s="281" t="s">
        <v>359</v>
      </c>
      <c r="C2" s="281" t="s">
        <v>360</v>
      </c>
      <c r="D2" s="281" t="s">
        <v>207</v>
      </c>
      <c r="E2" s="282" t="s">
        <v>361</v>
      </c>
      <c r="F2" s="281" t="s">
        <v>362</v>
      </c>
      <c r="G2" s="281" t="s">
        <v>363</v>
      </c>
      <c r="H2" s="283" t="s">
        <v>364</v>
      </c>
      <c r="I2" s="284">
        <v>12.5</v>
      </c>
      <c r="J2" s="285">
        <v>716.91</v>
      </c>
    </row>
    <row r="3" spans="1:10" s="276" customFormat="1" ht="10.15" customHeight="1" x14ac:dyDescent="0.2">
      <c r="A3" s="278">
        <v>43124</v>
      </c>
      <c r="B3" s="281" t="s">
        <v>359</v>
      </c>
      <c r="C3" s="281" t="s">
        <v>360</v>
      </c>
      <c r="D3" s="281" t="s">
        <v>207</v>
      </c>
      <c r="E3" s="282" t="s">
        <v>361</v>
      </c>
      <c r="F3" s="281" t="s">
        <v>365</v>
      </c>
      <c r="G3" s="281" t="s">
        <v>366</v>
      </c>
      <c r="H3" s="283" t="s">
        <v>365</v>
      </c>
      <c r="I3" s="284"/>
      <c r="J3" s="285">
        <v>49.11</v>
      </c>
    </row>
    <row r="4" spans="1:10" s="276" customFormat="1" ht="10.15" customHeight="1" x14ac:dyDescent="0.2">
      <c r="A4" s="278">
        <v>43124</v>
      </c>
      <c r="B4" s="281" t="s">
        <v>359</v>
      </c>
      <c r="C4" s="281" t="s">
        <v>360</v>
      </c>
      <c r="D4" s="281" t="s">
        <v>207</v>
      </c>
      <c r="E4" s="282" t="s">
        <v>361</v>
      </c>
      <c r="F4" s="281" t="s">
        <v>365</v>
      </c>
      <c r="G4" s="281" t="s">
        <v>367</v>
      </c>
      <c r="H4" s="283" t="s">
        <v>365</v>
      </c>
      <c r="I4" s="284"/>
      <c r="J4" s="285">
        <v>4.67</v>
      </c>
    </row>
    <row r="5" spans="1:10" s="276" customFormat="1" ht="9.9499999999999993" customHeight="1" x14ac:dyDescent="0.2">
      <c r="A5" s="278">
        <v>43124</v>
      </c>
      <c r="B5" s="281" t="s">
        <v>359</v>
      </c>
      <c r="C5" s="281" t="s">
        <v>360</v>
      </c>
      <c r="D5" s="281" t="s">
        <v>207</v>
      </c>
      <c r="E5" s="282" t="s">
        <v>361</v>
      </c>
      <c r="F5" s="281" t="s">
        <v>365</v>
      </c>
      <c r="G5" s="281" t="s">
        <v>368</v>
      </c>
      <c r="H5" s="283" t="s">
        <v>365</v>
      </c>
      <c r="I5" s="284"/>
      <c r="J5" s="285">
        <v>8.9499999999999993</v>
      </c>
    </row>
    <row r="6" spans="1:10" s="276" customFormat="1" ht="10.15" customHeight="1" x14ac:dyDescent="0.2">
      <c r="A6" s="278">
        <v>43124</v>
      </c>
      <c r="B6" s="281" t="s">
        <v>359</v>
      </c>
      <c r="C6" s="281" t="s">
        <v>360</v>
      </c>
      <c r="D6" s="281" t="s">
        <v>207</v>
      </c>
      <c r="E6" s="282" t="s">
        <v>361</v>
      </c>
      <c r="F6" s="281" t="s">
        <v>369</v>
      </c>
      <c r="G6" s="281" t="s">
        <v>370</v>
      </c>
      <c r="H6" s="283" t="s">
        <v>371</v>
      </c>
      <c r="I6" s="284"/>
      <c r="J6" s="285">
        <v>68.11</v>
      </c>
    </row>
    <row r="7" spans="1:10" s="276" customFormat="1" ht="18.399999999999999" customHeight="1" x14ac:dyDescent="0.2">
      <c r="A7" s="278">
        <v>43124</v>
      </c>
      <c r="B7" s="281" t="s">
        <v>372</v>
      </c>
      <c r="C7" s="281" t="s">
        <v>373</v>
      </c>
      <c r="D7" s="281" t="s">
        <v>1</v>
      </c>
      <c r="E7" s="282" t="s">
        <v>361</v>
      </c>
      <c r="F7" s="281" t="s">
        <v>362</v>
      </c>
      <c r="G7" s="281" t="s">
        <v>363</v>
      </c>
      <c r="H7" s="283" t="s">
        <v>364</v>
      </c>
      <c r="I7" s="284">
        <v>6.5</v>
      </c>
      <c r="J7" s="285">
        <v>376.58</v>
      </c>
    </row>
    <row r="8" spans="1:10" s="276" customFormat="1" ht="10.15" customHeight="1" x14ac:dyDescent="0.2">
      <c r="A8" s="278">
        <v>43124</v>
      </c>
      <c r="B8" s="281" t="s">
        <v>372</v>
      </c>
      <c r="C8" s="281" t="s">
        <v>373</v>
      </c>
      <c r="D8" s="281" t="s">
        <v>1</v>
      </c>
      <c r="E8" s="282" t="s">
        <v>361</v>
      </c>
      <c r="F8" s="281" t="s">
        <v>365</v>
      </c>
      <c r="G8" s="281" t="s">
        <v>366</v>
      </c>
      <c r="H8" s="283" t="s">
        <v>365</v>
      </c>
      <c r="I8" s="284"/>
      <c r="J8" s="285">
        <v>25.8</v>
      </c>
    </row>
    <row r="9" spans="1:10" s="276" customFormat="1" ht="10.15" customHeight="1" x14ac:dyDescent="0.2">
      <c r="A9" s="278">
        <v>43124</v>
      </c>
      <c r="B9" s="281" t="s">
        <v>372</v>
      </c>
      <c r="C9" s="281" t="s">
        <v>373</v>
      </c>
      <c r="D9" s="281" t="s">
        <v>1</v>
      </c>
      <c r="E9" s="282" t="s">
        <v>361</v>
      </c>
      <c r="F9" s="281" t="s">
        <v>365</v>
      </c>
      <c r="G9" s="281" t="s">
        <v>368</v>
      </c>
      <c r="H9" s="283" t="s">
        <v>365</v>
      </c>
      <c r="I9" s="284"/>
      <c r="J9" s="285">
        <v>4.71</v>
      </c>
    </row>
    <row r="10" spans="1:10" s="276" customFormat="1" ht="18.399999999999999" customHeight="1" x14ac:dyDescent="0.2">
      <c r="A10" s="278">
        <v>43138</v>
      </c>
      <c r="B10" s="281" t="s">
        <v>359</v>
      </c>
      <c r="C10" s="281" t="s">
        <v>360</v>
      </c>
      <c r="D10" s="281" t="s">
        <v>207</v>
      </c>
      <c r="E10" s="282" t="s">
        <v>361</v>
      </c>
      <c r="F10" s="281" t="s">
        <v>362</v>
      </c>
      <c r="G10" s="281" t="s">
        <v>363</v>
      </c>
      <c r="H10" s="283" t="s">
        <v>364</v>
      </c>
      <c r="I10" s="284">
        <v>73.5</v>
      </c>
      <c r="J10" s="285">
        <v>4258.2</v>
      </c>
    </row>
    <row r="11" spans="1:10" s="276" customFormat="1" ht="10.15" customHeight="1" x14ac:dyDescent="0.2">
      <c r="A11" s="278">
        <v>43138</v>
      </c>
      <c r="B11" s="281" t="s">
        <v>359</v>
      </c>
      <c r="C11" s="281" t="s">
        <v>360</v>
      </c>
      <c r="D11" s="281" t="s">
        <v>207</v>
      </c>
      <c r="E11" s="282" t="s">
        <v>361</v>
      </c>
      <c r="F11" s="281" t="s">
        <v>365</v>
      </c>
      <c r="G11" s="281" t="s">
        <v>366</v>
      </c>
      <c r="H11" s="283" t="s">
        <v>365</v>
      </c>
      <c r="I11" s="284"/>
      <c r="J11" s="285">
        <v>291.7</v>
      </c>
    </row>
    <row r="12" spans="1:10" s="276" customFormat="1" ht="10.15" customHeight="1" x14ac:dyDescent="0.2">
      <c r="A12" s="278">
        <v>43138</v>
      </c>
      <c r="B12" s="281" t="s">
        <v>359</v>
      </c>
      <c r="C12" s="281" t="s">
        <v>360</v>
      </c>
      <c r="D12" s="281" t="s">
        <v>207</v>
      </c>
      <c r="E12" s="282" t="s">
        <v>361</v>
      </c>
      <c r="F12" s="281" t="s">
        <v>365</v>
      </c>
      <c r="G12" s="281" t="s">
        <v>367</v>
      </c>
      <c r="H12" s="283" t="s">
        <v>365</v>
      </c>
      <c r="I12" s="284"/>
      <c r="J12" s="285">
        <v>27.71</v>
      </c>
    </row>
    <row r="13" spans="1:10" s="276" customFormat="1" ht="10.15" customHeight="1" x14ac:dyDescent="0.2">
      <c r="A13" s="278">
        <v>43138</v>
      </c>
      <c r="B13" s="281" t="s">
        <v>359</v>
      </c>
      <c r="C13" s="281" t="s">
        <v>360</v>
      </c>
      <c r="D13" s="281" t="s">
        <v>207</v>
      </c>
      <c r="E13" s="282" t="s">
        <v>361</v>
      </c>
      <c r="F13" s="281" t="s">
        <v>365</v>
      </c>
      <c r="G13" s="281" t="s">
        <v>368</v>
      </c>
      <c r="H13" s="283" t="s">
        <v>365</v>
      </c>
      <c r="I13" s="284"/>
      <c r="J13" s="285">
        <v>53.22</v>
      </c>
    </row>
    <row r="14" spans="1:10" s="276" customFormat="1" ht="10.15" customHeight="1" x14ac:dyDescent="0.2">
      <c r="A14" s="278">
        <v>43138</v>
      </c>
      <c r="B14" s="281" t="s">
        <v>359</v>
      </c>
      <c r="C14" s="281" t="s">
        <v>360</v>
      </c>
      <c r="D14" s="281" t="s">
        <v>207</v>
      </c>
      <c r="E14" s="282" t="s">
        <v>361</v>
      </c>
      <c r="F14" s="281" t="s">
        <v>369</v>
      </c>
      <c r="G14" s="281" t="s">
        <v>370</v>
      </c>
      <c r="H14" s="283" t="s">
        <v>371</v>
      </c>
      <c r="I14" s="284"/>
      <c r="J14" s="285">
        <v>404.53</v>
      </c>
    </row>
    <row r="15" spans="1:10" s="276" customFormat="1" ht="18.399999999999999" customHeight="1" x14ac:dyDescent="0.2">
      <c r="A15" s="278">
        <v>43138</v>
      </c>
      <c r="B15" s="281" t="s">
        <v>372</v>
      </c>
      <c r="C15" s="281" t="s">
        <v>373</v>
      </c>
      <c r="D15" s="281" t="s">
        <v>1</v>
      </c>
      <c r="E15" s="282" t="s">
        <v>361</v>
      </c>
      <c r="F15" s="281" t="s">
        <v>362</v>
      </c>
      <c r="G15" s="281" t="s">
        <v>363</v>
      </c>
      <c r="H15" s="283" t="s">
        <v>364</v>
      </c>
      <c r="I15" s="284">
        <v>21.5</v>
      </c>
      <c r="J15" s="285">
        <v>1245.5899999999999</v>
      </c>
    </row>
    <row r="16" spans="1:10" s="276" customFormat="1" ht="10.15" customHeight="1" x14ac:dyDescent="0.2">
      <c r="A16" s="278">
        <v>43138</v>
      </c>
      <c r="B16" s="281" t="s">
        <v>372</v>
      </c>
      <c r="C16" s="281" t="s">
        <v>373</v>
      </c>
      <c r="D16" s="281" t="s">
        <v>1</v>
      </c>
      <c r="E16" s="282" t="s">
        <v>361</v>
      </c>
      <c r="F16" s="281" t="s">
        <v>365</v>
      </c>
      <c r="G16" s="281" t="s">
        <v>366</v>
      </c>
      <c r="H16" s="283" t="s">
        <v>365</v>
      </c>
      <c r="I16" s="284"/>
      <c r="J16" s="285">
        <v>85.33</v>
      </c>
    </row>
    <row r="17" spans="1:10" s="276" customFormat="1" ht="10.15" customHeight="1" x14ac:dyDescent="0.2">
      <c r="A17" s="278">
        <v>43138</v>
      </c>
      <c r="B17" s="281" t="s">
        <v>372</v>
      </c>
      <c r="C17" s="281" t="s">
        <v>373</v>
      </c>
      <c r="D17" s="281" t="s">
        <v>1</v>
      </c>
      <c r="E17" s="282" t="s">
        <v>361</v>
      </c>
      <c r="F17" s="281" t="s">
        <v>365</v>
      </c>
      <c r="G17" s="281" t="s">
        <v>367</v>
      </c>
      <c r="H17" s="283" t="s">
        <v>365</v>
      </c>
      <c r="I17" s="284"/>
      <c r="J17" s="285">
        <v>8.11</v>
      </c>
    </row>
    <row r="18" spans="1:10" s="276" customFormat="1" ht="10.15" customHeight="1" x14ac:dyDescent="0.2">
      <c r="A18" s="278">
        <v>43138</v>
      </c>
      <c r="B18" s="281" t="s">
        <v>372</v>
      </c>
      <c r="C18" s="281" t="s">
        <v>373</v>
      </c>
      <c r="D18" s="281" t="s">
        <v>1</v>
      </c>
      <c r="E18" s="282" t="s">
        <v>361</v>
      </c>
      <c r="F18" s="281" t="s">
        <v>365</v>
      </c>
      <c r="G18" s="281" t="s">
        <v>368</v>
      </c>
      <c r="H18" s="283" t="s">
        <v>365</v>
      </c>
      <c r="I18" s="284"/>
      <c r="J18" s="285">
        <v>15.57</v>
      </c>
    </row>
    <row r="19" spans="1:10" s="276" customFormat="1" ht="10.15" customHeight="1" x14ac:dyDescent="0.2">
      <c r="A19" s="278">
        <v>43138</v>
      </c>
      <c r="B19" s="281" t="s">
        <v>372</v>
      </c>
      <c r="C19" s="281" t="s">
        <v>373</v>
      </c>
      <c r="D19" s="281" t="s">
        <v>1</v>
      </c>
      <c r="E19" s="282" t="s">
        <v>361</v>
      </c>
      <c r="F19" s="281" t="s">
        <v>369</v>
      </c>
      <c r="G19" s="281" t="s">
        <v>370</v>
      </c>
      <c r="H19" s="283" t="s">
        <v>371</v>
      </c>
      <c r="I19" s="284"/>
      <c r="J19" s="285">
        <v>118.33</v>
      </c>
    </row>
    <row r="20" spans="1:10" s="276" customFormat="1" ht="18.399999999999999" customHeight="1" x14ac:dyDescent="0.2">
      <c r="A20" s="278">
        <v>43166</v>
      </c>
      <c r="B20" s="281" t="s">
        <v>359</v>
      </c>
      <c r="C20" s="281" t="s">
        <v>360</v>
      </c>
      <c r="D20" s="281" t="s">
        <v>207</v>
      </c>
      <c r="E20" s="282" t="s">
        <v>361</v>
      </c>
      <c r="F20" s="281" t="s">
        <v>362</v>
      </c>
      <c r="G20" s="281" t="s">
        <v>363</v>
      </c>
      <c r="H20" s="283" t="s">
        <v>364</v>
      </c>
      <c r="I20" s="284">
        <v>6</v>
      </c>
      <c r="J20" s="285">
        <v>347.6</v>
      </c>
    </row>
    <row r="21" spans="1:10" s="276" customFormat="1" ht="10.15" customHeight="1" x14ac:dyDescent="0.2">
      <c r="A21" s="278">
        <v>43166</v>
      </c>
      <c r="B21" s="281" t="s">
        <v>359</v>
      </c>
      <c r="C21" s="281" t="s">
        <v>360</v>
      </c>
      <c r="D21" s="281" t="s">
        <v>207</v>
      </c>
      <c r="E21" s="282" t="s">
        <v>361</v>
      </c>
      <c r="F21" s="281" t="s">
        <v>365</v>
      </c>
      <c r="G21" s="281" t="s">
        <v>366</v>
      </c>
      <c r="H21" s="283" t="s">
        <v>365</v>
      </c>
      <c r="I21" s="284"/>
      <c r="J21" s="285">
        <v>23.81</v>
      </c>
    </row>
    <row r="22" spans="1:10" s="276" customFormat="1" ht="10.15" customHeight="1" x14ac:dyDescent="0.2">
      <c r="A22" s="278">
        <v>43166</v>
      </c>
      <c r="B22" s="281" t="s">
        <v>359</v>
      </c>
      <c r="C22" s="281" t="s">
        <v>360</v>
      </c>
      <c r="D22" s="281" t="s">
        <v>207</v>
      </c>
      <c r="E22" s="282" t="s">
        <v>361</v>
      </c>
      <c r="F22" s="281" t="s">
        <v>365</v>
      </c>
      <c r="G22" s="281" t="s">
        <v>368</v>
      </c>
      <c r="H22" s="283" t="s">
        <v>365</v>
      </c>
      <c r="I22" s="284"/>
      <c r="J22" s="285">
        <v>4.3499999999999996</v>
      </c>
    </row>
    <row r="23" spans="1:10" s="276" customFormat="1" ht="10.15" customHeight="1" x14ac:dyDescent="0.2">
      <c r="A23" s="278">
        <v>43166</v>
      </c>
      <c r="B23" s="281" t="s">
        <v>372</v>
      </c>
      <c r="C23" s="281" t="s">
        <v>373</v>
      </c>
      <c r="D23" s="281" t="s">
        <v>1</v>
      </c>
      <c r="E23" s="282" t="s">
        <v>361</v>
      </c>
      <c r="F23" s="281" t="s">
        <v>362</v>
      </c>
      <c r="G23" s="281" t="s">
        <v>363</v>
      </c>
      <c r="H23" s="283" t="s">
        <v>364</v>
      </c>
      <c r="I23" s="284">
        <v>6</v>
      </c>
      <c r="J23" s="285">
        <v>347.61</v>
      </c>
    </row>
    <row r="24" spans="1:10" s="276" customFormat="1" ht="10.15" customHeight="1" x14ac:dyDescent="0.2">
      <c r="A24" s="278">
        <v>43166</v>
      </c>
      <c r="B24" s="281" t="s">
        <v>372</v>
      </c>
      <c r="C24" s="281" t="s">
        <v>373</v>
      </c>
      <c r="D24" s="281" t="s">
        <v>1</v>
      </c>
      <c r="E24" s="282" t="s">
        <v>361</v>
      </c>
      <c r="F24" s="281" t="s">
        <v>365</v>
      </c>
      <c r="G24" s="281" t="s">
        <v>366</v>
      </c>
      <c r="H24" s="283" t="s">
        <v>365</v>
      </c>
      <c r="I24" s="284"/>
      <c r="J24" s="285">
        <v>23.82</v>
      </c>
    </row>
    <row r="25" spans="1:10" s="276" customFormat="1" ht="18.399999999999999" customHeight="1" x14ac:dyDescent="0.2">
      <c r="A25" s="278">
        <v>43166</v>
      </c>
      <c r="B25" s="281" t="s">
        <v>372</v>
      </c>
      <c r="C25" s="281" t="s">
        <v>373</v>
      </c>
      <c r="D25" s="281" t="s">
        <v>1</v>
      </c>
      <c r="E25" s="282" t="s">
        <v>361</v>
      </c>
      <c r="F25" s="281" t="s">
        <v>365</v>
      </c>
      <c r="G25" s="281" t="s">
        <v>368</v>
      </c>
      <c r="H25" s="283" t="s">
        <v>365</v>
      </c>
      <c r="I25" s="284"/>
      <c r="J25" s="285">
        <v>4.3499999999999996</v>
      </c>
    </row>
    <row r="26" spans="1:10" s="276" customFormat="1" ht="10.15" customHeight="1" x14ac:dyDescent="0.2">
      <c r="A26" s="278">
        <v>43180</v>
      </c>
      <c r="B26" s="281" t="s">
        <v>384</v>
      </c>
      <c r="C26" s="281" t="s">
        <v>385</v>
      </c>
      <c r="D26" s="281" t="s">
        <v>202</v>
      </c>
      <c r="E26" s="282" t="s">
        <v>386</v>
      </c>
      <c r="F26" s="281" t="s">
        <v>362</v>
      </c>
      <c r="G26" s="281" t="s">
        <v>378</v>
      </c>
      <c r="H26" s="283" t="s">
        <v>387</v>
      </c>
      <c r="I26" s="284">
        <v>5</v>
      </c>
      <c r="J26" s="285">
        <v>226.4</v>
      </c>
    </row>
    <row r="27" spans="1:10" s="276" customFormat="1" ht="10.15" customHeight="1" x14ac:dyDescent="0.2">
      <c r="A27" s="278">
        <v>43180</v>
      </c>
      <c r="B27" s="281" t="s">
        <v>384</v>
      </c>
      <c r="C27" s="281" t="s">
        <v>385</v>
      </c>
      <c r="D27" s="281" t="s">
        <v>202</v>
      </c>
      <c r="E27" s="282" t="s">
        <v>386</v>
      </c>
      <c r="F27" s="281" t="s">
        <v>365</v>
      </c>
      <c r="G27" s="281" t="s">
        <v>380</v>
      </c>
      <c r="H27" s="283" t="s">
        <v>365</v>
      </c>
      <c r="I27" s="284"/>
      <c r="J27" s="285">
        <v>15.51</v>
      </c>
    </row>
    <row r="28" spans="1:10" s="276" customFormat="1" ht="18.399999999999999" customHeight="1" x14ac:dyDescent="0.2">
      <c r="A28" s="278">
        <v>43180</v>
      </c>
      <c r="B28" s="281" t="s">
        <v>384</v>
      </c>
      <c r="C28" s="281" t="s">
        <v>385</v>
      </c>
      <c r="D28" s="281" t="s">
        <v>202</v>
      </c>
      <c r="E28" s="282" t="s">
        <v>386</v>
      </c>
      <c r="F28" s="281" t="s">
        <v>365</v>
      </c>
      <c r="G28" s="281" t="s">
        <v>381</v>
      </c>
      <c r="H28" s="283" t="s">
        <v>365</v>
      </c>
      <c r="I28" s="284"/>
      <c r="J28" s="285">
        <v>1.47</v>
      </c>
    </row>
    <row r="29" spans="1:10" s="276" customFormat="1" ht="10.15" customHeight="1" x14ac:dyDescent="0.2">
      <c r="A29" s="278">
        <v>43180</v>
      </c>
      <c r="B29" s="281" t="s">
        <v>384</v>
      </c>
      <c r="C29" s="281" t="s">
        <v>385</v>
      </c>
      <c r="D29" s="281" t="s">
        <v>202</v>
      </c>
      <c r="E29" s="282" t="s">
        <v>386</v>
      </c>
      <c r="F29" s="281" t="s">
        <v>365</v>
      </c>
      <c r="G29" s="281" t="s">
        <v>382</v>
      </c>
      <c r="H29" s="283" t="s">
        <v>365</v>
      </c>
      <c r="I29" s="284"/>
      <c r="J29" s="285">
        <v>2.83</v>
      </c>
    </row>
    <row r="30" spans="1:10" s="276" customFormat="1" ht="10.15" customHeight="1" x14ac:dyDescent="0.2">
      <c r="A30" s="278">
        <v>43180</v>
      </c>
      <c r="B30" s="281" t="s">
        <v>384</v>
      </c>
      <c r="C30" s="281" t="s">
        <v>385</v>
      </c>
      <c r="D30" s="281" t="s">
        <v>202</v>
      </c>
      <c r="E30" s="282" t="s">
        <v>386</v>
      </c>
      <c r="F30" s="281" t="s">
        <v>369</v>
      </c>
      <c r="G30" s="281" t="s">
        <v>383</v>
      </c>
      <c r="H30" s="283" t="s">
        <v>371</v>
      </c>
      <c r="I30" s="284"/>
      <c r="J30" s="285">
        <v>21.51</v>
      </c>
    </row>
    <row r="31" spans="1:10" s="276" customFormat="1" ht="18.399999999999999" customHeight="1" x14ac:dyDescent="0.2">
      <c r="A31" s="278">
        <v>43180</v>
      </c>
      <c r="B31" s="281" t="s">
        <v>359</v>
      </c>
      <c r="C31" s="281" t="s">
        <v>360</v>
      </c>
      <c r="D31" s="281" t="s">
        <v>207</v>
      </c>
      <c r="E31" s="282" t="s">
        <v>361</v>
      </c>
      <c r="F31" s="281" t="s">
        <v>362</v>
      </c>
      <c r="G31" s="281" t="s">
        <v>363</v>
      </c>
      <c r="H31" s="283" t="s">
        <v>364</v>
      </c>
      <c r="I31" s="284">
        <v>1</v>
      </c>
      <c r="J31" s="285">
        <v>57.93</v>
      </c>
    </row>
    <row r="32" spans="1:10" s="276" customFormat="1" ht="10.15" customHeight="1" x14ac:dyDescent="0.2">
      <c r="A32" s="278">
        <v>43180</v>
      </c>
      <c r="B32" s="281" t="s">
        <v>359</v>
      </c>
      <c r="C32" s="281" t="s">
        <v>360</v>
      </c>
      <c r="D32" s="281" t="s">
        <v>207</v>
      </c>
      <c r="E32" s="282" t="s">
        <v>361</v>
      </c>
      <c r="F32" s="281" t="s">
        <v>365</v>
      </c>
      <c r="G32" s="281" t="s">
        <v>366</v>
      </c>
      <c r="H32" s="283" t="s">
        <v>365</v>
      </c>
      <c r="I32" s="284"/>
      <c r="J32" s="285">
        <v>3.97</v>
      </c>
    </row>
    <row r="33" spans="1:10" s="276" customFormat="1" ht="10.15" customHeight="1" x14ac:dyDescent="0.2">
      <c r="A33" s="278">
        <v>43180</v>
      </c>
      <c r="B33" s="281" t="s">
        <v>359</v>
      </c>
      <c r="C33" s="281" t="s">
        <v>360</v>
      </c>
      <c r="D33" s="281" t="s">
        <v>207</v>
      </c>
      <c r="E33" s="282" t="s">
        <v>361</v>
      </c>
      <c r="F33" s="281" t="s">
        <v>365</v>
      </c>
      <c r="G33" s="281" t="s">
        <v>368</v>
      </c>
      <c r="H33" s="283" t="s">
        <v>365</v>
      </c>
      <c r="I33" s="284"/>
      <c r="J33" s="285">
        <v>0.72</v>
      </c>
    </row>
    <row r="34" spans="1:10" s="276" customFormat="1" ht="10.15" customHeight="1" x14ac:dyDescent="0.2">
      <c r="A34" s="278">
        <v>43180</v>
      </c>
      <c r="B34" s="281" t="s">
        <v>372</v>
      </c>
      <c r="C34" s="281" t="s">
        <v>373</v>
      </c>
      <c r="D34" s="281" t="s">
        <v>1</v>
      </c>
      <c r="E34" s="282" t="s">
        <v>361</v>
      </c>
      <c r="F34" s="281" t="s">
        <v>362</v>
      </c>
      <c r="G34" s="281" t="s">
        <v>363</v>
      </c>
      <c r="H34" s="283" t="s">
        <v>364</v>
      </c>
      <c r="I34" s="284">
        <v>4</v>
      </c>
      <c r="J34" s="285">
        <v>231.74</v>
      </c>
    </row>
    <row r="35" spans="1:10" s="276" customFormat="1" ht="10.15" customHeight="1" x14ac:dyDescent="0.2">
      <c r="A35" s="278">
        <v>43180</v>
      </c>
      <c r="B35" s="281" t="s">
        <v>372</v>
      </c>
      <c r="C35" s="281" t="s">
        <v>373</v>
      </c>
      <c r="D35" s="281" t="s">
        <v>1</v>
      </c>
      <c r="E35" s="282" t="s">
        <v>361</v>
      </c>
      <c r="F35" s="281" t="s">
        <v>365</v>
      </c>
      <c r="G35" s="281" t="s">
        <v>366</v>
      </c>
      <c r="H35" s="283" t="s">
        <v>365</v>
      </c>
      <c r="I35" s="284"/>
      <c r="J35" s="285">
        <v>15.88</v>
      </c>
    </row>
    <row r="36" spans="1:10" s="276" customFormat="1" ht="18.399999999999999" customHeight="1" x14ac:dyDescent="0.2">
      <c r="A36" s="278">
        <v>43180</v>
      </c>
      <c r="B36" s="281" t="s">
        <v>372</v>
      </c>
      <c r="C36" s="281" t="s">
        <v>373</v>
      </c>
      <c r="D36" s="281" t="s">
        <v>1</v>
      </c>
      <c r="E36" s="282" t="s">
        <v>361</v>
      </c>
      <c r="F36" s="281" t="s">
        <v>365</v>
      </c>
      <c r="G36" s="281" t="s">
        <v>367</v>
      </c>
      <c r="H36" s="283" t="s">
        <v>365</v>
      </c>
      <c r="I36" s="284"/>
      <c r="J36" s="285">
        <v>3.77</v>
      </c>
    </row>
    <row r="37" spans="1:10" s="276" customFormat="1" ht="10.15" customHeight="1" x14ac:dyDescent="0.2">
      <c r="A37" s="278">
        <v>43180</v>
      </c>
      <c r="B37" s="281" t="s">
        <v>372</v>
      </c>
      <c r="C37" s="281" t="s">
        <v>373</v>
      </c>
      <c r="D37" s="281" t="s">
        <v>1</v>
      </c>
      <c r="E37" s="282" t="s">
        <v>361</v>
      </c>
      <c r="F37" s="281" t="s">
        <v>365</v>
      </c>
      <c r="G37" s="281" t="s">
        <v>368</v>
      </c>
      <c r="H37" s="283" t="s">
        <v>365</v>
      </c>
      <c r="I37" s="284"/>
      <c r="J37" s="285">
        <v>2.9</v>
      </c>
    </row>
    <row r="38" spans="1:10" s="276" customFormat="1" ht="10.15" customHeight="1" x14ac:dyDescent="0.2">
      <c r="A38" s="278">
        <v>43180</v>
      </c>
      <c r="B38" s="281" t="s">
        <v>372</v>
      </c>
      <c r="C38" s="281" t="s">
        <v>373</v>
      </c>
      <c r="D38" s="281" t="s">
        <v>1</v>
      </c>
      <c r="E38" s="282" t="s">
        <v>361</v>
      </c>
      <c r="F38" s="281" t="s">
        <v>369</v>
      </c>
      <c r="G38" s="281" t="s">
        <v>370</v>
      </c>
      <c r="H38" s="283" t="s">
        <v>371</v>
      </c>
      <c r="I38" s="284"/>
      <c r="J38" s="285">
        <v>55.04</v>
      </c>
    </row>
    <row r="39" spans="1:10" s="276" customFormat="1" ht="10.15" customHeight="1" x14ac:dyDescent="0.2">
      <c r="A39" s="278">
        <v>43180</v>
      </c>
      <c r="B39" s="281" t="s">
        <v>388</v>
      </c>
      <c r="C39" s="281" t="s">
        <v>389</v>
      </c>
      <c r="D39" s="281" t="s">
        <v>9</v>
      </c>
      <c r="E39" s="282" t="s">
        <v>386</v>
      </c>
      <c r="F39" s="281" t="s">
        <v>362</v>
      </c>
      <c r="G39" s="281" t="s">
        <v>378</v>
      </c>
      <c r="H39" s="283" t="s">
        <v>387</v>
      </c>
      <c r="I39" s="284">
        <v>5</v>
      </c>
      <c r="J39" s="285">
        <v>226.4</v>
      </c>
    </row>
    <row r="40" spans="1:10" s="276" customFormat="1" ht="10.15" customHeight="1" x14ac:dyDescent="0.2">
      <c r="A40" s="278">
        <v>43180</v>
      </c>
      <c r="B40" s="281" t="s">
        <v>388</v>
      </c>
      <c r="C40" s="281" t="s">
        <v>389</v>
      </c>
      <c r="D40" s="281" t="s">
        <v>9</v>
      </c>
      <c r="E40" s="282" t="s">
        <v>386</v>
      </c>
      <c r="F40" s="281" t="s">
        <v>365</v>
      </c>
      <c r="G40" s="281" t="s">
        <v>380</v>
      </c>
      <c r="H40" s="283" t="s">
        <v>365</v>
      </c>
      <c r="I40" s="284"/>
      <c r="J40" s="285">
        <v>15.51</v>
      </c>
    </row>
    <row r="41" spans="1:10" s="276" customFormat="1" ht="18.399999999999999" customHeight="1" x14ac:dyDescent="0.2">
      <c r="A41" s="278">
        <v>43180</v>
      </c>
      <c r="B41" s="281" t="s">
        <v>388</v>
      </c>
      <c r="C41" s="281" t="s">
        <v>389</v>
      </c>
      <c r="D41" s="281" t="s">
        <v>9</v>
      </c>
      <c r="E41" s="282" t="s">
        <v>386</v>
      </c>
      <c r="F41" s="281" t="s">
        <v>365</v>
      </c>
      <c r="G41" s="281" t="s">
        <v>381</v>
      </c>
      <c r="H41" s="283" t="s">
        <v>365</v>
      </c>
      <c r="I41" s="284"/>
      <c r="J41" s="285">
        <v>1.47</v>
      </c>
    </row>
    <row r="42" spans="1:10" s="276" customFormat="1" ht="10.15" customHeight="1" x14ac:dyDescent="0.2">
      <c r="A42" s="278">
        <v>43180</v>
      </c>
      <c r="B42" s="281" t="s">
        <v>388</v>
      </c>
      <c r="C42" s="281" t="s">
        <v>389</v>
      </c>
      <c r="D42" s="281" t="s">
        <v>9</v>
      </c>
      <c r="E42" s="282" t="s">
        <v>386</v>
      </c>
      <c r="F42" s="281" t="s">
        <v>365</v>
      </c>
      <c r="G42" s="281" t="s">
        <v>382</v>
      </c>
      <c r="H42" s="283" t="s">
        <v>365</v>
      </c>
      <c r="I42" s="284"/>
      <c r="J42" s="285">
        <v>2.83</v>
      </c>
    </row>
    <row r="43" spans="1:10" s="276" customFormat="1" ht="10.15" customHeight="1" x14ac:dyDescent="0.2">
      <c r="A43" s="278">
        <v>43180</v>
      </c>
      <c r="B43" s="281" t="s">
        <v>388</v>
      </c>
      <c r="C43" s="281" t="s">
        <v>389</v>
      </c>
      <c r="D43" s="281" t="s">
        <v>9</v>
      </c>
      <c r="E43" s="282" t="s">
        <v>386</v>
      </c>
      <c r="F43" s="281" t="s">
        <v>369</v>
      </c>
      <c r="G43" s="281" t="s">
        <v>383</v>
      </c>
      <c r="H43" s="283" t="s">
        <v>371</v>
      </c>
      <c r="I43" s="284"/>
      <c r="J43" s="285">
        <v>21.51</v>
      </c>
    </row>
    <row r="44" spans="1:10" s="276" customFormat="1" ht="18.399999999999999" customHeight="1" x14ac:dyDescent="0.2">
      <c r="A44" s="278">
        <v>43194</v>
      </c>
      <c r="B44" s="281" t="s">
        <v>384</v>
      </c>
      <c r="C44" s="281" t="s">
        <v>385</v>
      </c>
      <c r="D44" s="281" t="s">
        <v>202</v>
      </c>
      <c r="E44" s="282" t="s">
        <v>386</v>
      </c>
      <c r="F44" s="281" t="s">
        <v>362</v>
      </c>
      <c r="G44" s="281" t="s">
        <v>378</v>
      </c>
      <c r="H44" s="283" t="s">
        <v>387</v>
      </c>
      <c r="I44" s="284">
        <v>5</v>
      </c>
      <c r="J44" s="285">
        <v>226.4</v>
      </c>
    </row>
    <row r="45" spans="1:10" s="276" customFormat="1" ht="10.15" customHeight="1" x14ac:dyDescent="0.2">
      <c r="A45" s="278">
        <v>43194</v>
      </c>
      <c r="B45" s="281" t="s">
        <v>384</v>
      </c>
      <c r="C45" s="281" t="s">
        <v>385</v>
      </c>
      <c r="D45" s="281" t="s">
        <v>202</v>
      </c>
      <c r="E45" s="282" t="s">
        <v>386</v>
      </c>
      <c r="F45" s="281" t="s">
        <v>365</v>
      </c>
      <c r="G45" s="281" t="s">
        <v>380</v>
      </c>
      <c r="H45" s="283" t="s">
        <v>365</v>
      </c>
      <c r="I45" s="284"/>
      <c r="J45" s="285">
        <v>15.51</v>
      </c>
    </row>
    <row r="46" spans="1:10" s="276" customFormat="1" ht="10.15" customHeight="1" x14ac:dyDescent="0.2">
      <c r="A46" s="278">
        <v>43194</v>
      </c>
      <c r="B46" s="281" t="s">
        <v>384</v>
      </c>
      <c r="C46" s="281" t="s">
        <v>385</v>
      </c>
      <c r="D46" s="281" t="s">
        <v>202</v>
      </c>
      <c r="E46" s="282" t="s">
        <v>386</v>
      </c>
      <c r="F46" s="281" t="s">
        <v>365</v>
      </c>
      <c r="G46" s="281" t="s">
        <v>382</v>
      </c>
      <c r="H46" s="283" t="s">
        <v>365</v>
      </c>
      <c r="I46" s="284"/>
      <c r="J46" s="285">
        <v>2.83</v>
      </c>
    </row>
    <row r="47" spans="1:10" s="276" customFormat="1" ht="10.15" customHeight="1" x14ac:dyDescent="0.2">
      <c r="A47" s="278">
        <v>43194</v>
      </c>
      <c r="B47" s="281" t="s">
        <v>372</v>
      </c>
      <c r="C47" s="281" t="s">
        <v>373</v>
      </c>
      <c r="D47" s="281" t="s">
        <v>1</v>
      </c>
      <c r="E47" s="282" t="s">
        <v>361</v>
      </c>
      <c r="F47" s="281" t="s">
        <v>362</v>
      </c>
      <c r="G47" s="281" t="s">
        <v>363</v>
      </c>
      <c r="H47" s="283" t="s">
        <v>364</v>
      </c>
      <c r="I47" s="284">
        <v>5</v>
      </c>
      <c r="J47" s="285">
        <v>289.67</v>
      </c>
    </row>
    <row r="48" spans="1:10" s="276" customFormat="1" ht="10.15" customHeight="1" x14ac:dyDescent="0.2">
      <c r="A48" s="278">
        <v>43194</v>
      </c>
      <c r="B48" s="281" t="s">
        <v>372</v>
      </c>
      <c r="C48" s="281" t="s">
        <v>373</v>
      </c>
      <c r="D48" s="281" t="s">
        <v>1</v>
      </c>
      <c r="E48" s="282" t="s">
        <v>361</v>
      </c>
      <c r="F48" s="281" t="s">
        <v>365</v>
      </c>
      <c r="G48" s="281" t="s">
        <v>366</v>
      </c>
      <c r="H48" s="283" t="s">
        <v>365</v>
      </c>
      <c r="I48" s="284"/>
      <c r="J48" s="285">
        <v>19.850000000000001</v>
      </c>
    </row>
    <row r="49" spans="1:10" s="276" customFormat="1" ht="18.399999999999999" customHeight="1" x14ac:dyDescent="0.2">
      <c r="A49" s="278">
        <v>43194</v>
      </c>
      <c r="B49" s="281" t="s">
        <v>372</v>
      </c>
      <c r="C49" s="281" t="s">
        <v>373</v>
      </c>
      <c r="D49" s="281" t="s">
        <v>1</v>
      </c>
      <c r="E49" s="282" t="s">
        <v>361</v>
      </c>
      <c r="F49" s="281" t="s">
        <v>365</v>
      </c>
      <c r="G49" s="281" t="s">
        <v>367</v>
      </c>
      <c r="H49" s="283" t="s">
        <v>365</v>
      </c>
      <c r="I49" s="284"/>
      <c r="J49" s="285">
        <v>0</v>
      </c>
    </row>
    <row r="50" spans="1:10" s="276" customFormat="1" ht="10.15" customHeight="1" x14ac:dyDescent="0.2">
      <c r="A50" s="278">
        <v>43194</v>
      </c>
      <c r="B50" s="281" t="s">
        <v>372</v>
      </c>
      <c r="C50" s="281" t="s">
        <v>373</v>
      </c>
      <c r="D50" s="281" t="s">
        <v>1</v>
      </c>
      <c r="E50" s="282" t="s">
        <v>361</v>
      </c>
      <c r="F50" s="281" t="s">
        <v>365</v>
      </c>
      <c r="G50" s="281" t="s">
        <v>368</v>
      </c>
      <c r="H50" s="283" t="s">
        <v>365</v>
      </c>
      <c r="I50" s="284"/>
      <c r="J50" s="285">
        <v>3.62</v>
      </c>
    </row>
    <row r="51" spans="1:10" s="276" customFormat="1" ht="10.15" customHeight="1" x14ac:dyDescent="0.2">
      <c r="A51" s="278">
        <v>43194</v>
      </c>
      <c r="B51" s="281" t="s">
        <v>372</v>
      </c>
      <c r="C51" s="281" t="s">
        <v>373</v>
      </c>
      <c r="D51" s="281" t="s">
        <v>1</v>
      </c>
      <c r="E51" s="282" t="s">
        <v>361</v>
      </c>
      <c r="F51" s="281" t="s">
        <v>369</v>
      </c>
      <c r="G51" s="281" t="s">
        <v>370</v>
      </c>
      <c r="H51" s="283" t="s">
        <v>371</v>
      </c>
      <c r="I51" s="284"/>
      <c r="J51" s="285">
        <v>0</v>
      </c>
    </row>
    <row r="52" spans="1:10" s="276" customFormat="1" ht="18.399999999999999" customHeight="1" x14ac:dyDescent="0.2">
      <c r="A52" s="278">
        <v>43194</v>
      </c>
      <c r="B52" s="281" t="s">
        <v>388</v>
      </c>
      <c r="C52" s="281" t="s">
        <v>389</v>
      </c>
      <c r="D52" s="281" t="s">
        <v>9</v>
      </c>
      <c r="E52" s="282" t="s">
        <v>386</v>
      </c>
      <c r="F52" s="281" t="s">
        <v>362</v>
      </c>
      <c r="G52" s="281" t="s">
        <v>378</v>
      </c>
      <c r="H52" s="283" t="s">
        <v>387</v>
      </c>
      <c r="I52" s="284">
        <v>5</v>
      </c>
      <c r="J52" s="285">
        <v>226.4</v>
      </c>
    </row>
    <row r="53" spans="1:10" s="276" customFormat="1" ht="10.15" customHeight="1" x14ac:dyDescent="0.2">
      <c r="A53" s="278">
        <v>43194</v>
      </c>
      <c r="B53" s="281" t="s">
        <v>388</v>
      </c>
      <c r="C53" s="281" t="s">
        <v>389</v>
      </c>
      <c r="D53" s="281" t="s">
        <v>9</v>
      </c>
      <c r="E53" s="282" t="s">
        <v>386</v>
      </c>
      <c r="F53" s="281" t="s">
        <v>365</v>
      </c>
      <c r="G53" s="281" t="s">
        <v>380</v>
      </c>
      <c r="H53" s="283" t="s">
        <v>365</v>
      </c>
      <c r="I53" s="284"/>
      <c r="J53" s="285">
        <v>15.51</v>
      </c>
    </row>
    <row r="54" spans="1:10" s="276" customFormat="1" ht="10.15" customHeight="1" x14ac:dyDescent="0.2">
      <c r="A54" s="278">
        <v>43194</v>
      </c>
      <c r="B54" s="281" t="s">
        <v>388</v>
      </c>
      <c r="C54" s="281" t="s">
        <v>389</v>
      </c>
      <c r="D54" s="281" t="s">
        <v>9</v>
      </c>
      <c r="E54" s="282" t="s">
        <v>386</v>
      </c>
      <c r="F54" s="281" t="s">
        <v>365</v>
      </c>
      <c r="G54" s="281" t="s">
        <v>381</v>
      </c>
      <c r="H54" s="283" t="s">
        <v>365</v>
      </c>
      <c r="I54" s="284"/>
      <c r="J54" s="285">
        <v>1.47</v>
      </c>
    </row>
    <row r="55" spans="1:10" s="276" customFormat="1" ht="10.15" customHeight="1" x14ac:dyDescent="0.2">
      <c r="A55" s="278">
        <v>43194</v>
      </c>
      <c r="B55" s="281" t="s">
        <v>388</v>
      </c>
      <c r="C55" s="281" t="s">
        <v>389</v>
      </c>
      <c r="D55" s="281" t="s">
        <v>9</v>
      </c>
      <c r="E55" s="282" t="s">
        <v>386</v>
      </c>
      <c r="F55" s="281" t="s">
        <v>365</v>
      </c>
      <c r="G55" s="281" t="s">
        <v>382</v>
      </c>
      <c r="H55" s="283" t="s">
        <v>365</v>
      </c>
      <c r="I55" s="284"/>
      <c r="J55" s="285">
        <v>2.83</v>
      </c>
    </row>
    <row r="56" spans="1:10" s="276" customFormat="1" ht="10.15" customHeight="1" x14ac:dyDescent="0.2">
      <c r="A56" s="278">
        <v>43194</v>
      </c>
      <c r="B56" s="281" t="s">
        <v>388</v>
      </c>
      <c r="C56" s="281" t="s">
        <v>389</v>
      </c>
      <c r="D56" s="281" t="s">
        <v>9</v>
      </c>
      <c r="E56" s="282" t="s">
        <v>386</v>
      </c>
      <c r="F56" s="281" t="s">
        <v>369</v>
      </c>
      <c r="G56" s="281" t="s">
        <v>383</v>
      </c>
      <c r="H56" s="283" t="s">
        <v>371</v>
      </c>
      <c r="I56" s="284"/>
      <c r="J56" s="285">
        <v>21.51</v>
      </c>
    </row>
    <row r="57" spans="1:10" s="276" customFormat="1" ht="18.399999999999999" customHeight="1" x14ac:dyDescent="0.2">
      <c r="A57" s="278">
        <v>43208</v>
      </c>
      <c r="B57" s="281" t="s">
        <v>384</v>
      </c>
      <c r="C57" s="281" t="s">
        <v>385</v>
      </c>
      <c r="D57" s="281" t="s">
        <v>202</v>
      </c>
      <c r="E57" s="282" t="s">
        <v>386</v>
      </c>
      <c r="F57" s="281" t="s">
        <v>365</v>
      </c>
      <c r="G57" s="281" t="s">
        <v>381</v>
      </c>
      <c r="H57" s="283" t="s">
        <v>365</v>
      </c>
      <c r="I57" s="284"/>
      <c r="J57" s="285">
        <v>1.47</v>
      </c>
    </row>
    <row r="58" spans="1:10" s="276" customFormat="1" ht="10.15" customHeight="1" x14ac:dyDescent="0.2">
      <c r="A58" s="278">
        <v>43208</v>
      </c>
      <c r="B58" s="281" t="s">
        <v>384</v>
      </c>
      <c r="C58" s="281" t="s">
        <v>385</v>
      </c>
      <c r="D58" s="281" t="s">
        <v>202</v>
      </c>
      <c r="E58" s="282" t="s">
        <v>386</v>
      </c>
      <c r="F58" s="281" t="s">
        <v>369</v>
      </c>
      <c r="G58" s="281" t="s">
        <v>383</v>
      </c>
      <c r="H58" s="283" t="s">
        <v>371</v>
      </c>
      <c r="I58" s="284"/>
      <c r="J58" s="285">
        <v>21.51</v>
      </c>
    </row>
    <row r="59" spans="1:10" s="276" customFormat="1" ht="10.15" customHeight="1" x14ac:dyDescent="0.2">
      <c r="A59" s="278">
        <v>43208</v>
      </c>
      <c r="B59" s="281" t="s">
        <v>372</v>
      </c>
      <c r="C59" s="281" t="s">
        <v>373</v>
      </c>
      <c r="D59" s="281" t="s">
        <v>1</v>
      </c>
      <c r="E59" s="282" t="s">
        <v>361</v>
      </c>
      <c r="F59" s="281" t="s">
        <v>365</v>
      </c>
      <c r="G59" s="281" t="s">
        <v>367</v>
      </c>
      <c r="H59" s="283" t="s">
        <v>365</v>
      </c>
      <c r="I59" s="284"/>
      <c r="J59" s="285">
        <v>0</v>
      </c>
    </row>
    <row r="60" spans="1:10" s="276" customFormat="1" ht="10.15" customHeight="1" x14ac:dyDescent="0.2">
      <c r="A60" s="278">
        <v>43208</v>
      </c>
      <c r="B60" s="281" t="s">
        <v>372</v>
      </c>
      <c r="C60" s="281" t="s">
        <v>373</v>
      </c>
      <c r="D60" s="281" t="s">
        <v>1</v>
      </c>
      <c r="E60" s="282" t="s">
        <v>361</v>
      </c>
      <c r="F60" s="281" t="s">
        <v>369</v>
      </c>
      <c r="G60" s="281" t="s">
        <v>370</v>
      </c>
      <c r="H60" s="283" t="s">
        <v>371</v>
      </c>
      <c r="I60" s="284"/>
      <c r="J60" s="285">
        <v>0</v>
      </c>
    </row>
    <row r="61" spans="1:10" s="276" customFormat="1" ht="10.15" customHeight="1" x14ac:dyDescent="0.2">
      <c r="A61" s="278">
        <v>43222</v>
      </c>
      <c r="B61" s="281" t="s">
        <v>384</v>
      </c>
      <c r="C61" s="281" t="s">
        <v>385</v>
      </c>
      <c r="D61" s="281" t="s">
        <v>202</v>
      </c>
      <c r="E61" s="282" t="s">
        <v>386</v>
      </c>
      <c r="F61" s="281" t="s">
        <v>362</v>
      </c>
      <c r="G61" s="281" t="s">
        <v>378</v>
      </c>
      <c r="H61" s="283" t="s">
        <v>387</v>
      </c>
      <c r="I61" s="284">
        <v>10</v>
      </c>
      <c r="J61" s="285">
        <v>452.78</v>
      </c>
    </row>
    <row r="62" spans="1:10" s="276" customFormat="1" ht="10.15" customHeight="1" x14ac:dyDescent="0.2">
      <c r="A62" s="278">
        <v>43222</v>
      </c>
      <c r="B62" s="281" t="s">
        <v>384</v>
      </c>
      <c r="C62" s="281" t="s">
        <v>385</v>
      </c>
      <c r="D62" s="281" t="s">
        <v>202</v>
      </c>
      <c r="E62" s="282" t="s">
        <v>386</v>
      </c>
      <c r="F62" s="281" t="s">
        <v>365</v>
      </c>
      <c r="G62" s="281" t="s">
        <v>380</v>
      </c>
      <c r="H62" s="283" t="s">
        <v>365</v>
      </c>
      <c r="I62" s="284"/>
      <c r="J62" s="285">
        <v>31.02</v>
      </c>
    </row>
    <row r="63" spans="1:10" s="276" customFormat="1" ht="10.15" customHeight="1" x14ac:dyDescent="0.2">
      <c r="A63" s="278">
        <v>43222</v>
      </c>
      <c r="B63" s="281" t="s">
        <v>384</v>
      </c>
      <c r="C63" s="281" t="s">
        <v>385</v>
      </c>
      <c r="D63" s="281" t="s">
        <v>202</v>
      </c>
      <c r="E63" s="282" t="s">
        <v>386</v>
      </c>
      <c r="F63" s="281" t="s">
        <v>365</v>
      </c>
      <c r="G63" s="281" t="s">
        <v>381</v>
      </c>
      <c r="H63" s="283" t="s">
        <v>365</v>
      </c>
      <c r="I63" s="284"/>
      <c r="J63" s="285">
        <v>2.95</v>
      </c>
    </row>
    <row r="64" spans="1:10" s="276" customFormat="1" ht="10.15" customHeight="1" x14ac:dyDescent="0.2">
      <c r="A64" s="278">
        <v>43222</v>
      </c>
      <c r="B64" s="281" t="s">
        <v>384</v>
      </c>
      <c r="C64" s="281" t="s">
        <v>385</v>
      </c>
      <c r="D64" s="281" t="s">
        <v>202</v>
      </c>
      <c r="E64" s="282" t="s">
        <v>386</v>
      </c>
      <c r="F64" s="281" t="s">
        <v>365</v>
      </c>
      <c r="G64" s="281" t="s">
        <v>382</v>
      </c>
      <c r="H64" s="283" t="s">
        <v>365</v>
      </c>
      <c r="I64" s="284"/>
      <c r="J64" s="285">
        <v>5.66</v>
      </c>
    </row>
    <row r="65" spans="1:10" s="276" customFormat="1" ht="10.15" customHeight="1" x14ac:dyDescent="0.2">
      <c r="A65" s="278">
        <v>43222</v>
      </c>
      <c r="B65" s="281" t="s">
        <v>384</v>
      </c>
      <c r="C65" s="281" t="s">
        <v>385</v>
      </c>
      <c r="D65" s="281" t="s">
        <v>202</v>
      </c>
      <c r="E65" s="282" t="s">
        <v>386</v>
      </c>
      <c r="F65" s="281" t="s">
        <v>369</v>
      </c>
      <c r="G65" s="281" t="s">
        <v>383</v>
      </c>
      <c r="H65" s="283" t="s">
        <v>371</v>
      </c>
      <c r="I65" s="284"/>
      <c r="J65" s="285">
        <v>43.01</v>
      </c>
    </row>
    <row r="66" spans="1:10" s="276" customFormat="1" ht="18.399999999999999" customHeight="1" x14ac:dyDescent="0.2">
      <c r="A66" s="278">
        <v>43222</v>
      </c>
      <c r="B66" s="281" t="s">
        <v>359</v>
      </c>
      <c r="C66" s="281" t="s">
        <v>360</v>
      </c>
      <c r="D66" s="281" t="s">
        <v>207</v>
      </c>
      <c r="E66" s="282" t="s">
        <v>386</v>
      </c>
      <c r="F66" s="281" t="s">
        <v>362</v>
      </c>
      <c r="G66" s="281" t="s">
        <v>378</v>
      </c>
      <c r="H66" s="283" t="s">
        <v>387</v>
      </c>
      <c r="I66" s="284">
        <v>40.75</v>
      </c>
      <c r="J66" s="285">
        <v>1845.12</v>
      </c>
    </row>
    <row r="67" spans="1:10" s="276" customFormat="1" ht="10.15" customHeight="1" x14ac:dyDescent="0.2">
      <c r="A67" s="278">
        <v>43222</v>
      </c>
      <c r="B67" s="281" t="s">
        <v>359</v>
      </c>
      <c r="C67" s="281" t="s">
        <v>360</v>
      </c>
      <c r="D67" s="281" t="s">
        <v>207</v>
      </c>
      <c r="E67" s="282" t="s">
        <v>386</v>
      </c>
      <c r="F67" s="281" t="s">
        <v>365</v>
      </c>
      <c r="G67" s="281" t="s">
        <v>380</v>
      </c>
      <c r="H67" s="283" t="s">
        <v>365</v>
      </c>
      <c r="I67" s="284"/>
      <c r="J67" s="285">
        <v>126.39</v>
      </c>
    </row>
    <row r="68" spans="1:10" s="276" customFormat="1" ht="10.15" customHeight="1" x14ac:dyDescent="0.2">
      <c r="A68" s="278">
        <v>43222</v>
      </c>
      <c r="B68" s="281" t="s">
        <v>359</v>
      </c>
      <c r="C68" s="281" t="s">
        <v>360</v>
      </c>
      <c r="D68" s="281" t="s">
        <v>207</v>
      </c>
      <c r="E68" s="282" t="s">
        <v>386</v>
      </c>
      <c r="F68" s="281" t="s">
        <v>365</v>
      </c>
      <c r="G68" s="281" t="s">
        <v>381</v>
      </c>
      <c r="H68" s="283" t="s">
        <v>365</v>
      </c>
      <c r="I68" s="284"/>
      <c r="J68" s="285">
        <v>12.01</v>
      </c>
    </row>
    <row r="69" spans="1:10" s="276" customFormat="1" ht="10.15" customHeight="1" x14ac:dyDescent="0.2">
      <c r="A69" s="278">
        <v>43222</v>
      </c>
      <c r="B69" s="281" t="s">
        <v>359</v>
      </c>
      <c r="C69" s="281" t="s">
        <v>360</v>
      </c>
      <c r="D69" s="281" t="s">
        <v>207</v>
      </c>
      <c r="E69" s="282" t="s">
        <v>386</v>
      </c>
      <c r="F69" s="281" t="s">
        <v>365</v>
      </c>
      <c r="G69" s="281" t="s">
        <v>382</v>
      </c>
      <c r="H69" s="283" t="s">
        <v>365</v>
      </c>
      <c r="I69" s="284"/>
      <c r="J69" s="285">
        <v>23.06</v>
      </c>
    </row>
    <row r="70" spans="1:10" s="276" customFormat="1" ht="10.15" customHeight="1" x14ac:dyDescent="0.2">
      <c r="A70" s="278">
        <v>43222</v>
      </c>
      <c r="B70" s="281" t="s">
        <v>359</v>
      </c>
      <c r="C70" s="281" t="s">
        <v>360</v>
      </c>
      <c r="D70" s="281" t="s">
        <v>207</v>
      </c>
      <c r="E70" s="282" t="s">
        <v>386</v>
      </c>
      <c r="F70" s="281" t="s">
        <v>369</v>
      </c>
      <c r="G70" s="281" t="s">
        <v>383</v>
      </c>
      <c r="H70" s="283" t="s">
        <v>371</v>
      </c>
      <c r="I70" s="284"/>
      <c r="J70" s="285">
        <v>175.29</v>
      </c>
    </row>
    <row r="71" spans="1:10" s="276" customFormat="1" ht="18.399999999999999" customHeight="1" x14ac:dyDescent="0.2">
      <c r="A71" s="278">
        <v>43222</v>
      </c>
      <c r="B71" s="281" t="s">
        <v>372</v>
      </c>
      <c r="C71" s="281" t="s">
        <v>373</v>
      </c>
      <c r="D71" s="281" t="s">
        <v>1</v>
      </c>
      <c r="E71" s="282" t="s">
        <v>361</v>
      </c>
      <c r="F71" s="281" t="s">
        <v>365</v>
      </c>
      <c r="G71" s="281" t="s">
        <v>367</v>
      </c>
      <c r="H71" s="283" t="s">
        <v>365</v>
      </c>
      <c r="I71" s="284"/>
      <c r="J71" s="285">
        <v>0</v>
      </c>
    </row>
    <row r="72" spans="1:10" s="276" customFormat="1" ht="10.15" customHeight="1" x14ac:dyDescent="0.2">
      <c r="A72" s="278">
        <v>43222</v>
      </c>
      <c r="B72" s="281" t="s">
        <v>372</v>
      </c>
      <c r="C72" s="281" t="s">
        <v>373</v>
      </c>
      <c r="D72" s="281" t="s">
        <v>1</v>
      </c>
      <c r="E72" s="282" t="s">
        <v>361</v>
      </c>
      <c r="F72" s="281" t="s">
        <v>369</v>
      </c>
      <c r="G72" s="281" t="s">
        <v>370</v>
      </c>
      <c r="H72" s="283" t="s">
        <v>371</v>
      </c>
      <c r="I72" s="284"/>
      <c r="J72" s="285">
        <v>0</v>
      </c>
    </row>
    <row r="73" spans="1:10" s="276" customFormat="1" ht="10.15" customHeight="1" x14ac:dyDescent="0.2">
      <c r="A73" s="278">
        <v>43222</v>
      </c>
      <c r="B73" s="281" t="s">
        <v>372</v>
      </c>
      <c r="C73" s="281" t="s">
        <v>373</v>
      </c>
      <c r="D73" s="281" t="s">
        <v>1</v>
      </c>
      <c r="E73" s="282" t="s">
        <v>377</v>
      </c>
      <c r="F73" s="281" t="s">
        <v>362</v>
      </c>
      <c r="G73" s="281" t="s">
        <v>378</v>
      </c>
      <c r="H73" s="283" t="s">
        <v>387</v>
      </c>
      <c r="I73" s="284">
        <v>40</v>
      </c>
      <c r="J73" s="285">
        <v>1811.16</v>
      </c>
    </row>
    <row r="74" spans="1:10" s="276" customFormat="1" ht="10.15" customHeight="1" x14ac:dyDescent="0.2">
      <c r="A74" s="278">
        <v>43222</v>
      </c>
      <c r="B74" s="281" t="s">
        <v>372</v>
      </c>
      <c r="C74" s="281" t="s">
        <v>373</v>
      </c>
      <c r="D74" s="281" t="s">
        <v>1</v>
      </c>
      <c r="E74" s="282" t="s">
        <v>377</v>
      </c>
      <c r="F74" s="281" t="s">
        <v>365</v>
      </c>
      <c r="G74" s="281" t="s">
        <v>380</v>
      </c>
      <c r="H74" s="283" t="s">
        <v>365</v>
      </c>
      <c r="I74" s="284"/>
      <c r="J74" s="285">
        <v>124.05</v>
      </c>
    </row>
    <row r="75" spans="1:10" s="276" customFormat="1" ht="10.15" customHeight="1" x14ac:dyDescent="0.2">
      <c r="A75" s="278">
        <v>43222</v>
      </c>
      <c r="B75" s="281" t="s">
        <v>372</v>
      </c>
      <c r="C75" s="281" t="s">
        <v>373</v>
      </c>
      <c r="D75" s="281" t="s">
        <v>1</v>
      </c>
      <c r="E75" s="282" t="s">
        <v>377</v>
      </c>
      <c r="F75" s="281" t="s">
        <v>365</v>
      </c>
      <c r="G75" s="281" t="s">
        <v>381</v>
      </c>
      <c r="H75" s="283" t="s">
        <v>365</v>
      </c>
      <c r="I75" s="284"/>
      <c r="J75" s="285">
        <v>11.79</v>
      </c>
    </row>
    <row r="76" spans="1:10" s="276" customFormat="1" ht="18.399999999999999" customHeight="1" x14ac:dyDescent="0.2">
      <c r="A76" s="278">
        <v>43222</v>
      </c>
      <c r="B76" s="281" t="s">
        <v>372</v>
      </c>
      <c r="C76" s="281" t="s">
        <v>373</v>
      </c>
      <c r="D76" s="281" t="s">
        <v>1</v>
      </c>
      <c r="E76" s="282" t="s">
        <v>377</v>
      </c>
      <c r="F76" s="281" t="s">
        <v>365</v>
      </c>
      <c r="G76" s="281" t="s">
        <v>382</v>
      </c>
      <c r="H76" s="283" t="s">
        <v>365</v>
      </c>
      <c r="I76" s="284"/>
      <c r="J76" s="285">
        <v>22.64</v>
      </c>
    </row>
    <row r="77" spans="1:10" s="276" customFormat="1" ht="10.15" customHeight="1" x14ac:dyDescent="0.2">
      <c r="A77" s="278">
        <v>43222</v>
      </c>
      <c r="B77" s="281" t="s">
        <v>372</v>
      </c>
      <c r="C77" s="281" t="s">
        <v>373</v>
      </c>
      <c r="D77" s="281" t="s">
        <v>1</v>
      </c>
      <c r="E77" s="282" t="s">
        <v>377</v>
      </c>
      <c r="F77" s="281" t="s">
        <v>369</v>
      </c>
      <c r="G77" s="281" t="s">
        <v>383</v>
      </c>
      <c r="H77" s="283" t="s">
        <v>371</v>
      </c>
      <c r="I77" s="284"/>
      <c r="J77" s="285">
        <v>172.06</v>
      </c>
    </row>
    <row r="78" spans="1:10" s="276" customFormat="1" ht="10.15" customHeight="1" x14ac:dyDescent="0.2">
      <c r="A78" s="278">
        <v>43222</v>
      </c>
      <c r="B78" s="281" t="s">
        <v>388</v>
      </c>
      <c r="C78" s="281" t="s">
        <v>389</v>
      </c>
      <c r="D78" s="281" t="s">
        <v>9</v>
      </c>
      <c r="E78" s="282" t="s">
        <v>386</v>
      </c>
      <c r="F78" s="281" t="s">
        <v>362</v>
      </c>
      <c r="G78" s="281" t="s">
        <v>378</v>
      </c>
      <c r="H78" s="283" t="s">
        <v>387</v>
      </c>
      <c r="I78" s="284">
        <v>18</v>
      </c>
      <c r="J78" s="285">
        <v>815.01</v>
      </c>
    </row>
    <row r="79" spans="1:10" s="276" customFormat="1" ht="10.15" customHeight="1" x14ac:dyDescent="0.2">
      <c r="A79" s="278">
        <v>43222</v>
      </c>
      <c r="B79" s="281" t="s">
        <v>388</v>
      </c>
      <c r="C79" s="281" t="s">
        <v>389</v>
      </c>
      <c r="D79" s="281" t="s">
        <v>9</v>
      </c>
      <c r="E79" s="282" t="s">
        <v>386</v>
      </c>
      <c r="F79" s="281" t="s">
        <v>365</v>
      </c>
      <c r="G79" s="281" t="s">
        <v>380</v>
      </c>
      <c r="H79" s="283" t="s">
        <v>365</v>
      </c>
      <c r="I79" s="284"/>
      <c r="J79" s="285">
        <v>55.83</v>
      </c>
    </row>
    <row r="80" spans="1:10" s="276" customFormat="1" ht="10.15" customHeight="1" x14ac:dyDescent="0.2">
      <c r="A80" s="278">
        <v>43222</v>
      </c>
      <c r="B80" s="281" t="s">
        <v>388</v>
      </c>
      <c r="C80" s="281" t="s">
        <v>389</v>
      </c>
      <c r="D80" s="281" t="s">
        <v>9</v>
      </c>
      <c r="E80" s="282" t="s">
        <v>386</v>
      </c>
      <c r="F80" s="281" t="s">
        <v>365</v>
      </c>
      <c r="G80" s="281" t="s">
        <v>381</v>
      </c>
      <c r="H80" s="283" t="s">
        <v>365</v>
      </c>
      <c r="I80" s="284"/>
      <c r="J80" s="285">
        <v>5.31</v>
      </c>
    </row>
    <row r="81" spans="1:10" s="276" customFormat="1" ht="10.15" customHeight="1" x14ac:dyDescent="0.2">
      <c r="A81" s="278">
        <v>43222</v>
      </c>
      <c r="B81" s="281" t="s">
        <v>388</v>
      </c>
      <c r="C81" s="281" t="s">
        <v>389</v>
      </c>
      <c r="D81" s="281" t="s">
        <v>9</v>
      </c>
      <c r="E81" s="282" t="s">
        <v>386</v>
      </c>
      <c r="F81" s="281" t="s">
        <v>365</v>
      </c>
      <c r="G81" s="281" t="s">
        <v>382</v>
      </c>
      <c r="H81" s="283" t="s">
        <v>365</v>
      </c>
      <c r="I81" s="284"/>
      <c r="J81" s="285">
        <v>10.19</v>
      </c>
    </row>
    <row r="82" spans="1:10" s="276" customFormat="1" ht="10.15" customHeight="1" x14ac:dyDescent="0.2">
      <c r="A82" s="278">
        <v>43222</v>
      </c>
      <c r="B82" s="281" t="s">
        <v>388</v>
      </c>
      <c r="C82" s="281" t="s">
        <v>389</v>
      </c>
      <c r="D82" s="281" t="s">
        <v>9</v>
      </c>
      <c r="E82" s="282" t="s">
        <v>386</v>
      </c>
      <c r="F82" s="281" t="s">
        <v>369</v>
      </c>
      <c r="G82" s="281" t="s">
        <v>383</v>
      </c>
      <c r="H82" s="283" t="s">
        <v>371</v>
      </c>
      <c r="I82" s="284"/>
      <c r="J82" s="285">
        <v>77.430000000000007</v>
      </c>
    </row>
    <row r="83" spans="1:10" s="276" customFormat="1" ht="18.399999999999999" customHeight="1" x14ac:dyDescent="0.2">
      <c r="A83" s="278">
        <v>43236</v>
      </c>
      <c r="B83" s="281" t="s">
        <v>384</v>
      </c>
      <c r="C83" s="281" t="s">
        <v>385</v>
      </c>
      <c r="D83" s="281" t="s">
        <v>202</v>
      </c>
      <c r="E83" s="282" t="s">
        <v>386</v>
      </c>
      <c r="F83" s="281" t="s">
        <v>362</v>
      </c>
      <c r="G83" s="281" t="s">
        <v>378</v>
      </c>
      <c r="H83" s="283" t="s">
        <v>390</v>
      </c>
      <c r="I83" s="284">
        <v>22.5</v>
      </c>
      <c r="J83" s="285">
        <v>1215.8699999999999</v>
      </c>
    </row>
    <row r="84" spans="1:10" s="276" customFormat="1" ht="10.15" customHeight="1" x14ac:dyDescent="0.2">
      <c r="A84" s="278">
        <v>43236</v>
      </c>
      <c r="B84" s="281" t="s">
        <v>384</v>
      </c>
      <c r="C84" s="281" t="s">
        <v>385</v>
      </c>
      <c r="D84" s="281" t="s">
        <v>202</v>
      </c>
      <c r="E84" s="282" t="s">
        <v>386</v>
      </c>
      <c r="F84" s="281" t="s">
        <v>365</v>
      </c>
      <c r="G84" s="281" t="s">
        <v>380</v>
      </c>
      <c r="H84" s="283" t="s">
        <v>365</v>
      </c>
      <c r="I84" s="284"/>
      <c r="J84" s="285">
        <v>83.29</v>
      </c>
    </row>
    <row r="85" spans="1:10" s="276" customFormat="1" ht="10.15" customHeight="1" x14ac:dyDescent="0.2">
      <c r="A85" s="278">
        <v>43236</v>
      </c>
      <c r="B85" s="281" t="s">
        <v>384</v>
      </c>
      <c r="C85" s="281" t="s">
        <v>385</v>
      </c>
      <c r="D85" s="281" t="s">
        <v>202</v>
      </c>
      <c r="E85" s="282" t="s">
        <v>386</v>
      </c>
      <c r="F85" s="281" t="s">
        <v>365</v>
      </c>
      <c r="G85" s="281" t="s">
        <v>381</v>
      </c>
      <c r="H85" s="283" t="s">
        <v>365</v>
      </c>
      <c r="I85" s="284"/>
      <c r="J85" s="285">
        <v>7.91</v>
      </c>
    </row>
    <row r="86" spans="1:10" s="276" customFormat="1" ht="18.399999999999999" customHeight="1" x14ac:dyDescent="0.2">
      <c r="A86" s="278">
        <v>43236</v>
      </c>
      <c r="B86" s="281" t="s">
        <v>384</v>
      </c>
      <c r="C86" s="281" t="s">
        <v>385</v>
      </c>
      <c r="D86" s="281" t="s">
        <v>202</v>
      </c>
      <c r="E86" s="282" t="s">
        <v>386</v>
      </c>
      <c r="F86" s="281" t="s">
        <v>365</v>
      </c>
      <c r="G86" s="281" t="s">
        <v>382</v>
      </c>
      <c r="H86" s="283" t="s">
        <v>365</v>
      </c>
      <c r="I86" s="284"/>
      <c r="J86" s="285">
        <v>15.19</v>
      </c>
    </row>
    <row r="87" spans="1:10" s="276" customFormat="1" ht="10.15" customHeight="1" x14ac:dyDescent="0.2">
      <c r="A87" s="278">
        <v>43236</v>
      </c>
      <c r="B87" s="281" t="s">
        <v>384</v>
      </c>
      <c r="C87" s="281" t="s">
        <v>385</v>
      </c>
      <c r="D87" s="281" t="s">
        <v>202</v>
      </c>
      <c r="E87" s="282" t="s">
        <v>386</v>
      </c>
      <c r="F87" s="281" t="s">
        <v>369</v>
      </c>
      <c r="G87" s="281" t="s">
        <v>383</v>
      </c>
      <c r="H87" s="283" t="s">
        <v>371</v>
      </c>
      <c r="I87" s="284"/>
      <c r="J87" s="285">
        <v>115.51</v>
      </c>
    </row>
    <row r="88" spans="1:10" s="276" customFormat="1" ht="10.15" customHeight="1" x14ac:dyDescent="0.2">
      <c r="A88" s="278">
        <v>43236</v>
      </c>
      <c r="B88" s="281" t="s">
        <v>359</v>
      </c>
      <c r="C88" s="281" t="s">
        <v>360</v>
      </c>
      <c r="D88" s="281" t="s">
        <v>207</v>
      </c>
      <c r="E88" s="282" t="s">
        <v>386</v>
      </c>
      <c r="F88" s="281" t="s">
        <v>362</v>
      </c>
      <c r="G88" s="281" t="s">
        <v>378</v>
      </c>
      <c r="H88" s="283" t="s">
        <v>387</v>
      </c>
      <c r="I88" s="284">
        <v>10</v>
      </c>
      <c r="J88" s="285">
        <v>452.79</v>
      </c>
    </row>
    <row r="89" spans="1:10" s="276" customFormat="1" ht="10.15" customHeight="1" x14ac:dyDescent="0.2">
      <c r="A89" s="278">
        <v>43236</v>
      </c>
      <c r="B89" s="281" t="s">
        <v>359</v>
      </c>
      <c r="C89" s="281" t="s">
        <v>360</v>
      </c>
      <c r="D89" s="281" t="s">
        <v>207</v>
      </c>
      <c r="E89" s="282" t="s">
        <v>386</v>
      </c>
      <c r="F89" s="281" t="s">
        <v>365</v>
      </c>
      <c r="G89" s="281" t="s">
        <v>380</v>
      </c>
      <c r="H89" s="283" t="s">
        <v>365</v>
      </c>
      <c r="I89" s="284"/>
      <c r="J89" s="285">
        <v>31.02</v>
      </c>
    </row>
    <row r="90" spans="1:10" s="276" customFormat="1" ht="10.15" customHeight="1" x14ac:dyDescent="0.2">
      <c r="A90" s="278">
        <v>43236</v>
      </c>
      <c r="B90" s="281" t="s">
        <v>359</v>
      </c>
      <c r="C90" s="281" t="s">
        <v>360</v>
      </c>
      <c r="D90" s="281" t="s">
        <v>207</v>
      </c>
      <c r="E90" s="282" t="s">
        <v>386</v>
      </c>
      <c r="F90" s="281" t="s">
        <v>365</v>
      </c>
      <c r="G90" s="281" t="s">
        <v>381</v>
      </c>
      <c r="H90" s="283" t="s">
        <v>365</v>
      </c>
      <c r="I90" s="284"/>
      <c r="J90" s="285">
        <v>2.95</v>
      </c>
    </row>
    <row r="91" spans="1:10" s="276" customFormat="1" ht="18.399999999999999" customHeight="1" x14ac:dyDescent="0.2">
      <c r="A91" s="278">
        <v>43236</v>
      </c>
      <c r="B91" s="281" t="s">
        <v>359</v>
      </c>
      <c r="C91" s="281" t="s">
        <v>360</v>
      </c>
      <c r="D91" s="281" t="s">
        <v>207</v>
      </c>
      <c r="E91" s="282" t="s">
        <v>386</v>
      </c>
      <c r="F91" s="281" t="s">
        <v>365</v>
      </c>
      <c r="G91" s="281" t="s">
        <v>382</v>
      </c>
      <c r="H91" s="283" t="s">
        <v>365</v>
      </c>
      <c r="I91" s="284"/>
      <c r="J91" s="285">
        <v>5.66</v>
      </c>
    </row>
    <row r="92" spans="1:10" s="276" customFormat="1" ht="10.15" customHeight="1" x14ac:dyDescent="0.2">
      <c r="A92" s="278">
        <v>43236</v>
      </c>
      <c r="B92" s="281" t="s">
        <v>359</v>
      </c>
      <c r="C92" s="281" t="s">
        <v>360</v>
      </c>
      <c r="D92" s="281" t="s">
        <v>207</v>
      </c>
      <c r="E92" s="282" t="s">
        <v>386</v>
      </c>
      <c r="F92" s="281" t="s">
        <v>369</v>
      </c>
      <c r="G92" s="281" t="s">
        <v>383</v>
      </c>
      <c r="H92" s="283" t="s">
        <v>371</v>
      </c>
      <c r="I92" s="284"/>
      <c r="J92" s="285">
        <v>43.02</v>
      </c>
    </row>
    <row r="93" spans="1:10" s="276" customFormat="1" ht="10.15" customHeight="1" x14ac:dyDescent="0.2">
      <c r="A93" s="278">
        <v>43236</v>
      </c>
      <c r="B93" s="281" t="s">
        <v>372</v>
      </c>
      <c r="C93" s="281" t="s">
        <v>373</v>
      </c>
      <c r="D93" s="281" t="s">
        <v>1</v>
      </c>
      <c r="E93" s="282" t="s">
        <v>361</v>
      </c>
      <c r="F93" s="281" t="s">
        <v>365</v>
      </c>
      <c r="G93" s="281" t="s">
        <v>367</v>
      </c>
      <c r="H93" s="283" t="s">
        <v>365</v>
      </c>
      <c r="I93" s="284"/>
      <c r="J93" s="285">
        <v>0</v>
      </c>
    </row>
    <row r="94" spans="1:10" s="276" customFormat="1" ht="10.15" customHeight="1" x14ac:dyDescent="0.2">
      <c r="A94" s="278">
        <v>43236</v>
      </c>
      <c r="B94" s="281" t="s">
        <v>372</v>
      </c>
      <c r="C94" s="281" t="s">
        <v>373</v>
      </c>
      <c r="D94" s="281" t="s">
        <v>1</v>
      </c>
      <c r="E94" s="282" t="s">
        <v>361</v>
      </c>
      <c r="F94" s="281" t="s">
        <v>369</v>
      </c>
      <c r="G94" s="281" t="s">
        <v>370</v>
      </c>
      <c r="H94" s="283" t="s">
        <v>371</v>
      </c>
      <c r="I94" s="284"/>
      <c r="J94" s="285">
        <v>0</v>
      </c>
    </row>
    <row r="95" spans="1:10" s="276" customFormat="1" ht="10.15" customHeight="1" x14ac:dyDescent="0.2">
      <c r="A95" s="278">
        <v>43236</v>
      </c>
      <c r="B95" s="281" t="s">
        <v>372</v>
      </c>
      <c r="C95" s="281" t="s">
        <v>373</v>
      </c>
      <c r="D95" s="281" t="s">
        <v>1</v>
      </c>
      <c r="E95" s="282" t="s">
        <v>377</v>
      </c>
      <c r="F95" s="281" t="s">
        <v>362</v>
      </c>
      <c r="G95" s="281" t="s">
        <v>378</v>
      </c>
      <c r="H95" s="283" t="s">
        <v>387</v>
      </c>
      <c r="I95" s="284">
        <v>-19</v>
      </c>
      <c r="J95" s="285">
        <v>-860.3</v>
      </c>
    </row>
    <row r="96" spans="1:10" s="276" customFormat="1" ht="10.15" customHeight="1" x14ac:dyDescent="0.2">
      <c r="A96" s="278">
        <v>43236</v>
      </c>
      <c r="B96" s="281" t="s">
        <v>372</v>
      </c>
      <c r="C96" s="281" t="s">
        <v>373</v>
      </c>
      <c r="D96" s="281" t="s">
        <v>1</v>
      </c>
      <c r="E96" s="282" t="s">
        <v>377</v>
      </c>
      <c r="F96" s="281" t="s">
        <v>365</v>
      </c>
      <c r="G96" s="281" t="s">
        <v>380</v>
      </c>
      <c r="H96" s="283" t="s">
        <v>365</v>
      </c>
      <c r="I96" s="284"/>
      <c r="J96" s="285">
        <v>-58.94</v>
      </c>
    </row>
    <row r="97" spans="1:10" s="276" customFormat="1" ht="10.15" customHeight="1" x14ac:dyDescent="0.2">
      <c r="A97" s="278">
        <v>43236</v>
      </c>
      <c r="B97" s="281" t="s">
        <v>372</v>
      </c>
      <c r="C97" s="281" t="s">
        <v>373</v>
      </c>
      <c r="D97" s="281" t="s">
        <v>1</v>
      </c>
      <c r="E97" s="282" t="s">
        <v>377</v>
      </c>
      <c r="F97" s="281" t="s">
        <v>365</v>
      </c>
      <c r="G97" s="281" t="s">
        <v>381</v>
      </c>
      <c r="H97" s="283" t="s">
        <v>365</v>
      </c>
      <c r="I97" s="284"/>
      <c r="J97" s="285">
        <v>-5.6</v>
      </c>
    </row>
    <row r="98" spans="1:10" s="276" customFormat="1" ht="18.399999999999999" customHeight="1" x14ac:dyDescent="0.2">
      <c r="A98" s="278">
        <v>43236</v>
      </c>
      <c r="B98" s="281" t="s">
        <v>372</v>
      </c>
      <c r="C98" s="281" t="s">
        <v>373</v>
      </c>
      <c r="D98" s="281" t="s">
        <v>1</v>
      </c>
      <c r="E98" s="282" t="s">
        <v>377</v>
      </c>
      <c r="F98" s="281" t="s">
        <v>365</v>
      </c>
      <c r="G98" s="281" t="s">
        <v>382</v>
      </c>
      <c r="H98" s="283" t="s">
        <v>365</v>
      </c>
      <c r="I98" s="284"/>
      <c r="J98" s="285">
        <v>-10.76</v>
      </c>
    </row>
    <row r="99" spans="1:10" s="276" customFormat="1" ht="10.15" customHeight="1" x14ac:dyDescent="0.2">
      <c r="A99" s="278">
        <v>43236</v>
      </c>
      <c r="B99" s="281" t="s">
        <v>372</v>
      </c>
      <c r="C99" s="281" t="s">
        <v>373</v>
      </c>
      <c r="D99" s="281" t="s">
        <v>1</v>
      </c>
      <c r="E99" s="282" t="s">
        <v>377</v>
      </c>
      <c r="F99" s="281" t="s">
        <v>369</v>
      </c>
      <c r="G99" s="281" t="s">
        <v>383</v>
      </c>
      <c r="H99" s="283" t="s">
        <v>371</v>
      </c>
      <c r="I99" s="284"/>
      <c r="J99" s="285">
        <v>-81.73</v>
      </c>
    </row>
    <row r="100" spans="1:10" s="276" customFormat="1" ht="10.15" customHeight="1" x14ac:dyDescent="0.2">
      <c r="A100" s="278">
        <v>43236</v>
      </c>
      <c r="B100" s="281" t="s">
        <v>388</v>
      </c>
      <c r="C100" s="281" t="s">
        <v>389</v>
      </c>
      <c r="D100" s="281" t="s">
        <v>9</v>
      </c>
      <c r="E100" s="282" t="s">
        <v>386</v>
      </c>
      <c r="F100" s="281" t="s">
        <v>362</v>
      </c>
      <c r="G100" s="281" t="s">
        <v>378</v>
      </c>
      <c r="H100" s="283" t="s">
        <v>387</v>
      </c>
      <c r="I100" s="284">
        <v>10</v>
      </c>
      <c r="J100" s="285">
        <v>452.79</v>
      </c>
    </row>
    <row r="101" spans="1:10" s="276" customFormat="1" ht="10.15" customHeight="1" x14ac:dyDescent="0.2">
      <c r="A101" s="278">
        <v>43236</v>
      </c>
      <c r="B101" s="281" t="s">
        <v>388</v>
      </c>
      <c r="C101" s="281" t="s">
        <v>389</v>
      </c>
      <c r="D101" s="281" t="s">
        <v>9</v>
      </c>
      <c r="E101" s="282" t="s">
        <v>386</v>
      </c>
      <c r="F101" s="281" t="s">
        <v>365</v>
      </c>
      <c r="G101" s="281" t="s">
        <v>380</v>
      </c>
      <c r="H101" s="283" t="s">
        <v>365</v>
      </c>
      <c r="I101" s="284"/>
      <c r="J101" s="285">
        <v>31.02</v>
      </c>
    </row>
    <row r="102" spans="1:10" s="276" customFormat="1" ht="10.15" customHeight="1" x14ac:dyDescent="0.2">
      <c r="A102" s="278">
        <v>43236</v>
      </c>
      <c r="B102" s="281" t="s">
        <v>388</v>
      </c>
      <c r="C102" s="281" t="s">
        <v>389</v>
      </c>
      <c r="D102" s="281" t="s">
        <v>9</v>
      </c>
      <c r="E102" s="282" t="s">
        <v>386</v>
      </c>
      <c r="F102" s="281" t="s">
        <v>365</v>
      </c>
      <c r="G102" s="281" t="s">
        <v>381</v>
      </c>
      <c r="H102" s="283" t="s">
        <v>365</v>
      </c>
      <c r="I102" s="284"/>
      <c r="J102" s="285">
        <v>2.95</v>
      </c>
    </row>
    <row r="103" spans="1:10" s="276" customFormat="1" ht="18.399999999999999" customHeight="1" x14ac:dyDescent="0.2">
      <c r="A103" s="278">
        <v>43236</v>
      </c>
      <c r="B103" s="281" t="s">
        <v>388</v>
      </c>
      <c r="C103" s="281" t="s">
        <v>389</v>
      </c>
      <c r="D103" s="281" t="s">
        <v>9</v>
      </c>
      <c r="E103" s="282" t="s">
        <v>386</v>
      </c>
      <c r="F103" s="281" t="s">
        <v>365</v>
      </c>
      <c r="G103" s="281" t="s">
        <v>382</v>
      </c>
      <c r="H103" s="283" t="s">
        <v>365</v>
      </c>
      <c r="I103" s="284"/>
      <c r="J103" s="285">
        <v>5.66</v>
      </c>
    </row>
    <row r="104" spans="1:10" s="276" customFormat="1" ht="18.399999999999999" customHeight="1" x14ac:dyDescent="0.2">
      <c r="A104" s="278">
        <v>43236</v>
      </c>
      <c r="B104" s="281" t="s">
        <v>388</v>
      </c>
      <c r="C104" s="281" t="s">
        <v>389</v>
      </c>
      <c r="D104" s="281" t="s">
        <v>9</v>
      </c>
      <c r="E104" s="282" t="s">
        <v>386</v>
      </c>
      <c r="F104" s="281" t="s">
        <v>369</v>
      </c>
      <c r="G104" s="281" t="s">
        <v>383</v>
      </c>
      <c r="H104" s="283" t="s">
        <v>371</v>
      </c>
      <c r="I104" s="284"/>
      <c r="J104" s="285">
        <v>43.02</v>
      </c>
    </row>
    <row r="105" spans="1:10" s="276" customFormat="1" ht="18.399999999999999" customHeight="1" x14ac:dyDescent="0.2">
      <c r="A105" s="278">
        <v>43250</v>
      </c>
      <c r="B105" s="281" t="s">
        <v>384</v>
      </c>
      <c r="C105" s="281" t="s">
        <v>385</v>
      </c>
      <c r="D105" s="281" t="s">
        <v>202</v>
      </c>
      <c r="E105" s="282" t="s">
        <v>386</v>
      </c>
      <c r="F105" s="281" t="s">
        <v>362</v>
      </c>
      <c r="G105" s="281" t="s">
        <v>378</v>
      </c>
      <c r="H105" s="283" t="s">
        <v>390</v>
      </c>
      <c r="I105" s="284">
        <v>-22.5</v>
      </c>
      <c r="J105" s="285">
        <v>-1215.8699999999999</v>
      </c>
    </row>
    <row r="106" spans="1:10" s="276" customFormat="1" ht="10.15" customHeight="1" x14ac:dyDescent="0.2">
      <c r="A106" s="278">
        <v>43250</v>
      </c>
      <c r="B106" s="281" t="s">
        <v>384</v>
      </c>
      <c r="C106" s="281" t="s">
        <v>385</v>
      </c>
      <c r="D106" s="281" t="s">
        <v>202</v>
      </c>
      <c r="E106" s="282" t="s">
        <v>386</v>
      </c>
      <c r="F106" s="281" t="s">
        <v>362</v>
      </c>
      <c r="G106" s="281" t="s">
        <v>378</v>
      </c>
      <c r="H106" s="283" t="s">
        <v>387</v>
      </c>
      <c r="I106" s="284">
        <v>52.5</v>
      </c>
      <c r="J106" s="285">
        <v>2377.15</v>
      </c>
    </row>
    <row r="107" spans="1:10" s="276" customFormat="1" ht="10.15" customHeight="1" x14ac:dyDescent="0.2">
      <c r="A107" s="278">
        <v>43250</v>
      </c>
      <c r="B107" s="281" t="s">
        <v>384</v>
      </c>
      <c r="C107" s="281" t="s">
        <v>385</v>
      </c>
      <c r="D107" s="281" t="s">
        <v>202</v>
      </c>
      <c r="E107" s="282" t="s">
        <v>386</v>
      </c>
      <c r="F107" s="281" t="s">
        <v>362</v>
      </c>
      <c r="G107" s="281" t="s">
        <v>378</v>
      </c>
      <c r="H107" s="283" t="s">
        <v>391</v>
      </c>
      <c r="I107" s="284">
        <v>25</v>
      </c>
      <c r="J107" s="285">
        <v>1350.96</v>
      </c>
    </row>
    <row r="108" spans="1:10" s="276" customFormat="1" ht="10.15" customHeight="1" x14ac:dyDescent="0.2">
      <c r="A108" s="278">
        <v>43250</v>
      </c>
      <c r="B108" s="281" t="s">
        <v>384</v>
      </c>
      <c r="C108" s="281" t="s">
        <v>385</v>
      </c>
      <c r="D108" s="281" t="s">
        <v>202</v>
      </c>
      <c r="E108" s="282" t="s">
        <v>386</v>
      </c>
      <c r="F108" s="281" t="s">
        <v>365</v>
      </c>
      <c r="G108" s="281" t="s">
        <v>380</v>
      </c>
      <c r="H108" s="283" t="s">
        <v>365</v>
      </c>
      <c r="I108" s="284"/>
      <c r="J108" s="285">
        <v>172.08</v>
      </c>
    </row>
    <row r="109" spans="1:10" s="276" customFormat="1" ht="10.15" customHeight="1" x14ac:dyDescent="0.2">
      <c r="A109" s="278">
        <v>43250</v>
      </c>
      <c r="B109" s="281" t="s">
        <v>384</v>
      </c>
      <c r="C109" s="281" t="s">
        <v>385</v>
      </c>
      <c r="D109" s="281" t="s">
        <v>202</v>
      </c>
      <c r="E109" s="282" t="s">
        <v>386</v>
      </c>
      <c r="F109" s="281" t="s">
        <v>365</v>
      </c>
      <c r="G109" s="281" t="s">
        <v>381</v>
      </c>
      <c r="H109" s="283" t="s">
        <v>365</v>
      </c>
      <c r="I109" s="284"/>
      <c r="J109" s="285">
        <v>17.82</v>
      </c>
    </row>
    <row r="110" spans="1:10" s="276" customFormat="1" ht="18.399999999999999" customHeight="1" x14ac:dyDescent="0.2">
      <c r="A110" s="278">
        <v>43250</v>
      </c>
      <c r="B110" s="281" t="s">
        <v>384</v>
      </c>
      <c r="C110" s="281" t="s">
        <v>385</v>
      </c>
      <c r="D110" s="281" t="s">
        <v>202</v>
      </c>
      <c r="E110" s="282" t="s">
        <v>386</v>
      </c>
      <c r="F110" s="281" t="s">
        <v>365</v>
      </c>
      <c r="G110" s="281" t="s">
        <v>382</v>
      </c>
      <c r="H110" s="283" t="s">
        <v>365</v>
      </c>
      <c r="I110" s="284"/>
      <c r="J110" s="285">
        <v>31.4</v>
      </c>
    </row>
    <row r="111" spans="1:10" s="276" customFormat="1" ht="10.15" customHeight="1" x14ac:dyDescent="0.2">
      <c r="A111" s="278">
        <v>43250</v>
      </c>
      <c r="B111" s="281" t="s">
        <v>384</v>
      </c>
      <c r="C111" s="281" t="s">
        <v>385</v>
      </c>
      <c r="D111" s="281" t="s">
        <v>202</v>
      </c>
      <c r="E111" s="282" t="s">
        <v>386</v>
      </c>
      <c r="F111" s="281" t="s">
        <v>369</v>
      </c>
      <c r="G111" s="281" t="s">
        <v>383</v>
      </c>
      <c r="H111" s="283" t="s">
        <v>371</v>
      </c>
      <c r="I111" s="284"/>
      <c r="J111" s="285">
        <v>260.17</v>
      </c>
    </row>
    <row r="112" spans="1:10" s="276" customFormat="1" ht="10.15" customHeight="1" x14ac:dyDescent="0.2">
      <c r="A112" s="278">
        <v>43250</v>
      </c>
      <c r="B112" s="281" t="s">
        <v>359</v>
      </c>
      <c r="C112" s="281" t="s">
        <v>360</v>
      </c>
      <c r="D112" s="281" t="s">
        <v>207</v>
      </c>
      <c r="E112" s="282" t="s">
        <v>386</v>
      </c>
      <c r="F112" s="281" t="s">
        <v>362</v>
      </c>
      <c r="G112" s="281" t="s">
        <v>378</v>
      </c>
      <c r="H112" s="283" t="s">
        <v>387</v>
      </c>
      <c r="I112" s="284">
        <v>65.5</v>
      </c>
      <c r="J112" s="285">
        <v>2965.78</v>
      </c>
    </row>
    <row r="113" spans="1:10" s="276" customFormat="1" ht="10.15" customHeight="1" x14ac:dyDescent="0.2">
      <c r="A113" s="278">
        <v>43250</v>
      </c>
      <c r="B113" s="281" t="s">
        <v>359</v>
      </c>
      <c r="C113" s="281" t="s">
        <v>360</v>
      </c>
      <c r="D113" s="281" t="s">
        <v>207</v>
      </c>
      <c r="E113" s="282" t="s">
        <v>386</v>
      </c>
      <c r="F113" s="281" t="s">
        <v>365</v>
      </c>
      <c r="G113" s="281" t="s">
        <v>380</v>
      </c>
      <c r="H113" s="283" t="s">
        <v>365</v>
      </c>
      <c r="I113" s="284"/>
      <c r="J113" s="285">
        <v>203.15</v>
      </c>
    </row>
    <row r="114" spans="1:10" s="276" customFormat="1" ht="10.15" customHeight="1" x14ac:dyDescent="0.2">
      <c r="A114" s="278">
        <v>43250</v>
      </c>
      <c r="B114" s="281" t="s">
        <v>359</v>
      </c>
      <c r="C114" s="281" t="s">
        <v>360</v>
      </c>
      <c r="D114" s="281" t="s">
        <v>207</v>
      </c>
      <c r="E114" s="282" t="s">
        <v>386</v>
      </c>
      <c r="F114" s="281" t="s">
        <v>365</v>
      </c>
      <c r="G114" s="281" t="s">
        <v>381</v>
      </c>
      <c r="H114" s="283" t="s">
        <v>365</v>
      </c>
      <c r="I114" s="284"/>
      <c r="J114" s="285">
        <v>19.3</v>
      </c>
    </row>
    <row r="115" spans="1:10" s="276" customFormat="1" ht="10.15" customHeight="1" x14ac:dyDescent="0.2">
      <c r="A115" s="278">
        <v>43250</v>
      </c>
      <c r="B115" s="281" t="s">
        <v>359</v>
      </c>
      <c r="C115" s="281" t="s">
        <v>360</v>
      </c>
      <c r="D115" s="281" t="s">
        <v>207</v>
      </c>
      <c r="E115" s="282" t="s">
        <v>386</v>
      </c>
      <c r="F115" s="281" t="s">
        <v>365</v>
      </c>
      <c r="G115" s="281" t="s">
        <v>382</v>
      </c>
      <c r="H115" s="283" t="s">
        <v>365</v>
      </c>
      <c r="I115" s="284"/>
      <c r="J115" s="285">
        <v>37.07</v>
      </c>
    </row>
    <row r="116" spans="1:10" s="276" customFormat="1" ht="10.15" customHeight="1" x14ac:dyDescent="0.2">
      <c r="A116" s="278">
        <v>43250</v>
      </c>
      <c r="B116" s="281" t="s">
        <v>359</v>
      </c>
      <c r="C116" s="281" t="s">
        <v>360</v>
      </c>
      <c r="D116" s="281" t="s">
        <v>207</v>
      </c>
      <c r="E116" s="282" t="s">
        <v>386</v>
      </c>
      <c r="F116" s="281" t="s">
        <v>369</v>
      </c>
      <c r="G116" s="281" t="s">
        <v>383</v>
      </c>
      <c r="H116" s="283" t="s">
        <v>371</v>
      </c>
      <c r="I116" s="284"/>
      <c r="J116" s="285">
        <v>281.75</v>
      </c>
    </row>
    <row r="117" spans="1:10" s="276" customFormat="1" ht="18.399999999999999" customHeight="1" x14ac:dyDescent="0.2">
      <c r="A117" s="278">
        <v>43250</v>
      </c>
      <c r="B117" s="281" t="s">
        <v>372</v>
      </c>
      <c r="C117" s="281" t="s">
        <v>373</v>
      </c>
      <c r="D117" s="281" t="s">
        <v>1</v>
      </c>
      <c r="E117" s="282" t="s">
        <v>361</v>
      </c>
      <c r="F117" s="281" t="s">
        <v>365</v>
      </c>
      <c r="G117" s="281" t="s">
        <v>367</v>
      </c>
      <c r="H117" s="283" t="s">
        <v>365</v>
      </c>
      <c r="I117" s="284"/>
      <c r="J117" s="285">
        <v>-1.00000000000005E-2</v>
      </c>
    </row>
    <row r="118" spans="1:10" s="276" customFormat="1" ht="10.15" customHeight="1" x14ac:dyDescent="0.2">
      <c r="A118" s="278">
        <v>43250</v>
      </c>
      <c r="B118" s="281" t="s">
        <v>372</v>
      </c>
      <c r="C118" s="281" t="s">
        <v>373</v>
      </c>
      <c r="D118" s="281" t="s">
        <v>1</v>
      </c>
      <c r="E118" s="282" t="s">
        <v>361</v>
      </c>
      <c r="F118" s="281" t="s">
        <v>369</v>
      </c>
      <c r="G118" s="281" t="s">
        <v>370</v>
      </c>
      <c r="H118" s="283" t="s">
        <v>371</v>
      </c>
      <c r="I118" s="284"/>
      <c r="J118" s="285">
        <v>-5.3290705182007498E-15</v>
      </c>
    </row>
    <row r="119" spans="1:10" s="276" customFormat="1" ht="10.15" customHeight="1" x14ac:dyDescent="0.2">
      <c r="A119" s="278">
        <v>43250</v>
      </c>
      <c r="B119" s="281" t="s">
        <v>372</v>
      </c>
      <c r="C119" s="281" t="s">
        <v>373</v>
      </c>
      <c r="D119" s="281" t="s">
        <v>1</v>
      </c>
      <c r="E119" s="282" t="s">
        <v>377</v>
      </c>
      <c r="F119" s="281" t="s">
        <v>362</v>
      </c>
      <c r="G119" s="281" t="s">
        <v>378</v>
      </c>
      <c r="H119" s="283" t="s">
        <v>387</v>
      </c>
      <c r="I119" s="284">
        <v>4</v>
      </c>
      <c r="J119" s="285">
        <v>181.12</v>
      </c>
    </row>
    <row r="120" spans="1:10" s="276" customFormat="1" ht="10.15" customHeight="1" x14ac:dyDescent="0.2">
      <c r="A120" s="278">
        <v>43250</v>
      </c>
      <c r="B120" s="281" t="s">
        <v>372</v>
      </c>
      <c r="C120" s="281" t="s">
        <v>373</v>
      </c>
      <c r="D120" s="281" t="s">
        <v>1</v>
      </c>
      <c r="E120" s="282" t="s">
        <v>377</v>
      </c>
      <c r="F120" s="281" t="s">
        <v>365</v>
      </c>
      <c r="G120" s="281" t="s">
        <v>380</v>
      </c>
      <c r="H120" s="283" t="s">
        <v>365</v>
      </c>
      <c r="I120" s="284"/>
      <c r="J120" s="285">
        <v>12.4</v>
      </c>
    </row>
    <row r="121" spans="1:10" s="276" customFormat="1" ht="10.15" customHeight="1" x14ac:dyDescent="0.2">
      <c r="A121" s="278">
        <v>43250</v>
      </c>
      <c r="B121" s="281" t="s">
        <v>372</v>
      </c>
      <c r="C121" s="281" t="s">
        <v>373</v>
      </c>
      <c r="D121" s="281" t="s">
        <v>1</v>
      </c>
      <c r="E121" s="282" t="s">
        <v>377</v>
      </c>
      <c r="F121" s="281" t="s">
        <v>365</v>
      </c>
      <c r="G121" s="281" t="s">
        <v>381</v>
      </c>
      <c r="H121" s="283" t="s">
        <v>365</v>
      </c>
      <c r="I121" s="284"/>
      <c r="J121" s="285">
        <v>1.18</v>
      </c>
    </row>
    <row r="122" spans="1:10" s="276" customFormat="1" ht="10.15" customHeight="1" x14ac:dyDescent="0.2">
      <c r="A122" s="278">
        <v>43250</v>
      </c>
      <c r="B122" s="281" t="s">
        <v>372</v>
      </c>
      <c r="C122" s="281" t="s">
        <v>373</v>
      </c>
      <c r="D122" s="281" t="s">
        <v>1</v>
      </c>
      <c r="E122" s="282" t="s">
        <v>377</v>
      </c>
      <c r="F122" s="281" t="s">
        <v>365</v>
      </c>
      <c r="G122" s="281" t="s">
        <v>382</v>
      </c>
      <c r="H122" s="283" t="s">
        <v>365</v>
      </c>
      <c r="I122" s="284"/>
      <c r="J122" s="285">
        <v>2.2599999999999998</v>
      </c>
    </row>
    <row r="123" spans="1:10" s="276" customFormat="1" ht="10.15" customHeight="1" x14ac:dyDescent="0.2">
      <c r="A123" s="278">
        <v>43250</v>
      </c>
      <c r="B123" s="281" t="s">
        <v>372</v>
      </c>
      <c r="C123" s="281" t="s">
        <v>373</v>
      </c>
      <c r="D123" s="281" t="s">
        <v>1</v>
      </c>
      <c r="E123" s="282" t="s">
        <v>377</v>
      </c>
      <c r="F123" s="281" t="s">
        <v>369</v>
      </c>
      <c r="G123" s="281" t="s">
        <v>383</v>
      </c>
      <c r="H123" s="283" t="s">
        <v>371</v>
      </c>
      <c r="I123" s="284"/>
      <c r="J123" s="285">
        <v>17.21</v>
      </c>
    </row>
    <row r="124" spans="1:10" s="276" customFormat="1" ht="18.399999999999999" customHeight="1" x14ac:dyDescent="0.2">
      <c r="A124" s="278">
        <v>43250</v>
      </c>
      <c r="B124" s="281" t="s">
        <v>388</v>
      </c>
      <c r="C124" s="281" t="s">
        <v>389</v>
      </c>
      <c r="D124" s="281" t="s">
        <v>9</v>
      </c>
      <c r="E124" s="282" t="s">
        <v>386</v>
      </c>
      <c r="F124" s="281" t="s">
        <v>362</v>
      </c>
      <c r="G124" s="281" t="s">
        <v>378</v>
      </c>
      <c r="H124" s="283" t="s">
        <v>387</v>
      </c>
      <c r="I124" s="284">
        <v>14</v>
      </c>
      <c r="J124" s="285">
        <v>633.91</v>
      </c>
    </row>
    <row r="125" spans="1:10" s="276" customFormat="1" ht="10.15" customHeight="1" x14ac:dyDescent="0.2">
      <c r="A125" s="278">
        <v>43250</v>
      </c>
      <c r="B125" s="281" t="s">
        <v>388</v>
      </c>
      <c r="C125" s="281" t="s">
        <v>389</v>
      </c>
      <c r="D125" s="281" t="s">
        <v>9</v>
      </c>
      <c r="E125" s="282" t="s">
        <v>386</v>
      </c>
      <c r="F125" s="281" t="s">
        <v>365</v>
      </c>
      <c r="G125" s="281" t="s">
        <v>380</v>
      </c>
      <c r="H125" s="283" t="s">
        <v>365</v>
      </c>
      <c r="I125" s="284"/>
      <c r="J125" s="285">
        <v>43.42</v>
      </c>
    </row>
    <row r="126" spans="1:10" s="276" customFormat="1" ht="10.15" customHeight="1" x14ac:dyDescent="0.2">
      <c r="A126" s="278">
        <v>43250</v>
      </c>
      <c r="B126" s="281" t="s">
        <v>388</v>
      </c>
      <c r="C126" s="281" t="s">
        <v>389</v>
      </c>
      <c r="D126" s="281" t="s">
        <v>9</v>
      </c>
      <c r="E126" s="282" t="s">
        <v>386</v>
      </c>
      <c r="F126" s="281" t="s">
        <v>365</v>
      </c>
      <c r="G126" s="281" t="s">
        <v>381</v>
      </c>
      <c r="H126" s="283" t="s">
        <v>365</v>
      </c>
      <c r="I126" s="284"/>
      <c r="J126" s="285">
        <v>4.1399999999999997</v>
      </c>
    </row>
    <row r="127" spans="1:10" s="276" customFormat="1" ht="10.15" customHeight="1" x14ac:dyDescent="0.2">
      <c r="A127" s="278">
        <v>43250</v>
      </c>
      <c r="B127" s="281" t="s">
        <v>388</v>
      </c>
      <c r="C127" s="281" t="s">
        <v>389</v>
      </c>
      <c r="D127" s="281" t="s">
        <v>9</v>
      </c>
      <c r="E127" s="282" t="s">
        <v>386</v>
      </c>
      <c r="F127" s="281" t="s">
        <v>365</v>
      </c>
      <c r="G127" s="281" t="s">
        <v>382</v>
      </c>
      <c r="H127" s="283" t="s">
        <v>365</v>
      </c>
      <c r="I127" s="284"/>
      <c r="J127" s="285">
        <v>7.92</v>
      </c>
    </row>
    <row r="128" spans="1:10" s="276" customFormat="1" ht="10.15" customHeight="1" x14ac:dyDescent="0.2">
      <c r="A128" s="278">
        <v>43250</v>
      </c>
      <c r="B128" s="281" t="s">
        <v>388</v>
      </c>
      <c r="C128" s="281" t="s">
        <v>389</v>
      </c>
      <c r="D128" s="281" t="s">
        <v>9</v>
      </c>
      <c r="E128" s="282" t="s">
        <v>386</v>
      </c>
      <c r="F128" s="281" t="s">
        <v>369</v>
      </c>
      <c r="G128" s="281" t="s">
        <v>383</v>
      </c>
      <c r="H128" s="283" t="s">
        <v>371</v>
      </c>
      <c r="I128" s="284"/>
      <c r="J128" s="285">
        <v>60.22</v>
      </c>
    </row>
    <row r="129" spans="1:10" s="276" customFormat="1" ht="18.399999999999999" customHeight="1" x14ac:dyDescent="0.2">
      <c r="A129" s="278">
        <v>43264</v>
      </c>
      <c r="B129" s="281" t="s">
        <v>384</v>
      </c>
      <c r="C129" s="281" t="s">
        <v>385</v>
      </c>
      <c r="D129" s="281" t="s">
        <v>202</v>
      </c>
      <c r="E129" s="282" t="s">
        <v>386</v>
      </c>
      <c r="F129" s="281" t="s">
        <v>362</v>
      </c>
      <c r="G129" s="281" t="s">
        <v>378</v>
      </c>
      <c r="H129" s="283" t="s">
        <v>387</v>
      </c>
      <c r="I129" s="284">
        <v>30</v>
      </c>
      <c r="J129" s="285">
        <v>1358.37</v>
      </c>
    </row>
    <row r="130" spans="1:10" s="276" customFormat="1" ht="10.15" customHeight="1" x14ac:dyDescent="0.2">
      <c r="A130" s="278">
        <v>43264</v>
      </c>
      <c r="B130" s="281" t="s">
        <v>384</v>
      </c>
      <c r="C130" s="281" t="s">
        <v>385</v>
      </c>
      <c r="D130" s="281" t="s">
        <v>202</v>
      </c>
      <c r="E130" s="282" t="s">
        <v>386</v>
      </c>
      <c r="F130" s="281" t="s">
        <v>365</v>
      </c>
      <c r="G130" s="281" t="s">
        <v>380</v>
      </c>
      <c r="H130" s="283" t="s">
        <v>365</v>
      </c>
      <c r="I130" s="284"/>
      <c r="J130" s="285">
        <v>93.04</v>
      </c>
    </row>
    <row r="131" spans="1:10" s="276" customFormat="1" ht="10.15" customHeight="1" x14ac:dyDescent="0.2">
      <c r="A131" s="278">
        <v>43264</v>
      </c>
      <c r="B131" s="281" t="s">
        <v>384</v>
      </c>
      <c r="C131" s="281" t="s">
        <v>385</v>
      </c>
      <c r="D131" s="281" t="s">
        <v>202</v>
      </c>
      <c r="E131" s="282" t="s">
        <v>386</v>
      </c>
      <c r="F131" s="281" t="s">
        <v>365</v>
      </c>
      <c r="G131" s="281" t="s">
        <v>381</v>
      </c>
      <c r="H131" s="283" t="s">
        <v>365</v>
      </c>
      <c r="I131" s="284"/>
      <c r="J131" s="285">
        <v>8.84</v>
      </c>
    </row>
    <row r="132" spans="1:10" s="276" customFormat="1" ht="10.15" customHeight="1" x14ac:dyDescent="0.2">
      <c r="A132" s="278">
        <v>43264</v>
      </c>
      <c r="B132" s="281" t="s">
        <v>384</v>
      </c>
      <c r="C132" s="281" t="s">
        <v>385</v>
      </c>
      <c r="D132" s="281" t="s">
        <v>202</v>
      </c>
      <c r="E132" s="282" t="s">
        <v>386</v>
      </c>
      <c r="F132" s="281" t="s">
        <v>365</v>
      </c>
      <c r="G132" s="281" t="s">
        <v>382</v>
      </c>
      <c r="H132" s="283" t="s">
        <v>365</v>
      </c>
      <c r="I132" s="284"/>
      <c r="J132" s="285">
        <v>16.98</v>
      </c>
    </row>
    <row r="133" spans="1:10" s="276" customFormat="1" ht="10.15" customHeight="1" x14ac:dyDescent="0.2">
      <c r="A133" s="278">
        <v>43264</v>
      </c>
      <c r="B133" s="281" t="s">
        <v>384</v>
      </c>
      <c r="C133" s="281" t="s">
        <v>385</v>
      </c>
      <c r="D133" s="281" t="s">
        <v>202</v>
      </c>
      <c r="E133" s="282" t="s">
        <v>386</v>
      </c>
      <c r="F133" s="281" t="s">
        <v>369</v>
      </c>
      <c r="G133" s="281" t="s">
        <v>383</v>
      </c>
      <c r="H133" s="283" t="s">
        <v>371</v>
      </c>
      <c r="I133" s="284"/>
      <c r="J133" s="285">
        <v>129.05000000000001</v>
      </c>
    </row>
    <row r="134" spans="1:10" s="276" customFormat="1" ht="18.399999999999999" customHeight="1" x14ac:dyDescent="0.2">
      <c r="A134" s="278">
        <v>43264</v>
      </c>
      <c r="B134" s="281" t="s">
        <v>359</v>
      </c>
      <c r="C134" s="281" t="s">
        <v>360</v>
      </c>
      <c r="D134" s="281" t="s">
        <v>207</v>
      </c>
      <c r="E134" s="282" t="s">
        <v>386</v>
      </c>
      <c r="F134" s="281" t="s">
        <v>362</v>
      </c>
      <c r="G134" s="281" t="s">
        <v>378</v>
      </c>
      <c r="H134" s="283" t="s">
        <v>387</v>
      </c>
      <c r="I134" s="284">
        <v>4</v>
      </c>
      <c r="J134" s="285">
        <v>181.12</v>
      </c>
    </row>
    <row r="135" spans="1:10" s="276" customFormat="1" ht="10.15" customHeight="1" x14ac:dyDescent="0.2">
      <c r="A135" s="278">
        <v>43264</v>
      </c>
      <c r="B135" s="281" t="s">
        <v>359</v>
      </c>
      <c r="C135" s="281" t="s">
        <v>360</v>
      </c>
      <c r="D135" s="281" t="s">
        <v>207</v>
      </c>
      <c r="E135" s="282" t="s">
        <v>386</v>
      </c>
      <c r="F135" s="281" t="s">
        <v>365</v>
      </c>
      <c r="G135" s="281" t="s">
        <v>380</v>
      </c>
      <c r="H135" s="283" t="s">
        <v>365</v>
      </c>
      <c r="I135" s="284"/>
      <c r="J135" s="285">
        <v>12.4</v>
      </c>
    </row>
    <row r="136" spans="1:10" s="276" customFormat="1" ht="10.15" customHeight="1" x14ac:dyDescent="0.2">
      <c r="A136" s="278">
        <v>43264</v>
      </c>
      <c r="B136" s="281" t="s">
        <v>359</v>
      </c>
      <c r="C136" s="281" t="s">
        <v>360</v>
      </c>
      <c r="D136" s="281" t="s">
        <v>207</v>
      </c>
      <c r="E136" s="282" t="s">
        <v>386</v>
      </c>
      <c r="F136" s="281" t="s">
        <v>365</v>
      </c>
      <c r="G136" s="281" t="s">
        <v>382</v>
      </c>
      <c r="H136" s="283" t="s">
        <v>365</v>
      </c>
      <c r="I136" s="284"/>
      <c r="J136" s="285">
        <v>2.2599999999999998</v>
      </c>
    </row>
    <row r="137" spans="1:10" s="276" customFormat="1" ht="10.15" customHeight="1" x14ac:dyDescent="0.2">
      <c r="A137" s="278">
        <v>43264</v>
      </c>
      <c r="B137" s="281" t="s">
        <v>372</v>
      </c>
      <c r="C137" s="281" t="s">
        <v>373</v>
      </c>
      <c r="D137" s="281" t="s">
        <v>1</v>
      </c>
      <c r="E137" s="282" t="s">
        <v>377</v>
      </c>
      <c r="F137" s="281" t="s">
        <v>362</v>
      </c>
      <c r="G137" s="281" t="s">
        <v>378</v>
      </c>
      <c r="H137" s="283" t="s">
        <v>387</v>
      </c>
      <c r="I137" s="284">
        <v>4</v>
      </c>
      <c r="J137" s="285">
        <v>181.12</v>
      </c>
    </row>
    <row r="138" spans="1:10" s="276" customFormat="1" ht="10.15" customHeight="1" x14ac:dyDescent="0.2">
      <c r="A138" s="278">
        <v>43264</v>
      </c>
      <c r="B138" s="281" t="s">
        <v>372</v>
      </c>
      <c r="C138" s="281" t="s">
        <v>373</v>
      </c>
      <c r="D138" s="281" t="s">
        <v>1</v>
      </c>
      <c r="E138" s="282" t="s">
        <v>377</v>
      </c>
      <c r="F138" s="281" t="s">
        <v>365</v>
      </c>
      <c r="G138" s="281" t="s">
        <v>380</v>
      </c>
      <c r="H138" s="283" t="s">
        <v>365</v>
      </c>
      <c r="I138" s="284"/>
      <c r="J138" s="285">
        <v>12.4</v>
      </c>
    </row>
    <row r="139" spans="1:10" s="276" customFormat="1" ht="18.399999999999999" customHeight="1" x14ac:dyDescent="0.2">
      <c r="A139" s="278">
        <v>43264</v>
      </c>
      <c r="B139" s="281" t="s">
        <v>372</v>
      </c>
      <c r="C139" s="281" t="s">
        <v>373</v>
      </c>
      <c r="D139" s="281" t="s">
        <v>1</v>
      </c>
      <c r="E139" s="282" t="s">
        <v>377</v>
      </c>
      <c r="F139" s="281" t="s">
        <v>365</v>
      </c>
      <c r="G139" s="281" t="s">
        <v>382</v>
      </c>
      <c r="H139" s="283" t="s">
        <v>365</v>
      </c>
      <c r="I139" s="284"/>
      <c r="J139" s="285">
        <v>2.2599999999999998</v>
      </c>
    </row>
    <row r="140" spans="1:10" s="276" customFormat="1" ht="10.15" customHeight="1" x14ac:dyDescent="0.2">
      <c r="A140" s="278">
        <v>43264</v>
      </c>
      <c r="B140" s="281" t="s">
        <v>388</v>
      </c>
      <c r="C140" s="281" t="s">
        <v>389</v>
      </c>
      <c r="D140" s="281" t="s">
        <v>9</v>
      </c>
      <c r="E140" s="282" t="s">
        <v>386</v>
      </c>
      <c r="F140" s="281" t="s">
        <v>362</v>
      </c>
      <c r="G140" s="281" t="s">
        <v>378</v>
      </c>
      <c r="H140" s="283" t="s">
        <v>387</v>
      </c>
      <c r="I140" s="284">
        <v>14</v>
      </c>
      <c r="J140" s="285">
        <v>633.91</v>
      </c>
    </row>
    <row r="141" spans="1:10" s="276" customFormat="1" ht="10.15" customHeight="1" x14ac:dyDescent="0.2">
      <c r="A141" s="278">
        <v>43264</v>
      </c>
      <c r="B141" s="281" t="s">
        <v>388</v>
      </c>
      <c r="C141" s="281" t="s">
        <v>389</v>
      </c>
      <c r="D141" s="281" t="s">
        <v>9</v>
      </c>
      <c r="E141" s="282" t="s">
        <v>386</v>
      </c>
      <c r="F141" s="281" t="s">
        <v>365</v>
      </c>
      <c r="G141" s="281" t="s">
        <v>380</v>
      </c>
      <c r="H141" s="283" t="s">
        <v>365</v>
      </c>
      <c r="I141" s="284"/>
      <c r="J141" s="285">
        <v>43.42</v>
      </c>
    </row>
    <row r="142" spans="1:10" s="276" customFormat="1" ht="18.399999999999999" customHeight="1" x14ac:dyDescent="0.2">
      <c r="A142" s="278">
        <v>43264</v>
      </c>
      <c r="B142" s="281" t="s">
        <v>388</v>
      </c>
      <c r="C142" s="281" t="s">
        <v>389</v>
      </c>
      <c r="D142" s="281" t="s">
        <v>9</v>
      </c>
      <c r="E142" s="282" t="s">
        <v>386</v>
      </c>
      <c r="F142" s="281" t="s">
        <v>365</v>
      </c>
      <c r="G142" s="281" t="s">
        <v>381</v>
      </c>
      <c r="H142" s="283" t="s">
        <v>365</v>
      </c>
      <c r="I142" s="284"/>
      <c r="J142" s="285">
        <v>4.13</v>
      </c>
    </row>
    <row r="143" spans="1:10" s="276" customFormat="1" ht="10.15" customHeight="1" x14ac:dyDescent="0.2">
      <c r="A143" s="278">
        <v>43264</v>
      </c>
      <c r="B143" s="281" t="s">
        <v>388</v>
      </c>
      <c r="C143" s="281" t="s">
        <v>389</v>
      </c>
      <c r="D143" s="281" t="s">
        <v>9</v>
      </c>
      <c r="E143" s="282" t="s">
        <v>386</v>
      </c>
      <c r="F143" s="281" t="s">
        <v>365</v>
      </c>
      <c r="G143" s="281" t="s">
        <v>382</v>
      </c>
      <c r="H143" s="283" t="s">
        <v>365</v>
      </c>
      <c r="I143" s="284"/>
      <c r="J143" s="285">
        <v>7.92</v>
      </c>
    </row>
    <row r="144" spans="1:10" s="276" customFormat="1" ht="10.15" customHeight="1" x14ac:dyDescent="0.2">
      <c r="A144" s="278">
        <v>43264</v>
      </c>
      <c r="B144" s="281" t="s">
        <v>388</v>
      </c>
      <c r="C144" s="281" t="s">
        <v>389</v>
      </c>
      <c r="D144" s="281" t="s">
        <v>9</v>
      </c>
      <c r="E144" s="282" t="s">
        <v>386</v>
      </c>
      <c r="F144" s="281" t="s">
        <v>369</v>
      </c>
      <c r="G144" s="281" t="s">
        <v>383</v>
      </c>
      <c r="H144" s="283" t="s">
        <v>371</v>
      </c>
      <c r="I144" s="284"/>
      <c r="J144" s="285">
        <v>60.22</v>
      </c>
    </row>
    <row r="145" spans="1:10" s="276" customFormat="1" ht="18.399999999999999" customHeight="1" x14ac:dyDescent="0.2">
      <c r="A145" s="278">
        <v>43278</v>
      </c>
      <c r="B145" s="281" t="s">
        <v>384</v>
      </c>
      <c r="C145" s="281" t="s">
        <v>385</v>
      </c>
      <c r="D145" s="281" t="s">
        <v>202</v>
      </c>
      <c r="E145" s="282" t="s">
        <v>386</v>
      </c>
      <c r="F145" s="281" t="s">
        <v>362</v>
      </c>
      <c r="G145" s="281" t="s">
        <v>378</v>
      </c>
      <c r="H145" s="283" t="s">
        <v>387</v>
      </c>
      <c r="I145" s="284">
        <v>30</v>
      </c>
      <c r="J145" s="285">
        <v>1358.37</v>
      </c>
    </row>
    <row r="146" spans="1:10" s="276" customFormat="1" ht="10.15" customHeight="1" x14ac:dyDescent="0.2">
      <c r="A146" s="278">
        <v>43278</v>
      </c>
      <c r="B146" s="281" t="s">
        <v>384</v>
      </c>
      <c r="C146" s="281" t="s">
        <v>385</v>
      </c>
      <c r="D146" s="281" t="s">
        <v>202</v>
      </c>
      <c r="E146" s="282" t="s">
        <v>386</v>
      </c>
      <c r="F146" s="281" t="s">
        <v>365</v>
      </c>
      <c r="G146" s="281" t="s">
        <v>380</v>
      </c>
      <c r="H146" s="283" t="s">
        <v>365</v>
      </c>
      <c r="I146" s="284"/>
      <c r="J146" s="285">
        <v>93.04</v>
      </c>
    </row>
    <row r="147" spans="1:10" s="276" customFormat="1" ht="10.15" customHeight="1" x14ac:dyDescent="0.2">
      <c r="A147" s="278">
        <v>43278</v>
      </c>
      <c r="B147" s="281" t="s">
        <v>384</v>
      </c>
      <c r="C147" s="281" t="s">
        <v>385</v>
      </c>
      <c r="D147" s="281" t="s">
        <v>202</v>
      </c>
      <c r="E147" s="282" t="s">
        <v>386</v>
      </c>
      <c r="F147" s="281" t="s">
        <v>365</v>
      </c>
      <c r="G147" s="281" t="s">
        <v>381</v>
      </c>
      <c r="H147" s="283" t="s">
        <v>365</v>
      </c>
      <c r="I147" s="284"/>
      <c r="J147" s="285">
        <v>8.84</v>
      </c>
    </row>
    <row r="148" spans="1:10" s="276" customFormat="1" ht="10.15" customHeight="1" x14ac:dyDescent="0.2">
      <c r="A148" s="278">
        <v>43278</v>
      </c>
      <c r="B148" s="281" t="s">
        <v>384</v>
      </c>
      <c r="C148" s="281" t="s">
        <v>385</v>
      </c>
      <c r="D148" s="281" t="s">
        <v>202</v>
      </c>
      <c r="E148" s="282" t="s">
        <v>386</v>
      </c>
      <c r="F148" s="281" t="s">
        <v>365</v>
      </c>
      <c r="G148" s="281" t="s">
        <v>382</v>
      </c>
      <c r="H148" s="283" t="s">
        <v>365</v>
      </c>
      <c r="I148" s="284"/>
      <c r="J148" s="285">
        <v>16.98</v>
      </c>
    </row>
    <row r="149" spans="1:10" s="276" customFormat="1" ht="10.15" customHeight="1" x14ac:dyDescent="0.2">
      <c r="A149" s="278">
        <v>43278</v>
      </c>
      <c r="B149" s="281" t="s">
        <v>384</v>
      </c>
      <c r="C149" s="281" t="s">
        <v>385</v>
      </c>
      <c r="D149" s="281" t="s">
        <v>202</v>
      </c>
      <c r="E149" s="282" t="s">
        <v>386</v>
      </c>
      <c r="F149" s="281" t="s">
        <v>369</v>
      </c>
      <c r="G149" s="281" t="s">
        <v>383</v>
      </c>
      <c r="H149" s="283" t="s">
        <v>371</v>
      </c>
      <c r="I149" s="284"/>
      <c r="J149" s="285">
        <v>129.05000000000001</v>
      </c>
    </row>
    <row r="150" spans="1:10" s="276" customFormat="1" ht="18.399999999999999" customHeight="1" x14ac:dyDescent="0.2">
      <c r="A150" s="278">
        <v>43278</v>
      </c>
      <c r="B150" s="281" t="s">
        <v>359</v>
      </c>
      <c r="C150" s="281" t="s">
        <v>360</v>
      </c>
      <c r="D150" s="281" t="s">
        <v>207</v>
      </c>
      <c r="E150" s="282" t="s">
        <v>386</v>
      </c>
      <c r="F150" s="281" t="s">
        <v>362</v>
      </c>
      <c r="G150" s="281" t="s">
        <v>378</v>
      </c>
      <c r="H150" s="283" t="s">
        <v>387</v>
      </c>
      <c r="I150" s="284">
        <v>4</v>
      </c>
      <c r="J150" s="285">
        <v>181.12</v>
      </c>
    </row>
    <row r="151" spans="1:10" s="276" customFormat="1" ht="10.15" customHeight="1" x14ac:dyDescent="0.2">
      <c r="A151" s="278">
        <v>43278</v>
      </c>
      <c r="B151" s="281" t="s">
        <v>359</v>
      </c>
      <c r="C151" s="281" t="s">
        <v>360</v>
      </c>
      <c r="D151" s="281" t="s">
        <v>207</v>
      </c>
      <c r="E151" s="282" t="s">
        <v>386</v>
      </c>
      <c r="F151" s="281" t="s">
        <v>365</v>
      </c>
      <c r="G151" s="281" t="s">
        <v>380</v>
      </c>
      <c r="H151" s="283" t="s">
        <v>365</v>
      </c>
      <c r="I151" s="284"/>
      <c r="J151" s="285">
        <v>12.4</v>
      </c>
    </row>
    <row r="152" spans="1:10" s="276" customFormat="1" ht="10.15" customHeight="1" x14ac:dyDescent="0.2">
      <c r="A152" s="278">
        <v>43278</v>
      </c>
      <c r="B152" s="281" t="s">
        <v>359</v>
      </c>
      <c r="C152" s="281" t="s">
        <v>360</v>
      </c>
      <c r="D152" s="281" t="s">
        <v>207</v>
      </c>
      <c r="E152" s="282" t="s">
        <v>386</v>
      </c>
      <c r="F152" s="281" t="s">
        <v>365</v>
      </c>
      <c r="G152" s="281" t="s">
        <v>382</v>
      </c>
      <c r="H152" s="283" t="s">
        <v>365</v>
      </c>
      <c r="I152" s="284"/>
      <c r="J152" s="285">
        <v>2.2599999999999998</v>
      </c>
    </row>
    <row r="153" spans="1:10" s="276" customFormat="1" ht="10.15" customHeight="1" x14ac:dyDescent="0.2">
      <c r="A153" s="278">
        <v>43278</v>
      </c>
      <c r="B153" s="281" t="s">
        <v>372</v>
      </c>
      <c r="C153" s="281" t="s">
        <v>373</v>
      </c>
      <c r="D153" s="281" t="s">
        <v>1</v>
      </c>
      <c r="E153" s="282" t="s">
        <v>377</v>
      </c>
      <c r="F153" s="281" t="s">
        <v>362</v>
      </c>
      <c r="G153" s="281" t="s">
        <v>378</v>
      </c>
      <c r="H153" s="283" t="s">
        <v>387</v>
      </c>
      <c r="I153" s="284">
        <v>4</v>
      </c>
      <c r="J153" s="285">
        <v>181.12</v>
      </c>
    </row>
    <row r="154" spans="1:10" s="276" customFormat="1" ht="10.15" customHeight="1" x14ac:dyDescent="0.2">
      <c r="A154" s="278">
        <v>43278</v>
      </c>
      <c r="B154" s="281" t="s">
        <v>372</v>
      </c>
      <c r="C154" s="281" t="s">
        <v>373</v>
      </c>
      <c r="D154" s="281" t="s">
        <v>1</v>
      </c>
      <c r="E154" s="282" t="s">
        <v>377</v>
      </c>
      <c r="F154" s="281" t="s">
        <v>365</v>
      </c>
      <c r="G154" s="281" t="s">
        <v>380</v>
      </c>
      <c r="H154" s="283" t="s">
        <v>365</v>
      </c>
      <c r="I154" s="284"/>
      <c r="J154" s="285">
        <v>12.4</v>
      </c>
    </row>
    <row r="155" spans="1:10" s="276" customFormat="1" ht="18.399999999999999" customHeight="1" x14ac:dyDescent="0.2">
      <c r="A155" s="278">
        <v>43278</v>
      </c>
      <c r="B155" s="281" t="s">
        <v>372</v>
      </c>
      <c r="C155" s="281" t="s">
        <v>373</v>
      </c>
      <c r="D155" s="281" t="s">
        <v>1</v>
      </c>
      <c r="E155" s="282" t="s">
        <v>377</v>
      </c>
      <c r="F155" s="281" t="s">
        <v>365</v>
      </c>
      <c r="G155" s="281" t="s">
        <v>382</v>
      </c>
      <c r="H155" s="283" t="s">
        <v>365</v>
      </c>
      <c r="I155" s="284"/>
      <c r="J155" s="285">
        <v>2.2599999999999998</v>
      </c>
    </row>
    <row r="156" spans="1:10" s="276" customFormat="1" ht="10.15" customHeight="1" x14ac:dyDescent="0.2">
      <c r="A156" s="278">
        <v>43278</v>
      </c>
      <c r="B156" s="281" t="s">
        <v>388</v>
      </c>
      <c r="C156" s="281" t="s">
        <v>389</v>
      </c>
      <c r="D156" s="281" t="s">
        <v>9</v>
      </c>
      <c r="E156" s="282" t="s">
        <v>386</v>
      </c>
      <c r="F156" s="281" t="s">
        <v>362</v>
      </c>
      <c r="G156" s="281" t="s">
        <v>378</v>
      </c>
      <c r="H156" s="283" t="s">
        <v>387</v>
      </c>
      <c r="I156" s="284">
        <v>14</v>
      </c>
      <c r="J156" s="285">
        <v>633.91</v>
      </c>
    </row>
    <row r="157" spans="1:10" s="276" customFormat="1" ht="10.15" customHeight="1" x14ac:dyDescent="0.2">
      <c r="A157" s="278">
        <v>43278</v>
      </c>
      <c r="B157" s="281" t="s">
        <v>388</v>
      </c>
      <c r="C157" s="281" t="s">
        <v>389</v>
      </c>
      <c r="D157" s="281" t="s">
        <v>9</v>
      </c>
      <c r="E157" s="282" t="s">
        <v>386</v>
      </c>
      <c r="F157" s="281" t="s">
        <v>365</v>
      </c>
      <c r="G157" s="281" t="s">
        <v>380</v>
      </c>
      <c r="H157" s="283" t="s">
        <v>365</v>
      </c>
      <c r="I157" s="284"/>
      <c r="J157" s="285">
        <v>43.42</v>
      </c>
    </row>
    <row r="158" spans="1:10" s="276" customFormat="1" ht="18.399999999999999" customHeight="1" x14ac:dyDescent="0.2">
      <c r="A158" s="278">
        <v>43278</v>
      </c>
      <c r="B158" s="281" t="s">
        <v>388</v>
      </c>
      <c r="C158" s="281" t="s">
        <v>389</v>
      </c>
      <c r="D158" s="281" t="s">
        <v>9</v>
      </c>
      <c r="E158" s="282" t="s">
        <v>386</v>
      </c>
      <c r="F158" s="281" t="s">
        <v>365</v>
      </c>
      <c r="G158" s="281" t="s">
        <v>381</v>
      </c>
      <c r="H158" s="283" t="s">
        <v>365</v>
      </c>
      <c r="I158" s="284"/>
      <c r="J158" s="285">
        <v>4.13</v>
      </c>
    </row>
    <row r="159" spans="1:10" s="276" customFormat="1" ht="10.15" customHeight="1" x14ac:dyDescent="0.2">
      <c r="A159" s="278">
        <v>43278</v>
      </c>
      <c r="B159" s="281" t="s">
        <v>388</v>
      </c>
      <c r="C159" s="281" t="s">
        <v>389</v>
      </c>
      <c r="D159" s="281" t="s">
        <v>9</v>
      </c>
      <c r="E159" s="282" t="s">
        <v>386</v>
      </c>
      <c r="F159" s="281" t="s">
        <v>365</v>
      </c>
      <c r="G159" s="281" t="s">
        <v>382</v>
      </c>
      <c r="H159" s="283" t="s">
        <v>365</v>
      </c>
      <c r="I159" s="284"/>
      <c r="J159" s="285">
        <v>7.92</v>
      </c>
    </row>
    <row r="160" spans="1:10" s="276" customFormat="1" ht="10.15" customHeight="1" x14ac:dyDescent="0.2">
      <c r="A160" s="278">
        <v>43278</v>
      </c>
      <c r="B160" s="281" t="s">
        <v>388</v>
      </c>
      <c r="C160" s="281" t="s">
        <v>389</v>
      </c>
      <c r="D160" s="281" t="s">
        <v>9</v>
      </c>
      <c r="E160" s="282" t="s">
        <v>386</v>
      </c>
      <c r="F160" s="281" t="s">
        <v>369</v>
      </c>
      <c r="G160" s="281" t="s">
        <v>383</v>
      </c>
      <c r="H160" s="283" t="s">
        <v>371</v>
      </c>
      <c r="I160" s="284"/>
      <c r="J160" s="285">
        <v>60.22</v>
      </c>
    </row>
    <row r="161" spans="1:11" s="276" customFormat="1" ht="18.399999999999999" customHeight="1" x14ac:dyDescent="0.2">
      <c r="A161" s="278">
        <v>43292</v>
      </c>
      <c r="B161" s="281" t="s">
        <v>384</v>
      </c>
      <c r="C161" s="281" t="s">
        <v>385</v>
      </c>
      <c r="D161" s="281" t="s">
        <v>202</v>
      </c>
      <c r="E161" s="282" t="s">
        <v>386</v>
      </c>
      <c r="F161" s="281" t="s">
        <v>362</v>
      </c>
      <c r="G161" s="281" t="s">
        <v>378</v>
      </c>
      <c r="H161" s="283" t="s">
        <v>387</v>
      </c>
      <c r="I161" s="284">
        <v>15</v>
      </c>
      <c r="J161" s="285">
        <v>679.19</v>
      </c>
    </row>
    <row r="162" spans="1:11" s="276" customFormat="1" ht="18.399999999999999" customHeight="1" x14ac:dyDescent="0.2">
      <c r="A162" s="278">
        <v>43292</v>
      </c>
      <c r="B162" s="281" t="s">
        <v>384</v>
      </c>
      <c r="C162" s="281" t="s">
        <v>385</v>
      </c>
      <c r="D162" s="281" t="s">
        <v>202</v>
      </c>
      <c r="E162" s="282" t="s">
        <v>386</v>
      </c>
      <c r="F162" s="281" t="s">
        <v>362</v>
      </c>
      <c r="G162" s="281" t="s">
        <v>378</v>
      </c>
      <c r="H162" s="283" t="s">
        <v>391</v>
      </c>
      <c r="I162" s="284">
        <v>16</v>
      </c>
      <c r="J162" s="285">
        <v>864.62</v>
      </c>
    </row>
    <row r="163" spans="1:11" s="276" customFormat="1" ht="10.15" customHeight="1" x14ac:dyDescent="0.2">
      <c r="A163" s="278">
        <v>43292</v>
      </c>
      <c r="B163" s="281" t="s">
        <v>384</v>
      </c>
      <c r="C163" s="281" t="s">
        <v>385</v>
      </c>
      <c r="D163" s="281" t="s">
        <v>202</v>
      </c>
      <c r="E163" s="282" t="s">
        <v>386</v>
      </c>
      <c r="F163" s="281" t="s">
        <v>365</v>
      </c>
      <c r="G163" s="281" t="s">
        <v>380</v>
      </c>
      <c r="H163" s="283" t="s">
        <v>365</v>
      </c>
      <c r="I163" s="284"/>
      <c r="J163" s="285">
        <v>105.75</v>
      </c>
    </row>
    <row r="164" spans="1:11" s="276" customFormat="1" ht="10.15" customHeight="1" x14ac:dyDescent="0.2">
      <c r="A164" s="278">
        <v>43292</v>
      </c>
      <c r="B164" s="281" t="s">
        <v>384</v>
      </c>
      <c r="C164" s="281" t="s">
        <v>385</v>
      </c>
      <c r="D164" s="281" t="s">
        <v>202</v>
      </c>
      <c r="E164" s="282" t="s">
        <v>386</v>
      </c>
      <c r="F164" s="281" t="s">
        <v>365</v>
      </c>
      <c r="G164" s="281" t="s">
        <v>381</v>
      </c>
      <c r="H164" s="283" t="s">
        <v>365</v>
      </c>
      <c r="I164" s="284"/>
      <c r="J164" s="285">
        <v>10.050000000000001</v>
      </c>
    </row>
    <row r="165" spans="1:11" s="276" customFormat="1" ht="10.15" customHeight="1" x14ac:dyDescent="0.2">
      <c r="A165" s="278">
        <v>43292</v>
      </c>
      <c r="B165" s="281" t="s">
        <v>384</v>
      </c>
      <c r="C165" s="281" t="s">
        <v>385</v>
      </c>
      <c r="D165" s="281" t="s">
        <v>202</v>
      </c>
      <c r="E165" s="282" t="s">
        <v>386</v>
      </c>
      <c r="F165" s="281" t="s">
        <v>365</v>
      </c>
      <c r="G165" s="281" t="s">
        <v>382</v>
      </c>
      <c r="H165" s="283" t="s">
        <v>365</v>
      </c>
      <c r="I165" s="284"/>
      <c r="J165" s="285">
        <v>19.3</v>
      </c>
    </row>
    <row r="166" spans="1:11" s="276" customFormat="1" ht="10.15" customHeight="1" x14ac:dyDescent="0.2">
      <c r="A166" s="278">
        <v>43292</v>
      </c>
      <c r="B166" s="281" t="s">
        <v>384</v>
      </c>
      <c r="C166" s="281" t="s">
        <v>385</v>
      </c>
      <c r="D166" s="281" t="s">
        <v>202</v>
      </c>
      <c r="E166" s="282" t="s">
        <v>386</v>
      </c>
      <c r="F166" s="281" t="s">
        <v>369</v>
      </c>
      <c r="G166" s="281" t="s">
        <v>383</v>
      </c>
      <c r="H166" s="283" t="s">
        <v>371</v>
      </c>
      <c r="I166" s="284"/>
      <c r="J166" s="285">
        <v>146.66</v>
      </c>
    </row>
    <row r="167" spans="1:11" s="276" customFormat="1" ht="18.399999999999999" customHeight="1" x14ac:dyDescent="0.2">
      <c r="A167" s="278">
        <v>43292</v>
      </c>
      <c r="B167" s="281" t="s">
        <v>359</v>
      </c>
      <c r="C167" s="281" t="s">
        <v>360</v>
      </c>
      <c r="D167" s="281" t="s">
        <v>207</v>
      </c>
      <c r="E167" s="282" t="s">
        <v>386</v>
      </c>
      <c r="F167" s="281" t="s">
        <v>362</v>
      </c>
      <c r="G167" s="281" t="s">
        <v>378</v>
      </c>
      <c r="H167" s="283" t="s">
        <v>387</v>
      </c>
      <c r="I167" s="284">
        <v>2</v>
      </c>
      <c r="J167" s="285">
        <v>90.56</v>
      </c>
    </row>
    <row r="168" spans="1:11" s="276" customFormat="1" ht="10.15" customHeight="1" x14ac:dyDescent="0.2">
      <c r="A168" s="278">
        <v>43292</v>
      </c>
      <c r="B168" s="281" t="s">
        <v>359</v>
      </c>
      <c r="C168" s="281" t="s">
        <v>360</v>
      </c>
      <c r="D168" s="281" t="s">
        <v>207</v>
      </c>
      <c r="E168" s="282" t="s">
        <v>386</v>
      </c>
      <c r="F168" s="281" t="s">
        <v>365</v>
      </c>
      <c r="G168" s="281" t="s">
        <v>380</v>
      </c>
      <c r="H168" s="283" t="s">
        <v>365</v>
      </c>
      <c r="I168" s="284"/>
      <c r="J168" s="285">
        <v>6.2</v>
      </c>
    </row>
    <row r="169" spans="1:11" s="276" customFormat="1" ht="10.15" customHeight="1" x14ac:dyDescent="0.2">
      <c r="A169" s="278">
        <v>43292</v>
      </c>
      <c r="B169" s="281" t="s">
        <v>359</v>
      </c>
      <c r="C169" s="281" t="s">
        <v>360</v>
      </c>
      <c r="D169" s="281" t="s">
        <v>207</v>
      </c>
      <c r="E169" s="282" t="s">
        <v>386</v>
      </c>
      <c r="F169" s="281" t="s">
        <v>365</v>
      </c>
      <c r="G169" s="281" t="s">
        <v>382</v>
      </c>
      <c r="H169" s="283" t="s">
        <v>365</v>
      </c>
      <c r="I169" s="284"/>
      <c r="J169" s="285">
        <v>1.1299999999999999</v>
      </c>
    </row>
    <row r="170" spans="1:11" s="276" customFormat="1" ht="18.399999999999999" customHeight="1" x14ac:dyDescent="0.2">
      <c r="A170" s="278">
        <v>43292</v>
      </c>
      <c r="B170" s="281" t="s">
        <v>372</v>
      </c>
      <c r="C170" s="281" t="s">
        <v>373</v>
      </c>
      <c r="D170" s="281" t="s">
        <v>1</v>
      </c>
      <c r="E170" s="282" t="s">
        <v>377</v>
      </c>
      <c r="F170" s="281" t="s">
        <v>362</v>
      </c>
      <c r="G170" s="281" t="s">
        <v>378</v>
      </c>
      <c r="H170" s="283" t="s">
        <v>387</v>
      </c>
      <c r="I170" s="284">
        <v>7</v>
      </c>
      <c r="J170" s="285">
        <v>316.95</v>
      </c>
    </row>
    <row r="171" spans="1:11" s="276" customFormat="1" ht="10.15" customHeight="1" x14ac:dyDescent="0.2">
      <c r="A171" s="278">
        <v>43292</v>
      </c>
      <c r="B171" s="281" t="s">
        <v>372</v>
      </c>
      <c r="C171" s="281" t="s">
        <v>373</v>
      </c>
      <c r="D171" s="281" t="s">
        <v>1</v>
      </c>
      <c r="E171" s="282" t="s">
        <v>377</v>
      </c>
      <c r="F171" s="281" t="s">
        <v>365</v>
      </c>
      <c r="G171" s="281" t="s">
        <v>380</v>
      </c>
      <c r="H171" s="283" t="s">
        <v>365</v>
      </c>
      <c r="I171" s="284"/>
      <c r="J171" s="285">
        <v>21.71</v>
      </c>
    </row>
    <row r="172" spans="1:11" s="276" customFormat="1" ht="10.15" customHeight="1" x14ac:dyDescent="0.2">
      <c r="A172" s="278">
        <v>43292</v>
      </c>
      <c r="B172" s="281" t="s">
        <v>372</v>
      </c>
      <c r="C172" s="281" t="s">
        <v>373</v>
      </c>
      <c r="D172" s="281" t="s">
        <v>1</v>
      </c>
      <c r="E172" s="282" t="s">
        <v>377</v>
      </c>
      <c r="F172" s="281" t="s">
        <v>365</v>
      </c>
      <c r="G172" s="281" t="s">
        <v>382</v>
      </c>
      <c r="H172" s="283" t="s">
        <v>365</v>
      </c>
      <c r="I172" s="284"/>
      <c r="J172" s="285">
        <v>3.96</v>
      </c>
    </row>
    <row r="173" spans="1:11" s="276" customFormat="1" ht="18.399999999999999" customHeight="1" x14ac:dyDescent="0.2">
      <c r="A173" s="278">
        <v>43292</v>
      </c>
      <c r="B173" s="281" t="s">
        <v>388</v>
      </c>
      <c r="C173" s="281" t="s">
        <v>389</v>
      </c>
      <c r="D173" s="281" t="s">
        <v>9</v>
      </c>
      <c r="E173" s="282" t="s">
        <v>386</v>
      </c>
      <c r="F173" s="281" t="s">
        <v>362</v>
      </c>
      <c r="G173" s="281" t="s">
        <v>378</v>
      </c>
      <c r="H173" s="283" t="s">
        <v>387</v>
      </c>
      <c r="I173" s="284">
        <v>7</v>
      </c>
      <c r="J173" s="285">
        <v>316.95</v>
      </c>
    </row>
    <row r="174" spans="1:11" s="276" customFormat="1" ht="10.15" customHeight="1" x14ac:dyDescent="0.2">
      <c r="A174" s="278">
        <v>43292</v>
      </c>
      <c r="B174" s="281" t="s">
        <v>388</v>
      </c>
      <c r="C174" s="281" t="s">
        <v>389</v>
      </c>
      <c r="D174" s="281" t="s">
        <v>9</v>
      </c>
      <c r="E174" s="282" t="s">
        <v>386</v>
      </c>
      <c r="F174" s="281" t="s">
        <v>365</v>
      </c>
      <c r="G174" s="281" t="s">
        <v>380</v>
      </c>
      <c r="H174" s="283" t="s">
        <v>365</v>
      </c>
      <c r="I174" s="284"/>
      <c r="J174" s="285">
        <v>21.71</v>
      </c>
    </row>
    <row r="175" spans="1:11" s="276" customFormat="1" ht="10.15" customHeight="1" x14ac:dyDescent="0.2">
      <c r="A175" s="278">
        <v>43292</v>
      </c>
      <c r="B175" s="281" t="s">
        <v>388</v>
      </c>
      <c r="C175" s="281" t="s">
        <v>389</v>
      </c>
      <c r="D175" s="281" t="s">
        <v>9</v>
      </c>
      <c r="E175" s="282" t="s">
        <v>386</v>
      </c>
      <c r="F175" s="281" t="s">
        <v>365</v>
      </c>
      <c r="G175" s="281" t="s">
        <v>382</v>
      </c>
      <c r="H175" s="283" t="s">
        <v>365</v>
      </c>
      <c r="I175" s="284"/>
      <c r="J175" s="285">
        <v>3.96</v>
      </c>
    </row>
    <row r="176" spans="1:11" s="276" customFormat="1" ht="8.25" x14ac:dyDescent="0.15">
      <c r="I176" s="376">
        <f>SUM(I2:I175)</f>
        <v>577.75</v>
      </c>
      <c r="J176" s="375">
        <f>SUM(J2:J175)</f>
        <v>33152.829999999987</v>
      </c>
      <c r="K176" s="276">
        <f>SUM(I176/26)</f>
        <v>22.221153846153847</v>
      </c>
    </row>
  </sheetData>
  <sortState ref="A2:J179">
    <sortCondition ref="A77"/>
  </sortState>
  <pageMargins left="0.7" right="0.7" top="0.75" bottom="0.75" header="0.3" footer="0.3"/>
  <pageSetup paperSize="9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81F2-53DA-4D14-9184-723CD2A4407D}">
  <dimension ref="A1:J179"/>
  <sheetViews>
    <sheetView topLeftCell="A42" workbookViewId="0">
      <selection activeCell="A86" sqref="A86:XFD86"/>
    </sheetView>
  </sheetViews>
  <sheetFormatPr defaultColWidth="9.28515625" defaultRowHeight="12.75" x14ac:dyDescent="0.2"/>
  <cols>
    <col min="1" max="1" width="23.5703125" style="286" customWidth="1"/>
    <col min="2" max="2" width="8.28515625" style="286" customWidth="1"/>
    <col min="3" max="3" width="13.7109375" style="286" customWidth="1"/>
    <col min="4" max="4" width="11.28515625" style="286" customWidth="1"/>
    <col min="5" max="5" width="7.5703125" style="286" customWidth="1"/>
    <col min="6" max="6" width="10.7109375" style="286" customWidth="1"/>
    <col min="7" max="7" width="8.140625" style="286" customWidth="1"/>
    <col min="8" max="8" width="10" style="286" customWidth="1"/>
    <col min="9" max="9" width="9.85546875" style="286" customWidth="1"/>
    <col min="10" max="10" width="13.7109375" style="286" customWidth="1"/>
    <col min="11" max="11" width="4.7109375" style="286" customWidth="1"/>
    <col min="12" max="16384" width="9.28515625" style="286"/>
  </cols>
  <sheetData>
    <row r="1" spans="1:10" s="276" customFormat="1" ht="26.45" customHeight="1" x14ac:dyDescent="0.15">
      <c r="A1" s="277" t="s">
        <v>347</v>
      </c>
      <c r="B1" s="277" t="s">
        <v>348</v>
      </c>
      <c r="C1" s="277" t="s">
        <v>349</v>
      </c>
      <c r="D1" s="277" t="s">
        <v>350</v>
      </c>
      <c r="E1" s="277" t="s">
        <v>351</v>
      </c>
      <c r="F1" s="277" t="s">
        <v>352</v>
      </c>
      <c r="G1" s="277" t="s">
        <v>353</v>
      </c>
      <c r="H1" s="277" t="s">
        <v>354</v>
      </c>
      <c r="I1" s="277" t="s">
        <v>355</v>
      </c>
      <c r="J1" s="277" t="s">
        <v>356</v>
      </c>
    </row>
    <row r="2" spans="1:10" s="276" customFormat="1" ht="18.399999999999999" customHeight="1" x14ac:dyDescent="0.2">
      <c r="A2" s="278">
        <v>43180</v>
      </c>
      <c r="B2" s="281" t="s">
        <v>384</v>
      </c>
      <c r="C2" s="281" t="s">
        <v>385</v>
      </c>
      <c r="D2" s="281" t="s">
        <v>202</v>
      </c>
      <c r="E2" s="282" t="s">
        <v>386</v>
      </c>
      <c r="F2" s="281" t="s">
        <v>362</v>
      </c>
      <c r="G2" s="281" t="s">
        <v>378</v>
      </c>
      <c r="H2" s="283" t="s">
        <v>387</v>
      </c>
      <c r="I2" s="284">
        <v>5</v>
      </c>
      <c r="J2" s="285">
        <v>226.4</v>
      </c>
    </row>
    <row r="3" spans="1:10" s="276" customFormat="1" ht="10.15" customHeight="1" x14ac:dyDescent="0.2">
      <c r="A3" s="278">
        <v>43180</v>
      </c>
      <c r="B3" s="281" t="s">
        <v>384</v>
      </c>
      <c r="C3" s="281" t="s">
        <v>385</v>
      </c>
      <c r="D3" s="281" t="s">
        <v>202</v>
      </c>
      <c r="E3" s="282" t="s">
        <v>386</v>
      </c>
      <c r="F3" s="281" t="s">
        <v>365</v>
      </c>
      <c r="G3" s="281" t="s">
        <v>380</v>
      </c>
      <c r="H3" s="283" t="s">
        <v>365</v>
      </c>
      <c r="I3" s="284"/>
      <c r="J3" s="285">
        <v>15.51</v>
      </c>
    </row>
    <row r="4" spans="1:10" s="276" customFormat="1" ht="10.15" customHeight="1" x14ac:dyDescent="0.2">
      <c r="A4" s="278">
        <v>43180</v>
      </c>
      <c r="B4" s="281" t="s">
        <v>384</v>
      </c>
      <c r="C4" s="281" t="s">
        <v>385</v>
      </c>
      <c r="D4" s="281" t="s">
        <v>202</v>
      </c>
      <c r="E4" s="282" t="s">
        <v>386</v>
      </c>
      <c r="F4" s="281" t="s">
        <v>365</v>
      </c>
      <c r="G4" s="281" t="s">
        <v>381</v>
      </c>
      <c r="H4" s="283" t="s">
        <v>365</v>
      </c>
      <c r="I4" s="284"/>
      <c r="J4" s="285">
        <v>1.47</v>
      </c>
    </row>
    <row r="5" spans="1:10" s="276" customFormat="1" ht="9.9499999999999993" customHeight="1" x14ac:dyDescent="0.2">
      <c r="A5" s="278">
        <v>43180</v>
      </c>
      <c r="B5" s="281" t="s">
        <v>384</v>
      </c>
      <c r="C5" s="281" t="s">
        <v>385</v>
      </c>
      <c r="D5" s="281" t="s">
        <v>202</v>
      </c>
      <c r="E5" s="282" t="s">
        <v>386</v>
      </c>
      <c r="F5" s="281" t="s">
        <v>365</v>
      </c>
      <c r="G5" s="281" t="s">
        <v>382</v>
      </c>
      <c r="H5" s="283" t="s">
        <v>365</v>
      </c>
      <c r="I5" s="284"/>
      <c r="J5" s="285">
        <v>2.83</v>
      </c>
    </row>
    <row r="6" spans="1:10" s="276" customFormat="1" ht="10.15" customHeight="1" x14ac:dyDescent="0.2">
      <c r="A6" s="278">
        <v>43180</v>
      </c>
      <c r="B6" s="281" t="s">
        <v>384</v>
      </c>
      <c r="C6" s="281" t="s">
        <v>385</v>
      </c>
      <c r="D6" s="281" t="s">
        <v>202</v>
      </c>
      <c r="E6" s="282" t="s">
        <v>386</v>
      </c>
      <c r="F6" s="281" t="s">
        <v>369</v>
      </c>
      <c r="G6" s="281" t="s">
        <v>383</v>
      </c>
      <c r="H6" s="283" t="s">
        <v>371</v>
      </c>
      <c r="I6" s="284"/>
      <c r="J6" s="285">
        <v>21.51</v>
      </c>
    </row>
    <row r="7" spans="1:10" s="276" customFormat="1" ht="18.399999999999999" customHeight="1" x14ac:dyDescent="0.2">
      <c r="A7" s="278">
        <v>43194</v>
      </c>
      <c r="B7" s="281" t="s">
        <v>384</v>
      </c>
      <c r="C7" s="281" t="s">
        <v>385</v>
      </c>
      <c r="D7" s="281" t="s">
        <v>202</v>
      </c>
      <c r="E7" s="282" t="s">
        <v>386</v>
      </c>
      <c r="F7" s="281" t="s">
        <v>362</v>
      </c>
      <c r="G7" s="281" t="s">
        <v>378</v>
      </c>
      <c r="H7" s="283" t="s">
        <v>387</v>
      </c>
      <c r="I7" s="284">
        <v>5</v>
      </c>
      <c r="J7" s="285">
        <v>226.4</v>
      </c>
    </row>
    <row r="8" spans="1:10" s="276" customFormat="1" ht="10.15" customHeight="1" x14ac:dyDescent="0.2">
      <c r="A8" s="278">
        <v>43194</v>
      </c>
      <c r="B8" s="281" t="s">
        <v>384</v>
      </c>
      <c r="C8" s="281" t="s">
        <v>385</v>
      </c>
      <c r="D8" s="281" t="s">
        <v>202</v>
      </c>
      <c r="E8" s="282" t="s">
        <v>386</v>
      </c>
      <c r="F8" s="281" t="s">
        <v>365</v>
      </c>
      <c r="G8" s="281" t="s">
        <v>380</v>
      </c>
      <c r="H8" s="283" t="s">
        <v>365</v>
      </c>
      <c r="I8" s="284"/>
      <c r="J8" s="285">
        <v>15.51</v>
      </c>
    </row>
    <row r="9" spans="1:10" s="276" customFormat="1" ht="10.15" customHeight="1" x14ac:dyDescent="0.2">
      <c r="A9" s="278">
        <v>43194</v>
      </c>
      <c r="B9" s="281" t="s">
        <v>384</v>
      </c>
      <c r="C9" s="281" t="s">
        <v>385</v>
      </c>
      <c r="D9" s="281" t="s">
        <v>202</v>
      </c>
      <c r="E9" s="282" t="s">
        <v>386</v>
      </c>
      <c r="F9" s="281" t="s">
        <v>365</v>
      </c>
      <c r="G9" s="281" t="s">
        <v>382</v>
      </c>
      <c r="H9" s="283" t="s">
        <v>365</v>
      </c>
      <c r="I9" s="284"/>
      <c r="J9" s="285">
        <v>2.83</v>
      </c>
    </row>
    <row r="10" spans="1:10" s="276" customFormat="1" ht="18.399999999999999" customHeight="1" x14ac:dyDescent="0.2">
      <c r="A10" s="278">
        <v>43208</v>
      </c>
      <c r="B10" s="281" t="s">
        <v>384</v>
      </c>
      <c r="C10" s="281" t="s">
        <v>385</v>
      </c>
      <c r="D10" s="281" t="s">
        <v>202</v>
      </c>
      <c r="E10" s="282" t="s">
        <v>386</v>
      </c>
      <c r="F10" s="281" t="s">
        <v>365</v>
      </c>
      <c r="G10" s="281" t="s">
        <v>381</v>
      </c>
      <c r="H10" s="283" t="s">
        <v>365</v>
      </c>
      <c r="I10" s="284"/>
      <c r="J10" s="285">
        <v>1.47</v>
      </c>
    </row>
    <row r="11" spans="1:10" s="276" customFormat="1" ht="10.15" customHeight="1" x14ac:dyDescent="0.2">
      <c r="A11" s="278">
        <v>43208</v>
      </c>
      <c r="B11" s="281" t="s">
        <v>384</v>
      </c>
      <c r="C11" s="281" t="s">
        <v>385</v>
      </c>
      <c r="D11" s="281" t="s">
        <v>202</v>
      </c>
      <c r="E11" s="282" t="s">
        <v>386</v>
      </c>
      <c r="F11" s="281" t="s">
        <v>369</v>
      </c>
      <c r="G11" s="281" t="s">
        <v>383</v>
      </c>
      <c r="H11" s="283" t="s">
        <v>371</v>
      </c>
      <c r="I11" s="284"/>
      <c r="J11" s="285">
        <v>21.51</v>
      </c>
    </row>
    <row r="12" spans="1:10" s="276" customFormat="1" ht="10.15" customHeight="1" x14ac:dyDescent="0.2">
      <c r="A12" s="278">
        <v>43222</v>
      </c>
      <c r="B12" s="281" t="s">
        <v>384</v>
      </c>
      <c r="C12" s="281" t="s">
        <v>385</v>
      </c>
      <c r="D12" s="281" t="s">
        <v>202</v>
      </c>
      <c r="E12" s="282" t="s">
        <v>386</v>
      </c>
      <c r="F12" s="281" t="s">
        <v>362</v>
      </c>
      <c r="G12" s="281" t="s">
        <v>378</v>
      </c>
      <c r="H12" s="283" t="s">
        <v>387</v>
      </c>
      <c r="I12" s="284">
        <v>10</v>
      </c>
      <c r="J12" s="285">
        <v>452.78</v>
      </c>
    </row>
    <row r="13" spans="1:10" s="276" customFormat="1" ht="10.15" customHeight="1" x14ac:dyDescent="0.2">
      <c r="A13" s="278">
        <v>43222</v>
      </c>
      <c r="B13" s="281" t="s">
        <v>384</v>
      </c>
      <c r="C13" s="281" t="s">
        <v>385</v>
      </c>
      <c r="D13" s="281" t="s">
        <v>202</v>
      </c>
      <c r="E13" s="282" t="s">
        <v>386</v>
      </c>
      <c r="F13" s="281" t="s">
        <v>365</v>
      </c>
      <c r="G13" s="281" t="s">
        <v>380</v>
      </c>
      <c r="H13" s="283" t="s">
        <v>365</v>
      </c>
      <c r="I13" s="284"/>
      <c r="J13" s="285">
        <v>31.02</v>
      </c>
    </row>
    <row r="14" spans="1:10" s="276" customFormat="1" ht="10.15" customHeight="1" x14ac:dyDescent="0.2">
      <c r="A14" s="278">
        <v>43222</v>
      </c>
      <c r="B14" s="281" t="s">
        <v>384</v>
      </c>
      <c r="C14" s="281" t="s">
        <v>385</v>
      </c>
      <c r="D14" s="281" t="s">
        <v>202</v>
      </c>
      <c r="E14" s="282" t="s">
        <v>386</v>
      </c>
      <c r="F14" s="281" t="s">
        <v>365</v>
      </c>
      <c r="G14" s="281" t="s">
        <v>381</v>
      </c>
      <c r="H14" s="283" t="s">
        <v>365</v>
      </c>
      <c r="I14" s="284"/>
      <c r="J14" s="285">
        <v>2.95</v>
      </c>
    </row>
    <row r="15" spans="1:10" s="276" customFormat="1" ht="18.399999999999999" customHeight="1" x14ac:dyDescent="0.2">
      <c r="A15" s="278">
        <v>43222</v>
      </c>
      <c r="B15" s="281" t="s">
        <v>384</v>
      </c>
      <c r="C15" s="281" t="s">
        <v>385</v>
      </c>
      <c r="D15" s="281" t="s">
        <v>202</v>
      </c>
      <c r="E15" s="282" t="s">
        <v>386</v>
      </c>
      <c r="F15" s="281" t="s">
        <v>365</v>
      </c>
      <c r="G15" s="281" t="s">
        <v>382</v>
      </c>
      <c r="H15" s="283" t="s">
        <v>365</v>
      </c>
      <c r="I15" s="284"/>
      <c r="J15" s="285">
        <v>5.66</v>
      </c>
    </row>
    <row r="16" spans="1:10" s="276" customFormat="1" ht="10.15" customHeight="1" x14ac:dyDescent="0.2">
      <c r="A16" s="278">
        <v>43222</v>
      </c>
      <c r="B16" s="281" t="s">
        <v>384</v>
      </c>
      <c r="C16" s="281" t="s">
        <v>385</v>
      </c>
      <c r="D16" s="281" t="s">
        <v>202</v>
      </c>
      <c r="E16" s="282" t="s">
        <v>386</v>
      </c>
      <c r="F16" s="281" t="s">
        <v>369</v>
      </c>
      <c r="G16" s="281" t="s">
        <v>383</v>
      </c>
      <c r="H16" s="283" t="s">
        <v>371</v>
      </c>
      <c r="I16" s="284"/>
      <c r="J16" s="285">
        <v>43.01</v>
      </c>
    </row>
    <row r="17" spans="1:10" s="276" customFormat="1" ht="10.15" customHeight="1" x14ac:dyDescent="0.2">
      <c r="A17" s="278">
        <v>43236</v>
      </c>
      <c r="B17" s="281" t="s">
        <v>384</v>
      </c>
      <c r="C17" s="281" t="s">
        <v>385</v>
      </c>
      <c r="D17" s="281" t="s">
        <v>202</v>
      </c>
      <c r="E17" s="282" t="s">
        <v>386</v>
      </c>
      <c r="F17" s="281" t="s">
        <v>362</v>
      </c>
      <c r="G17" s="281" t="s">
        <v>378</v>
      </c>
      <c r="H17" s="283" t="s">
        <v>390</v>
      </c>
      <c r="I17" s="284">
        <v>22.5</v>
      </c>
      <c r="J17" s="285">
        <v>1215.8699999999999</v>
      </c>
    </row>
    <row r="18" spans="1:10" s="276" customFormat="1" ht="10.15" customHeight="1" x14ac:dyDescent="0.2">
      <c r="A18" s="278">
        <v>43236</v>
      </c>
      <c r="B18" s="281" t="s">
        <v>384</v>
      </c>
      <c r="C18" s="281" t="s">
        <v>385</v>
      </c>
      <c r="D18" s="281" t="s">
        <v>202</v>
      </c>
      <c r="E18" s="282" t="s">
        <v>386</v>
      </c>
      <c r="F18" s="281" t="s">
        <v>365</v>
      </c>
      <c r="G18" s="281" t="s">
        <v>380</v>
      </c>
      <c r="H18" s="283" t="s">
        <v>365</v>
      </c>
      <c r="I18" s="284"/>
      <c r="J18" s="285">
        <v>83.29</v>
      </c>
    </row>
    <row r="19" spans="1:10" s="276" customFormat="1" ht="10.15" customHeight="1" x14ac:dyDescent="0.2">
      <c r="A19" s="278">
        <v>43236</v>
      </c>
      <c r="B19" s="281" t="s">
        <v>384</v>
      </c>
      <c r="C19" s="281" t="s">
        <v>385</v>
      </c>
      <c r="D19" s="281" t="s">
        <v>202</v>
      </c>
      <c r="E19" s="282" t="s">
        <v>386</v>
      </c>
      <c r="F19" s="281" t="s">
        <v>365</v>
      </c>
      <c r="G19" s="281" t="s">
        <v>381</v>
      </c>
      <c r="H19" s="283" t="s">
        <v>365</v>
      </c>
      <c r="I19" s="284"/>
      <c r="J19" s="285">
        <v>7.91</v>
      </c>
    </row>
    <row r="20" spans="1:10" s="276" customFormat="1" ht="18.399999999999999" customHeight="1" x14ac:dyDescent="0.2">
      <c r="A20" s="278">
        <v>43236</v>
      </c>
      <c r="B20" s="281" t="s">
        <v>384</v>
      </c>
      <c r="C20" s="281" t="s">
        <v>385</v>
      </c>
      <c r="D20" s="281" t="s">
        <v>202</v>
      </c>
      <c r="E20" s="282" t="s">
        <v>386</v>
      </c>
      <c r="F20" s="281" t="s">
        <v>365</v>
      </c>
      <c r="G20" s="281" t="s">
        <v>382</v>
      </c>
      <c r="H20" s="283" t="s">
        <v>365</v>
      </c>
      <c r="I20" s="284"/>
      <c r="J20" s="285">
        <v>15.19</v>
      </c>
    </row>
    <row r="21" spans="1:10" s="276" customFormat="1" ht="10.15" customHeight="1" x14ac:dyDescent="0.2">
      <c r="A21" s="278">
        <v>43236</v>
      </c>
      <c r="B21" s="281" t="s">
        <v>384</v>
      </c>
      <c r="C21" s="281" t="s">
        <v>385</v>
      </c>
      <c r="D21" s="281" t="s">
        <v>202</v>
      </c>
      <c r="E21" s="282" t="s">
        <v>386</v>
      </c>
      <c r="F21" s="281" t="s">
        <v>369</v>
      </c>
      <c r="G21" s="281" t="s">
        <v>383</v>
      </c>
      <c r="H21" s="283" t="s">
        <v>371</v>
      </c>
      <c r="I21" s="284"/>
      <c r="J21" s="285">
        <v>115.51</v>
      </c>
    </row>
    <row r="22" spans="1:10" s="276" customFormat="1" ht="10.15" customHeight="1" x14ac:dyDescent="0.2">
      <c r="A22" s="278">
        <v>43250</v>
      </c>
      <c r="B22" s="281" t="s">
        <v>384</v>
      </c>
      <c r="C22" s="281" t="s">
        <v>385</v>
      </c>
      <c r="D22" s="281" t="s">
        <v>202</v>
      </c>
      <c r="E22" s="282" t="s">
        <v>386</v>
      </c>
      <c r="F22" s="281" t="s">
        <v>362</v>
      </c>
      <c r="G22" s="281" t="s">
        <v>378</v>
      </c>
      <c r="H22" s="283" t="s">
        <v>390</v>
      </c>
      <c r="I22" s="284">
        <v>-22.5</v>
      </c>
      <c r="J22" s="285">
        <v>-1215.8699999999999</v>
      </c>
    </row>
    <row r="23" spans="1:10" s="276" customFormat="1" ht="10.15" customHeight="1" x14ac:dyDescent="0.2">
      <c r="A23" s="278">
        <v>43250</v>
      </c>
      <c r="B23" s="281" t="s">
        <v>384</v>
      </c>
      <c r="C23" s="281" t="s">
        <v>385</v>
      </c>
      <c r="D23" s="281" t="s">
        <v>202</v>
      </c>
      <c r="E23" s="282" t="s">
        <v>386</v>
      </c>
      <c r="F23" s="281" t="s">
        <v>362</v>
      </c>
      <c r="G23" s="281" t="s">
        <v>378</v>
      </c>
      <c r="H23" s="283" t="s">
        <v>387</v>
      </c>
      <c r="I23" s="284">
        <v>52.5</v>
      </c>
      <c r="J23" s="285">
        <v>2377.15</v>
      </c>
    </row>
    <row r="24" spans="1:10" s="276" customFormat="1" ht="10.15" customHeight="1" x14ac:dyDescent="0.2">
      <c r="A24" s="278">
        <v>43250</v>
      </c>
      <c r="B24" s="281" t="s">
        <v>384</v>
      </c>
      <c r="C24" s="281" t="s">
        <v>385</v>
      </c>
      <c r="D24" s="281" t="s">
        <v>202</v>
      </c>
      <c r="E24" s="282" t="s">
        <v>386</v>
      </c>
      <c r="F24" s="281" t="s">
        <v>362</v>
      </c>
      <c r="G24" s="281" t="s">
        <v>378</v>
      </c>
      <c r="H24" s="283" t="s">
        <v>391</v>
      </c>
      <c r="I24" s="284">
        <v>25</v>
      </c>
      <c r="J24" s="285">
        <v>1350.96</v>
      </c>
    </row>
    <row r="25" spans="1:10" s="276" customFormat="1" ht="18.399999999999999" customHeight="1" x14ac:dyDescent="0.2">
      <c r="A25" s="278">
        <v>43250</v>
      </c>
      <c r="B25" s="281" t="s">
        <v>384</v>
      </c>
      <c r="C25" s="281" t="s">
        <v>385</v>
      </c>
      <c r="D25" s="281" t="s">
        <v>202</v>
      </c>
      <c r="E25" s="282" t="s">
        <v>386</v>
      </c>
      <c r="F25" s="281" t="s">
        <v>365</v>
      </c>
      <c r="G25" s="281" t="s">
        <v>380</v>
      </c>
      <c r="H25" s="283" t="s">
        <v>365</v>
      </c>
      <c r="I25" s="284"/>
      <c r="J25" s="285">
        <v>172.08</v>
      </c>
    </row>
    <row r="26" spans="1:10" s="276" customFormat="1" ht="10.15" customHeight="1" x14ac:dyDescent="0.2">
      <c r="A26" s="278">
        <v>43250</v>
      </c>
      <c r="B26" s="281" t="s">
        <v>384</v>
      </c>
      <c r="C26" s="281" t="s">
        <v>385</v>
      </c>
      <c r="D26" s="281" t="s">
        <v>202</v>
      </c>
      <c r="E26" s="282" t="s">
        <v>386</v>
      </c>
      <c r="F26" s="281" t="s">
        <v>365</v>
      </c>
      <c r="G26" s="281" t="s">
        <v>381</v>
      </c>
      <c r="H26" s="283" t="s">
        <v>365</v>
      </c>
      <c r="I26" s="284"/>
      <c r="J26" s="285">
        <v>17.82</v>
      </c>
    </row>
    <row r="27" spans="1:10" s="276" customFormat="1" ht="10.15" customHeight="1" x14ac:dyDescent="0.2">
      <c r="A27" s="278">
        <v>43250</v>
      </c>
      <c r="B27" s="281" t="s">
        <v>384</v>
      </c>
      <c r="C27" s="281" t="s">
        <v>385</v>
      </c>
      <c r="D27" s="281" t="s">
        <v>202</v>
      </c>
      <c r="E27" s="282" t="s">
        <v>386</v>
      </c>
      <c r="F27" s="281" t="s">
        <v>365</v>
      </c>
      <c r="G27" s="281" t="s">
        <v>382</v>
      </c>
      <c r="H27" s="283" t="s">
        <v>365</v>
      </c>
      <c r="I27" s="284"/>
      <c r="J27" s="285">
        <v>31.4</v>
      </c>
    </row>
    <row r="28" spans="1:10" s="276" customFormat="1" ht="18.399999999999999" customHeight="1" x14ac:dyDescent="0.2">
      <c r="A28" s="278">
        <v>43250</v>
      </c>
      <c r="B28" s="281" t="s">
        <v>384</v>
      </c>
      <c r="C28" s="281" t="s">
        <v>385</v>
      </c>
      <c r="D28" s="281" t="s">
        <v>202</v>
      </c>
      <c r="E28" s="282" t="s">
        <v>386</v>
      </c>
      <c r="F28" s="281" t="s">
        <v>369</v>
      </c>
      <c r="G28" s="281" t="s">
        <v>383</v>
      </c>
      <c r="H28" s="283" t="s">
        <v>371</v>
      </c>
      <c r="I28" s="284"/>
      <c r="J28" s="285">
        <v>260.17</v>
      </c>
    </row>
    <row r="29" spans="1:10" s="276" customFormat="1" ht="10.15" customHeight="1" x14ac:dyDescent="0.2">
      <c r="A29" s="278">
        <v>43264</v>
      </c>
      <c r="B29" s="281" t="s">
        <v>384</v>
      </c>
      <c r="C29" s="281" t="s">
        <v>385</v>
      </c>
      <c r="D29" s="281" t="s">
        <v>202</v>
      </c>
      <c r="E29" s="282" t="s">
        <v>386</v>
      </c>
      <c r="F29" s="281" t="s">
        <v>362</v>
      </c>
      <c r="G29" s="281" t="s">
        <v>378</v>
      </c>
      <c r="H29" s="283" t="s">
        <v>387</v>
      </c>
      <c r="I29" s="284">
        <v>30</v>
      </c>
      <c r="J29" s="285">
        <v>1358.37</v>
      </c>
    </row>
    <row r="30" spans="1:10" s="276" customFormat="1" ht="10.15" customHeight="1" x14ac:dyDescent="0.2">
      <c r="A30" s="278">
        <v>43264</v>
      </c>
      <c r="B30" s="281" t="s">
        <v>384</v>
      </c>
      <c r="C30" s="281" t="s">
        <v>385</v>
      </c>
      <c r="D30" s="281" t="s">
        <v>202</v>
      </c>
      <c r="E30" s="282" t="s">
        <v>386</v>
      </c>
      <c r="F30" s="281" t="s">
        <v>365</v>
      </c>
      <c r="G30" s="281" t="s">
        <v>380</v>
      </c>
      <c r="H30" s="283" t="s">
        <v>365</v>
      </c>
      <c r="I30" s="284"/>
      <c r="J30" s="285">
        <v>93.04</v>
      </c>
    </row>
    <row r="31" spans="1:10" s="276" customFormat="1" ht="18.399999999999999" customHeight="1" x14ac:dyDescent="0.2">
      <c r="A31" s="278">
        <v>43264</v>
      </c>
      <c r="B31" s="281" t="s">
        <v>384</v>
      </c>
      <c r="C31" s="281" t="s">
        <v>385</v>
      </c>
      <c r="D31" s="281" t="s">
        <v>202</v>
      </c>
      <c r="E31" s="282" t="s">
        <v>386</v>
      </c>
      <c r="F31" s="281" t="s">
        <v>365</v>
      </c>
      <c r="G31" s="281" t="s">
        <v>381</v>
      </c>
      <c r="H31" s="283" t="s">
        <v>365</v>
      </c>
      <c r="I31" s="284"/>
      <c r="J31" s="285">
        <v>8.84</v>
      </c>
    </row>
    <row r="32" spans="1:10" s="276" customFormat="1" ht="10.15" customHeight="1" x14ac:dyDescent="0.2">
      <c r="A32" s="278">
        <v>43264</v>
      </c>
      <c r="B32" s="281" t="s">
        <v>384</v>
      </c>
      <c r="C32" s="281" t="s">
        <v>385</v>
      </c>
      <c r="D32" s="281" t="s">
        <v>202</v>
      </c>
      <c r="E32" s="282" t="s">
        <v>386</v>
      </c>
      <c r="F32" s="281" t="s">
        <v>365</v>
      </c>
      <c r="G32" s="281" t="s">
        <v>382</v>
      </c>
      <c r="H32" s="283" t="s">
        <v>365</v>
      </c>
      <c r="I32" s="284"/>
      <c r="J32" s="285">
        <v>16.98</v>
      </c>
    </row>
    <row r="33" spans="1:10" s="276" customFormat="1" ht="10.15" customHeight="1" x14ac:dyDescent="0.2">
      <c r="A33" s="278">
        <v>43264</v>
      </c>
      <c r="B33" s="281" t="s">
        <v>384</v>
      </c>
      <c r="C33" s="281" t="s">
        <v>385</v>
      </c>
      <c r="D33" s="281" t="s">
        <v>202</v>
      </c>
      <c r="E33" s="282" t="s">
        <v>386</v>
      </c>
      <c r="F33" s="281" t="s">
        <v>369</v>
      </c>
      <c r="G33" s="281" t="s">
        <v>383</v>
      </c>
      <c r="H33" s="283" t="s">
        <v>371</v>
      </c>
      <c r="I33" s="284"/>
      <c r="J33" s="285">
        <v>129.05000000000001</v>
      </c>
    </row>
    <row r="34" spans="1:10" s="276" customFormat="1" ht="10.15" customHeight="1" x14ac:dyDescent="0.2">
      <c r="A34" s="278">
        <v>43278</v>
      </c>
      <c r="B34" s="281" t="s">
        <v>384</v>
      </c>
      <c r="C34" s="281" t="s">
        <v>385</v>
      </c>
      <c r="D34" s="281" t="s">
        <v>202</v>
      </c>
      <c r="E34" s="282" t="s">
        <v>386</v>
      </c>
      <c r="F34" s="281" t="s">
        <v>362</v>
      </c>
      <c r="G34" s="281" t="s">
        <v>378</v>
      </c>
      <c r="H34" s="283" t="s">
        <v>387</v>
      </c>
      <c r="I34" s="284">
        <v>30</v>
      </c>
      <c r="J34" s="285">
        <v>1358.37</v>
      </c>
    </row>
    <row r="35" spans="1:10" s="276" customFormat="1" ht="10.15" customHeight="1" x14ac:dyDescent="0.2">
      <c r="A35" s="278">
        <v>43278</v>
      </c>
      <c r="B35" s="281" t="s">
        <v>384</v>
      </c>
      <c r="C35" s="281" t="s">
        <v>385</v>
      </c>
      <c r="D35" s="281" t="s">
        <v>202</v>
      </c>
      <c r="E35" s="282" t="s">
        <v>386</v>
      </c>
      <c r="F35" s="281" t="s">
        <v>365</v>
      </c>
      <c r="G35" s="281" t="s">
        <v>380</v>
      </c>
      <c r="H35" s="283" t="s">
        <v>365</v>
      </c>
      <c r="I35" s="284"/>
      <c r="J35" s="285">
        <v>93.04</v>
      </c>
    </row>
    <row r="36" spans="1:10" s="276" customFormat="1" ht="18.399999999999999" customHeight="1" x14ac:dyDescent="0.2">
      <c r="A36" s="278">
        <v>43278</v>
      </c>
      <c r="B36" s="281" t="s">
        <v>384</v>
      </c>
      <c r="C36" s="281" t="s">
        <v>385</v>
      </c>
      <c r="D36" s="281" t="s">
        <v>202</v>
      </c>
      <c r="E36" s="282" t="s">
        <v>386</v>
      </c>
      <c r="F36" s="281" t="s">
        <v>365</v>
      </c>
      <c r="G36" s="281" t="s">
        <v>381</v>
      </c>
      <c r="H36" s="283" t="s">
        <v>365</v>
      </c>
      <c r="I36" s="284"/>
      <c r="J36" s="285">
        <v>8.84</v>
      </c>
    </row>
    <row r="37" spans="1:10" s="276" customFormat="1" ht="10.15" customHeight="1" x14ac:dyDescent="0.2">
      <c r="A37" s="278">
        <v>43278</v>
      </c>
      <c r="B37" s="281" t="s">
        <v>384</v>
      </c>
      <c r="C37" s="281" t="s">
        <v>385</v>
      </c>
      <c r="D37" s="281" t="s">
        <v>202</v>
      </c>
      <c r="E37" s="282" t="s">
        <v>386</v>
      </c>
      <c r="F37" s="281" t="s">
        <v>365</v>
      </c>
      <c r="G37" s="281" t="s">
        <v>382</v>
      </c>
      <c r="H37" s="283" t="s">
        <v>365</v>
      </c>
      <c r="I37" s="284"/>
      <c r="J37" s="285">
        <v>16.98</v>
      </c>
    </row>
    <row r="38" spans="1:10" s="276" customFormat="1" ht="10.15" customHeight="1" x14ac:dyDescent="0.2">
      <c r="A38" s="278">
        <v>43278</v>
      </c>
      <c r="B38" s="281" t="s">
        <v>384</v>
      </c>
      <c r="C38" s="281" t="s">
        <v>385</v>
      </c>
      <c r="D38" s="281" t="s">
        <v>202</v>
      </c>
      <c r="E38" s="282" t="s">
        <v>386</v>
      </c>
      <c r="F38" s="281" t="s">
        <v>369</v>
      </c>
      <c r="G38" s="281" t="s">
        <v>383</v>
      </c>
      <c r="H38" s="283" t="s">
        <v>371</v>
      </c>
      <c r="I38" s="284"/>
      <c r="J38" s="285">
        <v>129.05000000000001</v>
      </c>
    </row>
    <row r="39" spans="1:10" s="276" customFormat="1" ht="10.15" customHeight="1" x14ac:dyDescent="0.2">
      <c r="A39" s="278">
        <v>43292</v>
      </c>
      <c r="B39" s="281" t="s">
        <v>384</v>
      </c>
      <c r="C39" s="281" t="s">
        <v>385</v>
      </c>
      <c r="D39" s="281" t="s">
        <v>202</v>
      </c>
      <c r="E39" s="282" t="s">
        <v>386</v>
      </c>
      <c r="F39" s="281" t="s">
        <v>362</v>
      </c>
      <c r="G39" s="281" t="s">
        <v>378</v>
      </c>
      <c r="H39" s="283" t="s">
        <v>387</v>
      </c>
      <c r="I39" s="284">
        <v>15</v>
      </c>
      <c r="J39" s="285">
        <v>679.19</v>
      </c>
    </row>
    <row r="40" spans="1:10" s="276" customFormat="1" ht="10.15" customHeight="1" x14ac:dyDescent="0.2">
      <c r="A40" s="278">
        <v>43292</v>
      </c>
      <c r="B40" s="281" t="s">
        <v>384</v>
      </c>
      <c r="C40" s="281" t="s">
        <v>385</v>
      </c>
      <c r="D40" s="281" t="s">
        <v>202</v>
      </c>
      <c r="E40" s="282" t="s">
        <v>386</v>
      </c>
      <c r="F40" s="281" t="s">
        <v>362</v>
      </c>
      <c r="G40" s="281" t="s">
        <v>378</v>
      </c>
      <c r="H40" s="283" t="s">
        <v>391</v>
      </c>
      <c r="I40" s="284">
        <v>16</v>
      </c>
      <c r="J40" s="285">
        <v>864.62</v>
      </c>
    </row>
    <row r="41" spans="1:10" s="276" customFormat="1" ht="18.399999999999999" customHeight="1" x14ac:dyDescent="0.2">
      <c r="A41" s="278">
        <v>43292</v>
      </c>
      <c r="B41" s="281" t="s">
        <v>384</v>
      </c>
      <c r="C41" s="281" t="s">
        <v>385</v>
      </c>
      <c r="D41" s="281" t="s">
        <v>202</v>
      </c>
      <c r="E41" s="282" t="s">
        <v>386</v>
      </c>
      <c r="F41" s="281" t="s">
        <v>365</v>
      </c>
      <c r="G41" s="281" t="s">
        <v>380</v>
      </c>
      <c r="H41" s="283" t="s">
        <v>365</v>
      </c>
      <c r="I41" s="284"/>
      <c r="J41" s="285">
        <v>105.75</v>
      </c>
    </row>
    <row r="42" spans="1:10" s="276" customFormat="1" ht="10.15" customHeight="1" x14ac:dyDescent="0.2">
      <c r="A42" s="278">
        <v>43292</v>
      </c>
      <c r="B42" s="281" t="s">
        <v>384</v>
      </c>
      <c r="C42" s="281" t="s">
        <v>385</v>
      </c>
      <c r="D42" s="281" t="s">
        <v>202</v>
      </c>
      <c r="E42" s="282" t="s">
        <v>386</v>
      </c>
      <c r="F42" s="281" t="s">
        <v>365</v>
      </c>
      <c r="G42" s="281" t="s">
        <v>381</v>
      </c>
      <c r="H42" s="283" t="s">
        <v>365</v>
      </c>
      <c r="I42" s="284"/>
      <c r="J42" s="285">
        <v>10.050000000000001</v>
      </c>
    </row>
    <row r="43" spans="1:10" s="276" customFormat="1" ht="10.15" customHeight="1" x14ac:dyDescent="0.2">
      <c r="A43" s="278">
        <v>43292</v>
      </c>
      <c r="B43" s="281" t="s">
        <v>384</v>
      </c>
      <c r="C43" s="281" t="s">
        <v>385</v>
      </c>
      <c r="D43" s="281" t="s">
        <v>202</v>
      </c>
      <c r="E43" s="282" t="s">
        <v>386</v>
      </c>
      <c r="F43" s="281" t="s">
        <v>365</v>
      </c>
      <c r="G43" s="281" t="s">
        <v>382</v>
      </c>
      <c r="H43" s="283" t="s">
        <v>365</v>
      </c>
      <c r="I43" s="284"/>
      <c r="J43" s="285">
        <v>19.3</v>
      </c>
    </row>
    <row r="44" spans="1:10" s="276" customFormat="1" ht="18.399999999999999" customHeight="1" x14ac:dyDescent="0.2">
      <c r="A44" s="278">
        <v>43292</v>
      </c>
      <c r="B44" s="281" t="s">
        <v>384</v>
      </c>
      <c r="C44" s="281" t="s">
        <v>385</v>
      </c>
      <c r="D44" s="281" t="s">
        <v>202</v>
      </c>
      <c r="E44" s="282" t="s">
        <v>386</v>
      </c>
      <c r="F44" s="281" t="s">
        <v>369</v>
      </c>
      <c r="G44" s="281" t="s">
        <v>383</v>
      </c>
      <c r="H44" s="283" t="s">
        <v>371</v>
      </c>
      <c r="I44" s="284"/>
      <c r="J44" s="285">
        <v>146.66</v>
      </c>
    </row>
    <row r="45" spans="1:10" s="276" customFormat="1" ht="26.45" customHeight="1" x14ac:dyDescent="0.15">
      <c r="A45" s="277" t="s">
        <v>347</v>
      </c>
      <c r="B45" s="277" t="s">
        <v>348</v>
      </c>
      <c r="C45" s="277" t="s">
        <v>349</v>
      </c>
      <c r="D45" s="277" t="s">
        <v>350</v>
      </c>
      <c r="E45" s="277" t="s">
        <v>351</v>
      </c>
      <c r="F45" s="277" t="s">
        <v>352</v>
      </c>
      <c r="G45" s="277" t="s">
        <v>353</v>
      </c>
      <c r="H45" s="277" t="s">
        <v>354</v>
      </c>
      <c r="I45" s="277" t="s">
        <v>355</v>
      </c>
      <c r="J45" s="277" t="s">
        <v>356</v>
      </c>
    </row>
    <row r="46" spans="1:10" s="276" customFormat="1" ht="10.15" customHeight="1" x14ac:dyDescent="0.2">
      <c r="A46" s="278">
        <v>43124</v>
      </c>
      <c r="B46" s="281" t="s">
        <v>359</v>
      </c>
      <c r="C46" s="281" t="s">
        <v>360</v>
      </c>
      <c r="D46" s="281" t="s">
        <v>207</v>
      </c>
      <c r="E46" s="282" t="s">
        <v>361</v>
      </c>
      <c r="F46" s="281" t="s">
        <v>362</v>
      </c>
      <c r="G46" s="281" t="s">
        <v>363</v>
      </c>
      <c r="H46" s="283" t="s">
        <v>364</v>
      </c>
      <c r="I46" s="284">
        <v>12.5</v>
      </c>
      <c r="J46" s="285">
        <v>716.91</v>
      </c>
    </row>
    <row r="47" spans="1:10" s="276" customFormat="1" ht="10.15" customHeight="1" x14ac:dyDescent="0.2">
      <c r="A47" s="278">
        <v>43124</v>
      </c>
      <c r="B47" s="281" t="s">
        <v>359</v>
      </c>
      <c r="C47" s="281" t="s">
        <v>360</v>
      </c>
      <c r="D47" s="281" t="s">
        <v>207</v>
      </c>
      <c r="E47" s="282" t="s">
        <v>361</v>
      </c>
      <c r="F47" s="281" t="s">
        <v>365</v>
      </c>
      <c r="G47" s="281" t="s">
        <v>366</v>
      </c>
      <c r="H47" s="283" t="s">
        <v>365</v>
      </c>
      <c r="I47" s="284"/>
      <c r="J47" s="285">
        <v>49.11</v>
      </c>
    </row>
    <row r="48" spans="1:10" s="276" customFormat="1" ht="10.15" customHeight="1" x14ac:dyDescent="0.2">
      <c r="A48" s="278">
        <v>43124</v>
      </c>
      <c r="B48" s="281" t="s">
        <v>359</v>
      </c>
      <c r="C48" s="281" t="s">
        <v>360</v>
      </c>
      <c r="D48" s="281" t="s">
        <v>207</v>
      </c>
      <c r="E48" s="282" t="s">
        <v>361</v>
      </c>
      <c r="F48" s="281" t="s">
        <v>365</v>
      </c>
      <c r="G48" s="281" t="s">
        <v>367</v>
      </c>
      <c r="H48" s="283" t="s">
        <v>365</v>
      </c>
      <c r="I48" s="284"/>
      <c r="J48" s="285">
        <v>4.67</v>
      </c>
    </row>
    <row r="49" spans="1:10" s="276" customFormat="1" ht="10.15" customHeight="1" x14ac:dyDescent="0.2">
      <c r="A49" s="278">
        <v>43124</v>
      </c>
      <c r="B49" s="281" t="s">
        <v>359</v>
      </c>
      <c r="C49" s="281" t="s">
        <v>360</v>
      </c>
      <c r="D49" s="281" t="s">
        <v>207</v>
      </c>
      <c r="E49" s="282" t="s">
        <v>361</v>
      </c>
      <c r="F49" s="281" t="s">
        <v>365</v>
      </c>
      <c r="G49" s="281" t="s">
        <v>368</v>
      </c>
      <c r="H49" s="283" t="s">
        <v>365</v>
      </c>
      <c r="I49" s="284"/>
      <c r="J49" s="285">
        <v>8.9499999999999993</v>
      </c>
    </row>
    <row r="50" spans="1:10" s="276" customFormat="1" ht="18.399999999999999" customHeight="1" x14ac:dyDescent="0.2">
      <c r="A50" s="278">
        <v>43124</v>
      </c>
      <c r="B50" s="281" t="s">
        <v>359</v>
      </c>
      <c r="C50" s="281" t="s">
        <v>360</v>
      </c>
      <c r="D50" s="281" t="s">
        <v>207</v>
      </c>
      <c r="E50" s="282" t="s">
        <v>361</v>
      </c>
      <c r="F50" s="281" t="s">
        <v>369</v>
      </c>
      <c r="G50" s="281" t="s">
        <v>370</v>
      </c>
      <c r="H50" s="283" t="s">
        <v>371</v>
      </c>
      <c r="I50" s="284"/>
      <c r="J50" s="285">
        <v>68.11</v>
      </c>
    </row>
    <row r="51" spans="1:10" s="276" customFormat="1" ht="10.15" customHeight="1" x14ac:dyDescent="0.2">
      <c r="A51" s="278">
        <v>43138</v>
      </c>
      <c r="B51" s="281" t="s">
        <v>359</v>
      </c>
      <c r="C51" s="281" t="s">
        <v>360</v>
      </c>
      <c r="D51" s="281" t="s">
        <v>207</v>
      </c>
      <c r="E51" s="282" t="s">
        <v>361</v>
      </c>
      <c r="F51" s="281" t="s">
        <v>362</v>
      </c>
      <c r="G51" s="281" t="s">
        <v>363</v>
      </c>
      <c r="H51" s="283" t="s">
        <v>364</v>
      </c>
      <c r="I51" s="284">
        <v>73.5</v>
      </c>
      <c r="J51" s="285">
        <v>4258.2</v>
      </c>
    </row>
    <row r="52" spans="1:10" s="276" customFormat="1" ht="10.15" customHeight="1" x14ac:dyDescent="0.2">
      <c r="A52" s="278">
        <v>43138</v>
      </c>
      <c r="B52" s="281" t="s">
        <v>359</v>
      </c>
      <c r="C52" s="281" t="s">
        <v>360</v>
      </c>
      <c r="D52" s="281" t="s">
        <v>207</v>
      </c>
      <c r="E52" s="282" t="s">
        <v>361</v>
      </c>
      <c r="F52" s="281" t="s">
        <v>365</v>
      </c>
      <c r="G52" s="281" t="s">
        <v>366</v>
      </c>
      <c r="H52" s="283" t="s">
        <v>365</v>
      </c>
      <c r="I52" s="284"/>
      <c r="J52" s="285">
        <v>291.7</v>
      </c>
    </row>
    <row r="53" spans="1:10" s="276" customFormat="1" ht="18.399999999999999" customHeight="1" x14ac:dyDescent="0.2">
      <c r="A53" s="278">
        <v>43138</v>
      </c>
      <c r="B53" s="281" t="s">
        <v>359</v>
      </c>
      <c r="C53" s="281" t="s">
        <v>360</v>
      </c>
      <c r="D53" s="281" t="s">
        <v>207</v>
      </c>
      <c r="E53" s="282" t="s">
        <v>361</v>
      </c>
      <c r="F53" s="281" t="s">
        <v>365</v>
      </c>
      <c r="G53" s="281" t="s">
        <v>367</v>
      </c>
      <c r="H53" s="283" t="s">
        <v>365</v>
      </c>
      <c r="I53" s="284"/>
      <c r="J53" s="285">
        <v>27.71</v>
      </c>
    </row>
    <row r="54" spans="1:10" s="276" customFormat="1" ht="10.15" customHeight="1" x14ac:dyDescent="0.2">
      <c r="A54" s="278">
        <v>43138</v>
      </c>
      <c r="B54" s="281" t="s">
        <v>359</v>
      </c>
      <c r="C54" s="281" t="s">
        <v>360</v>
      </c>
      <c r="D54" s="281" t="s">
        <v>207</v>
      </c>
      <c r="E54" s="282" t="s">
        <v>361</v>
      </c>
      <c r="F54" s="281" t="s">
        <v>365</v>
      </c>
      <c r="G54" s="281" t="s">
        <v>368</v>
      </c>
      <c r="H54" s="283" t="s">
        <v>365</v>
      </c>
      <c r="I54" s="284"/>
      <c r="J54" s="285">
        <v>53.22</v>
      </c>
    </row>
    <row r="55" spans="1:10" s="276" customFormat="1" ht="10.15" customHeight="1" x14ac:dyDescent="0.2">
      <c r="A55" s="278">
        <v>43138</v>
      </c>
      <c r="B55" s="281" t="s">
        <v>359</v>
      </c>
      <c r="C55" s="281" t="s">
        <v>360</v>
      </c>
      <c r="D55" s="281" t="s">
        <v>207</v>
      </c>
      <c r="E55" s="282" t="s">
        <v>361</v>
      </c>
      <c r="F55" s="281" t="s">
        <v>369</v>
      </c>
      <c r="G55" s="281" t="s">
        <v>370</v>
      </c>
      <c r="H55" s="283" t="s">
        <v>371</v>
      </c>
      <c r="I55" s="284"/>
      <c r="J55" s="285">
        <v>404.53</v>
      </c>
    </row>
    <row r="56" spans="1:10" s="276" customFormat="1" ht="10.15" customHeight="1" x14ac:dyDescent="0.2">
      <c r="A56" s="278">
        <v>43166</v>
      </c>
      <c r="B56" s="281" t="s">
        <v>359</v>
      </c>
      <c r="C56" s="281" t="s">
        <v>360</v>
      </c>
      <c r="D56" s="281" t="s">
        <v>207</v>
      </c>
      <c r="E56" s="282" t="s">
        <v>361</v>
      </c>
      <c r="F56" s="281" t="s">
        <v>362</v>
      </c>
      <c r="G56" s="281" t="s">
        <v>363</v>
      </c>
      <c r="H56" s="283" t="s">
        <v>364</v>
      </c>
      <c r="I56" s="284">
        <v>6</v>
      </c>
      <c r="J56" s="285">
        <v>347.6</v>
      </c>
    </row>
    <row r="57" spans="1:10" s="276" customFormat="1" ht="10.15" customHeight="1" x14ac:dyDescent="0.2">
      <c r="A57" s="278">
        <v>43166</v>
      </c>
      <c r="B57" s="281" t="s">
        <v>359</v>
      </c>
      <c r="C57" s="281" t="s">
        <v>360</v>
      </c>
      <c r="D57" s="281" t="s">
        <v>207</v>
      </c>
      <c r="E57" s="282" t="s">
        <v>361</v>
      </c>
      <c r="F57" s="281" t="s">
        <v>365</v>
      </c>
      <c r="G57" s="281" t="s">
        <v>366</v>
      </c>
      <c r="H57" s="283" t="s">
        <v>365</v>
      </c>
      <c r="I57" s="284"/>
      <c r="J57" s="285">
        <v>23.81</v>
      </c>
    </row>
    <row r="58" spans="1:10" s="276" customFormat="1" ht="18.399999999999999" customHeight="1" x14ac:dyDescent="0.2">
      <c r="A58" s="278">
        <v>43166</v>
      </c>
      <c r="B58" s="281" t="s">
        <v>359</v>
      </c>
      <c r="C58" s="281" t="s">
        <v>360</v>
      </c>
      <c r="D58" s="281" t="s">
        <v>207</v>
      </c>
      <c r="E58" s="282" t="s">
        <v>361</v>
      </c>
      <c r="F58" s="281" t="s">
        <v>365</v>
      </c>
      <c r="G58" s="281" t="s">
        <v>368</v>
      </c>
      <c r="H58" s="283" t="s">
        <v>365</v>
      </c>
      <c r="I58" s="284"/>
      <c r="J58" s="285">
        <v>4.3499999999999996</v>
      </c>
    </row>
    <row r="59" spans="1:10" s="276" customFormat="1" ht="10.15" customHeight="1" x14ac:dyDescent="0.2">
      <c r="A59" s="278">
        <v>43180</v>
      </c>
      <c r="B59" s="281" t="s">
        <v>359</v>
      </c>
      <c r="C59" s="281" t="s">
        <v>360</v>
      </c>
      <c r="D59" s="281" t="s">
        <v>207</v>
      </c>
      <c r="E59" s="282" t="s">
        <v>361</v>
      </c>
      <c r="F59" s="281" t="s">
        <v>362</v>
      </c>
      <c r="G59" s="281" t="s">
        <v>363</v>
      </c>
      <c r="H59" s="283" t="s">
        <v>364</v>
      </c>
      <c r="I59" s="284">
        <v>1</v>
      </c>
      <c r="J59" s="285">
        <v>57.93</v>
      </c>
    </row>
    <row r="60" spans="1:10" s="276" customFormat="1" ht="10.15" customHeight="1" x14ac:dyDescent="0.2">
      <c r="A60" s="278">
        <v>43180</v>
      </c>
      <c r="B60" s="281" t="s">
        <v>359</v>
      </c>
      <c r="C60" s="281" t="s">
        <v>360</v>
      </c>
      <c r="D60" s="281" t="s">
        <v>207</v>
      </c>
      <c r="E60" s="282" t="s">
        <v>361</v>
      </c>
      <c r="F60" s="281" t="s">
        <v>365</v>
      </c>
      <c r="G60" s="281" t="s">
        <v>366</v>
      </c>
      <c r="H60" s="283" t="s">
        <v>365</v>
      </c>
      <c r="I60" s="284"/>
      <c r="J60" s="285">
        <v>3.97</v>
      </c>
    </row>
    <row r="61" spans="1:10" s="276" customFormat="1" ht="10.15" customHeight="1" x14ac:dyDescent="0.2">
      <c r="A61" s="278">
        <v>43180</v>
      </c>
      <c r="B61" s="281" t="s">
        <v>359</v>
      </c>
      <c r="C61" s="281" t="s">
        <v>360</v>
      </c>
      <c r="D61" s="281" t="s">
        <v>207</v>
      </c>
      <c r="E61" s="282" t="s">
        <v>361</v>
      </c>
      <c r="F61" s="281" t="s">
        <v>365</v>
      </c>
      <c r="G61" s="281" t="s">
        <v>368</v>
      </c>
      <c r="H61" s="283" t="s">
        <v>365</v>
      </c>
      <c r="I61" s="284"/>
      <c r="J61" s="285">
        <v>0.72</v>
      </c>
    </row>
    <row r="62" spans="1:10" s="276" customFormat="1" ht="10.15" customHeight="1" x14ac:dyDescent="0.2">
      <c r="A62" s="278">
        <v>43222</v>
      </c>
      <c r="B62" s="281" t="s">
        <v>359</v>
      </c>
      <c r="C62" s="281" t="s">
        <v>360</v>
      </c>
      <c r="D62" s="281" t="s">
        <v>207</v>
      </c>
      <c r="E62" s="282" t="s">
        <v>386</v>
      </c>
      <c r="F62" s="281" t="s">
        <v>362</v>
      </c>
      <c r="G62" s="281" t="s">
        <v>378</v>
      </c>
      <c r="H62" s="283" t="s">
        <v>387</v>
      </c>
      <c r="I62" s="284">
        <v>40.75</v>
      </c>
      <c r="J62" s="285">
        <v>1845.12</v>
      </c>
    </row>
    <row r="63" spans="1:10" s="276" customFormat="1" ht="10.15" customHeight="1" x14ac:dyDescent="0.2">
      <c r="A63" s="278">
        <v>43222</v>
      </c>
      <c r="B63" s="281" t="s">
        <v>359</v>
      </c>
      <c r="C63" s="281" t="s">
        <v>360</v>
      </c>
      <c r="D63" s="281" t="s">
        <v>207</v>
      </c>
      <c r="E63" s="282" t="s">
        <v>386</v>
      </c>
      <c r="F63" s="281" t="s">
        <v>365</v>
      </c>
      <c r="G63" s="281" t="s">
        <v>380</v>
      </c>
      <c r="H63" s="283" t="s">
        <v>365</v>
      </c>
      <c r="I63" s="284"/>
      <c r="J63" s="285">
        <v>126.39</v>
      </c>
    </row>
    <row r="64" spans="1:10" s="276" customFormat="1" ht="10.15" customHeight="1" x14ac:dyDescent="0.2">
      <c r="A64" s="278">
        <v>43222</v>
      </c>
      <c r="B64" s="281" t="s">
        <v>359</v>
      </c>
      <c r="C64" s="281" t="s">
        <v>360</v>
      </c>
      <c r="D64" s="281" t="s">
        <v>207</v>
      </c>
      <c r="E64" s="282" t="s">
        <v>386</v>
      </c>
      <c r="F64" s="281" t="s">
        <v>365</v>
      </c>
      <c r="G64" s="281" t="s">
        <v>381</v>
      </c>
      <c r="H64" s="283" t="s">
        <v>365</v>
      </c>
      <c r="I64" s="284"/>
      <c r="J64" s="285">
        <v>12.01</v>
      </c>
    </row>
    <row r="65" spans="1:10" s="276" customFormat="1" ht="10.15" customHeight="1" x14ac:dyDescent="0.2">
      <c r="A65" s="278">
        <v>43222</v>
      </c>
      <c r="B65" s="281" t="s">
        <v>359</v>
      </c>
      <c r="C65" s="281" t="s">
        <v>360</v>
      </c>
      <c r="D65" s="281" t="s">
        <v>207</v>
      </c>
      <c r="E65" s="282" t="s">
        <v>386</v>
      </c>
      <c r="F65" s="281" t="s">
        <v>365</v>
      </c>
      <c r="G65" s="281" t="s">
        <v>382</v>
      </c>
      <c r="H65" s="283" t="s">
        <v>365</v>
      </c>
      <c r="I65" s="284"/>
      <c r="J65" s="285">
        <v>23.06</v>
      </c>
    </row>
    <row r="66" spans="1:10" s="276" customFormat="1" ht="10.15" customHeight="1" x14ac:dyDescent="0.2">
      <c r="A66" s="278">
        <v>43222</v>
      </c>
      <c r="B66" s="281" t="s">
        <v>359</v>
      </c>
      <c r="C66" s="281" t="s">
        <v>360</v>
      </c>
      <c r="D66" s="281" t="s">
        <v>207</v>
      </c>
      <c r="E66" s="282" t="s">
        <v>386</v>
      </c>
      <c r="F66" s="281" t="s">
        <v>369</v>
      </c>
      <c r="G66" s="281" t="s">
        <v>383</v>
      </c>
      <c r="H66" s="283" t="s">
        <v>371</v>
      </c>
      <c r="I66" s="284"/>
      <c r="J66" s="285">
        <v>175.29</v>
      </c>
    </row>
    <row r="67" spans="1:10" s="276" customFormat="1" ht="18.399999999999999" customHeight="1" x14ac:dyDescent="0.2">
      <c r="A67" s="278">
        <v>43236</v>
      </c>
      <c r="B67" s="281" t="s">
        <v>359</v>
      </c>
      <c r="C67" s="281" t="s">
        <v>360</v>
      </c>
      <c r="D67" s="281" t="s">
        <v>207</v>
      </c>
      <c r="E67" s="282" t="s">
        <v>386</v>
      </c>
      <c r="F67" s="281" t="s">
        <v>362</v>
      </c>
      <c r="G67" s="281" t="s">
        <v>378</v>
      </c>
      <c r="H67" s="283" t="s">
        <v>387</v>
      </c>
      <c r="I67" s="284">
        <v>10</v>
      </c>
      <c r="J67" s="285">
        <v>452.79</v>
      </c>
    </row>
    <row r="68" spans="1:10" s="276" customFormat="1" ht="10.15" customHeight="1" x14ac:dyDescent="0.2">
      <c r="A68" s="278">
        <v>43236</v>
      </c>
      <c r="B68" s="281" t="s">
        <v>359</v>
      </c>
      <c r="C68" s="281" t="s">
        <v>360</v>
      </c>
      <c r="D68" s="281" t="s">
        <v>207</v>
      </c>
      <c r="E68" s="282" t="s">
        <v>386</v>
      </c>
      <c r="F68" s="281" t="s">
        <v>365</v>
      </c>
      <c r="G68" s="281" t="s">
        <v>380</v>
      </c>
      <c r="H68" s="283" t="s">
        <v>365</v>
      </c>
      <c r="I68" s="284"/>
      <c r="J68" s="285">
        <v>31.02</v>
      </c>
    </row>
    <row r="69" spans="1:10" s="276" customFormat="1" ht="10.15" customHeight="1" x14ac:dyDescent="0.2">
      <c r="A69" s="278">
        <v>43236</v>
      </c>
      <c r="B69" s="281" t="s">
        <v>359</v>
      </c>
      <c r="C69" s="281" t="s">
        <v>360</v>
      </c>
      <c r="D69" s="281" t="s">
        <v>207</v>
      </c>
      <c r="E69" s="282" t="s">
        <v>386</v>
      </c>
      <c r="F69" s="281" t="s">
        <v>365</v>
      </c>
      <c r="G69" s="281" t="s">
        <v>381</v>
      </c>
      <c r="H69" s="283" t="s">
        <v>365</v>
      </c>
      <c r="I69" s="284"/>
      <c r="J69" s="285">
        <v>2.95</v>
      </c>
    </row>
    <row r="70" spans="1:10" s="276" customFormat="1" ht="10.15" customHeight="1" x14ac:dyDescent="0.2">
      <c r="A70" s="278">
        <v>43236</v>
      </c>
      <c r="B70" s="281" t="s">
        <v>359</v>
      </c>
      <c r="C70" s="281" t="s">
        <v>360</v>
      </c>
      <c r="D70" s="281" t="s">
        <v>207</v>
      </c>
      <c r="E70" s="282" t="s">
        <v>386</v>
      </c>
      <c r="F70" s="281" t="s">
        <v>365</v>
      </c>
      <c r="G70" s="281" t="s">
        <v>382</v>
      </c>
      <c r="H70" s="283" t="s">
        <v>365</v>
      </c>
      <c r="I70" s="284"/>
      <c r="J70" s="285">
        <v>5.66</v>
      </c>
    </row>
    <row r="71" spans="1:10" s="276" customFormat="1" ht="10.15" customHeight="1" x14ac:dyDescent="0.2">
      <c r="A71" s="278">
        <v>43236</v>
      </c>
      <c r="B71" s="281" t="s">
        <v>359</v>
      </c>
      <c r="C71" s="281" t="s">
        <v>360</v>
      </c>
      <c r="D71" s="281" t="s">
        <v>207</v>
      </c>
      <c r="E71" s="282" t="s">
        <v>386</v>
      </c>
      <c r="F71" s="281" t="s">
        <v>369</v>
      </c>
      <c r="G71" s="281" t="s">
        <v>383</v>
      </c>
      <c r="H71" s="283" t="s">
        <v>371</v>
      </c>
      <c r="I71" s="284"/>
      <c r="J71" s="285">
        <v>43.02</v>
      </c>
    </row>
    <row r="72" spans="1:10" s="276" customFormat="1" ht="18.399999999999999" customHeight="1" x14ac:dyDescent="0.2">
      <c r="A72" s="278">
        <v>43250</v>
      </c>
      <c r="B72" s="281" t="s">
        <v>359</v>
      </c>
      <c r="C72" s="281" t="s">
        <v>360</v>
      </c>
      <c r="D72" s="281" t="s">
        <v>207</v>
      </c>
      <c r="E72" s="282" t="s">
        <v>386</v>
      </c>
      <c r="F72" s="281" t="s">
        <v>362</v>
      </c>
      <c r="G72" s="281" t="s">
        <v>378</v>
      </c>
      <c r="H72" s="283" t="s">
        <v>387</v>
      </c>
      <c r="I72" s="284">
        <v>65.5</v>
      </c>
      <c r="J72" s="285">
        <v>2965.78</v>
      </c>
    </row>
    <row r="73" spans="1:10" s="276" customFormat="1" ht="10.15" customHeight="1" x14ac:dyDescent="0.2">
      <c r="A73" s="278">
        <v>43250</v>
      </c>
      <c r="B73" s="281" t="s">
        <v>359</v>
      </c>
      <c r="C73" s="281" t="s">
        <v>360</v>
      </c>
      <c r="D73" s="281" t="s">
        <v>207</v>
      </c>
      <c r="E73" s="282" t="s">
        <v>386</v>
      </c>
      <c r="F73" s="281" t="s">
        <v>365</v>
      </c>
      <c r="G73" s="281" t="s">
        <v>380</v>
      </c>
      <c r="H73" s="283" t="s">
        <v>365</v>
      </c>
      <c r="I73" s="284"/>
      <c r="J73" s="285">
        <v>203.15</v>
      </c>
    </row>
    <row r="74" spans="1:10" s="276" customFormat="1" ht="10.15" customHeight="1" x14ac:dyDescent="0.2">
      <c r="A74" s="278">
        <v>43250</v>
      </c>
      <c r="B74" s="281" t="s">
        <v>359</v>
      </c>
      <c r="C74" s="281" t="s">
        <v>360</v>
      </c>
      <c r="D74" s="281" t="s">
        <v>207</v>
      </c>
      <c r="E74" s="282" t="s">
        <v>386</v>
      </c>
      <c r="F74" s="281" t="s">
        <v>365</v>
      </c>
      <c r="G74" s="281" t="s">
        <v>381</v>
      </c>
      <c r="H74" s="283" t="s">
        <v>365</v>
      </c>
      <c r="I74" s="284"/>
      <c r="J74" s="285">
        <v>19.3</v>
      </c>
    </row>
    <row r="75" spans="1:10" s="276" customFormat="1" ht="10.15" customHeight="1" x14ac:dyDescent="0.2">
      <c r="A75" s="278">
        <v>43250</v>
      </c>
      <c r="B75" s="281" t="s">
        <v>359</v>
      </c>
      <c r="C75" s="281" t="s">
        <v>360</v>
      </c>
      <c r="D75" s="281" t="s">
        <v>207</v>
      </c>
      <c r="E75" s="282" t="s">
        <v>386</v>
      </c>
      <c r="F75" s="281" t="s">
        <v>365</v>
      </c>
      <c r="G75" s="281" t="s">
        <v>382</v>
      </c>
      <c r="H75" s="283" t="s">
        <v>365</v>
      </c>
      <c r="I75" s="284"/>
      <c r="J75" s="285">
        <v>37.07</v>
      </c>
    </row>
    <row r="76" spans="1:10" s="276" customFormat="1" ht="10.15" customHeight="1" x14ac:dyDescent="0.2">
      <c r="A76" s="278">
        <v>43250</v>
      </c>
      <c r="B76" s="281" t="s">
        <v>359</v>
      </c>
      <c r="C76" s="281" t="s">
        <v>360</v>
      </c>
      <c r="D76" s="281" t="s">
        <v>207</v>
      </c>
      <c r="E76" s="282" t="s">
        <v>386</v>
      </c>
      <c r="F76" s="281" t="s">
        <v>369</v>
      </c>
      <c r="G76" s="281" t="s">
        <v>383</v>
      </c>
      <c r="H76" s="283" t="s">
        <v>371</v>
      </c>
      <c r="I76" s="284"/>
      <c r="J76" s="285">
        <v>281.75</v>
      </c>
    </row>
    <row r="77" spans="1:10" s="276" customFormat="1" ht="18.399999999999999" customHeight="1" x14ac:dyDescent="0.2">
      <c r="A77" s="278">
        <v>43264</v>
      </c>
      <c r="B77" s="281" t="s">
        <v>359</v>
      </c>
      <c r="C77" s="281" t="s">
        <v>360</v>
      </c>
      <c r="D77" s="281" t="s">
        <v>207</v>
      </c>
      <c r="E77" s="282" t="s">
        <v>386</v>
      </c>
      <c r="F77" s="281" t="s">
        <v>362</v>
      </c>
      <c r="G77" s="281" t="s">
        <v>378</v>
      </c>
      <c r="H77" s="283" t="s">
        <v>387</v>
      </c>
      <c r="I77" s="284">
        <v>4</v>
      </c>
      <c r="J77" s="285">
        <v>181.12</v>
      </c>
    </row>
    <row r="78" spans="1:10" s="276" customFormat="1" ht="10.15" customHeight="1" x14ac:dyDescent="0.2">
      <c r="A78" s="278">
        <v>43264</v>
      </c>
      <c r="B78" s="281" t="s">
        <v>359</v>
      </c>
      <c r="C78" s="281" t="s">
        <v>360</v>
      </c>
      <c r="D78" s="281" t="s">
        <v>207</v>
      </c>
      <c r="E78" s="282" t="s">
        <v>386</v>
      </c>
      <c r="F78" s="281" t="s">
        <v>365</v>
      </c>
      <c r="G78" s="281" t="s">
        <v>380</v>
      </c>
      <c r="H78" s="283" t="s">
        <v>365</v>
      </c>
      <c r="I78" s="284"/>
      <c r="J78" s="285">
        <v>12.4</v>
      </c>
    </row>
    <row r="79" spans="1:10" s="276" customFormat="1" ht="10.15" customHeight="1" x14ac:dyDescent="0.2">
      <c r="A79" s="278">
        <v>43264</v>
      </c>
      <c r="B79" s="281" t="s">
        <v>359</v>
      </c>
      <c r="C79" s="281" t="s">
        <v>360</v>
      </c>
      <c r="D79" s="281" t="s">
        <v>207</v>
      </c>
      <c r="E79" s="282" t="s">
        <v>386</v>
      </c>
      <c r="F79" s="281" t="s">
        <v>365</v>
      </c>
      <c r="G79" s="281" t="s">
        <v>382</v>
      </c>
      <c r="H79" s="283" t="s">
        <v>365</v>
      </c>
      <c r="I79" s="284"/>
      <c r="J79" s="285">
        <v>2.2599999999999998</v>
      </c>
    </row>
    <row r="80" spans="1:10" s="276" customFormat="1" ht="10.15" customHeight="1" x14ac:dyDescent="0.2">
      <c r="A80" s="278">
        <v>43278</v>
      </c>
      <c r="B80" s="281" t="s">
        <v>359</v>
      </c>
      <c r="C80" s="281" t="s">
        <v>360</v>
      </c>
      <c r="D80" s="281" t="s">
        <v>207</v>
      </c>
      <c r="E80" s="282" t="s">
        <v>386</v>
      </c>
      <c r="F80" s="281" t="s">
        <v>362</v>
      </c>
      <c r="G80" s="281" t="s">
        <v>378</v>
      </c>
      <c r="H80" s="283" t="s">
        <v>387</v>
      </c>
      <c r="I80" s="284">
        <v>4</v>
      </c>
      <c r="J80" s="285">
        <v>181.12</v>
      </c>
    </row>
    <row r="81" spans="1:10" s="276" customFormat="1" ht="10.15" customHeight="1" x14ac:dyDescent="0.2">
      <c r="A81" s="278">
        <v>43278</v>
      </c>
      <c r="B81" s="281" t="s">
        <v>359</v>
      </c>
      <c r="C81" s="281" t="s">
        <v>360</v>
      </c>
      <c r="D81" s="281" t="s">
        <v>207</v>
      </c>
      <c r="E81" s="282" t="s">
        <v>386</v>
      </c>
      <c r="F81" s="281" t="s">
        <v>365</v>
      </c>
      <c r="G81" s="281" t="s">
        <v>380</v>
      </c>
      <c r="H81" s="283" t="s">
        <v>365</v>
      </c>
      <c r="I81" s="284"/>
      <c r="J81" s="285">
        <v>12.4</v>
      </c>
    </row>
    <row r="82" spans="1:10" s="276" customFormat="1" ht="10.15" customHeight="1" x14ac:dyDescent="0.2">
      <c r="A82" s="278">
        <v>43278</v>
      </c>
      <c r="B82" s="281" t="s">
        <v>359</v>
      </c>
      <c r="C82" s="281" t="s">
        <v>360</v>
      </c>
      <c r="D82" s="281" t="s">
        <v>207</v>
      </c>
      <c r="E82" s="282" t="s">
        <v>386</v>
      </c>
      <c r="F82" s="281" t="s">
        <v>365</v>
      </c>
      <c r="G82" s="281" t="s">
        <v>382</v>
      </c>
      <c r="H82" s="283" t="s">
        <v>365</v>
      </c>
      <c r="I82" s="284"/>
      <c r="J82" s="285">
        <v>2.2599999999999998</v>
      </c>
    </row>
    <row r="83" spans="1:10" s="276" customFormat="1" ht="10.15" customHeight="1" x14ac:dyDescent="0.2">
      <c r="A83" s="278">
        <v>43292</v>
      </c>
      <c r="B83" s="281" t="s">
        <v>359</v>
      </c>
      <c r="C83" s="281" t="s">
        <v>360</v>
      </c>
      <c r="D83" s="281" t="s">
        <v>207</v>
      </c>
      <c r="E83" s="282" t="s">
        <v>386</v>
      </c>
      <c r="F83" s="281" t="s">
        <v>362</v>
      </c>
      <c r="G83" s="281" t="s">
        <v>378</v>
      </c>
      <c r="H83" s="283" t="s">
        <v>387</v>
      </c>
      <c r="I83" s="284">
        <v>2</v>
      </c>
      <c r="J83" s="285">
        <v>90.56</v>
      </c>
    </row>
    <row r="84" spans="1:10" s="276" customFormat="1" ht="18.399999999999999" customHeight="1" x14ac:dyDescent="0.2">
      <c r="A84" s="278">
        <v>43292</v>
      </c>
      <c r="B84" s="281" t="s">
        <v>359</v>
      </c>
      <c r="C84" s="281" t="s">
        <v>360</v>
      </c>
      <c r="D84" s="281" t="s">
        <v>207</v>
      </c>
      <c r="E84" s="282" t="s">
        <v>386</v>
      </c>
      <c r="F84" s="281" t="s">
        <v>365</v>
      </c>
      <c r="G84" s="281" t="s">
        <v>380</v>
      </c>
      <c r="H84" s="283" t="s">
        <v>365</v>
      </c>
      <c r="I84" s="284"/>
      <c r="J84" s="285">
        <v>6.2</v>
      </c>
    </row>
    <row r="85" spans="1:10" s="276" customFormat="1" ht="10.15" customHeight="1" x14ac:dyDescent="0.2">
      <c r="A85" s="278">
        <v>43292</v>
      </c>
      <c r="B85" s="281" t="s">
        <v>359</v>
      </c>
      <c r="C85" s="281" t="s">
        <v>360</v>
      </c>
      <c r="D85" s="281" t="s">
        <v>207</v>
      </c>
      <c r="E85" s="282" t="s">
        <v>386</v>
      </c>
      <c r="F85" s="281" t="s">
        <v>365</v>
      </c>
      <c r="G85" s="281" t="s">
        <v>382</v>
      </c>
      <c r="H85" s="283" t="s">
        <v>365</v>
      </c>
      <c r="I85" s="284"/>
      <c r="J85" s="285">
        <v>1.1299999999999999</v>
      </c>
    </row>
    <row r="86" spans="1:10" s="276" customFormat="1" ht="26.45" customHeight="1" x14ac:dyDescent="0.15">
      <c r="A86" s="277" t="s">
        <v>347</v>
      </c>
      <c r="B86" s="277" t="s">
        <v>348</v>
      </c>
      <c r="C86" s="277" t="s">
        <v>349</v>
      </c>
      <c r="D86" s="277" t="s">
        <v>350</v>
      </c>
      <c r="E86" s="277" t="s">
        <v>351</v>
      </c>
      <c r="F86" s="277" t="s">
        <v>352</v>
      </c>
      <c r="G86" s="277" t="s">
        <v>353</v>
      </c>
      <c r="H86" s="277" t="s">
        <v>354</v>
      </c>
      <c r="I86" s="277" t="s">
        <v>355</v>
      </c>
      <c r="J86" s="277" t="s">
        <v>356</v>
      </c>
    </row>
    <row r="87" spans="1:10" s="276" customFormat="1" ht="10.15" customHeight="1" x14ac:dyDescent="0.2">
      <c r="A87" s="278">
        <v>43124</v>
      </c>
      <c r="B87" s="281" t="s">
        <v>372</v>
      </c>
      <c r="C87" s="281" t="s">
        <v>373</v>
      </c>
      <c r="D87" s="281" t="s">
        <v>1</v>
      </c>
      <c r="E87" s="282" t="s">
        <v>361</v>
      </c>
      <c r="F87" s="281" t="s">
        <v>362</v>
      </c>
      <c r="G87" s="281" t="s">
        <v>363</v>
      </c>
      <c r="H87" s="283" t="s">
        <v>364</v>
      </c>
      <c r="I87" s="284">
        <v>6.5</v>
      </c>
      <c r="J87" s="285">
        <v>376.58</v>
      </c>
    </row>
    <row r="88" spans="1:10" s="276" customFormat="1" ht="18.399999999999999" customHeight="1" x14ac:dyDescent="0.2">
      <c r="A88" s="278">
        <v>43124</v>
      </c>
      <c r="B88" s="281" t="s">
        <v>372</v>
      </c>
      <c r="C88" s="281" t="s">
        <v>373</v>
      </c>
      <c r="D88" s="281" t="s">
        <v>1</v>
      </c>
      <c r="E88" s="282" t="s">
        <v>361</v>
      </c>
      <c r="F88" s="281" t="s">
        <v>365</v>
      </c>
      <c r="G88" s="281" t="s">
        <v>366</v>
      </c>
      <c r="H88" s="283" t="s">
        <v>365</v>
      </c>
      <c r="I88" s="284"/>
      <c r="J88" s="285">
        <v>25.8</v>
      </c>
    </row>
    <row r="89" spans="1:10" s="276" customFormat="1" ht="10.15" customHeight="1" x14ac:dyDescent="0.2">
      <c r="A89" s="278">
        <v>43124</v>
      </c>
      <c r="B89" s="281" t="s">
        <v>372</v>
      </c>
      <c r="C89" s="281" t="s">
        <v>373</v>
      </c>
      <c r="D89" s="281" t="s">
        <v>1</v>
      </c>
      <c r="E89" s="282" t="s">
        <v>361</v>
      </c>
      <c r="F89" s="281" t="s">
        <v>365</v>
      </c>
      <c r="G89" s="281" t="s">
        <v>368</v>
      </c>
      <c r="H89" s="283" t="s">
        <v>365</v>
      </c>
      <c r="I89" s="284"/>
      <c r="J89" s="285">
        <v>4.71</v>
      </c>
    </row>
    <row r="90" spans="1:10" s="276" customFormat="1" ht="10.15" customHeight="1" x14ac:dyDescent="0.2">
      <c r="A90" s="278">
        <v>43138</v>
      </c>
      <c r="B90" s="281" t="s">
        <v>372</v>
      </c>
      <c r="C90" s="281" t="s">
        <v>373</v>
      </c>
      <c r="D90" s="281" t="s">
        <v>1</v>
      </c>
      <c r="E90" s="282" t="s">
        <v>361</v>
      </c>
      <c r="F90" s="281" t="s">
        <v>362</v>
      </c>
      <c r="G90" s="281" t="s">
        <v>363</v>
      </c>
      <c r="H90" s="283" t="s">
        <v>364</v>
      </c>
      <c r="I90" s="284">
        <v>21.5</v>
      </c>
      <c r="J90" s="285">
        <v>1245.5899999999999</v>
      </c>
    </row>
    <row r="91" spans="1:10" s="276" customFormat="1" ht="10.15" customHeight="1" x14ac:dyDescent="0.2">
      <c r="A91" s="278">
        <v>43138</v>
      </c>
      <c r="B91" s="281" t="s">
        <v>372</v>
      </c>
      <c r="C91" s="281" t="s">
        <v>373</v>
      </c>
      <c r="D91" s="281" t="s">
        <v>1</v>
      </c>
      <c r="E91" s="282" t="s">
        <v>361</v>
      </c>
      <c r="F91" s="281" t="s">
        <v>365</v>
      </c>
      <c r="G91" s="281" t="s">
        <v>366</v>
      </c>
      <c r="H91" s="283" t="s">
        <v>365</v>
      </c>
      <c r="I91" s="284"/>
      <c r="J91" s="285">
        <v>85.33</v>
      </c>
    </row>
    <row r="92" spans="1:10" s="276" customFormat="1" ht="10.15" customHeight="1" x14ac:dyDescent="0.2">
      <c r="A92" s="278">
        <v>43138</v>
      </c>
      <c r="B92" s="281" t="s">
        <v>372</v>
      </c>
      <c r="C92" s="281" t="s">
        <v>373</v>
      </c>
      <c r="D92" s="281" t="s">
        <v>1</v>
      </c>
      <c r="E92" s="282" t="s">
        <v>361</v>
      </c>
      <c r="F92" s="281" t="s">
        <v>365</v>
      </c>
      <c r="G92" s="281" t="s">
        <v>367</v>
      </c>
      <c r="H92" s="283" t="s">
        <v>365</v>
      </c>
      <c r="I92" s="284"/>
      <c r="J92" s="285">
        <v>8.11</v>
      </c>
    </row>
    <row r="93" spans="1:10" s="276" customFormat="1" ht="18.399999999999999" customHeight="1" x14ac:dyDescent="0.2">
      <c r="A93" s="278">
        <v>43138</v>
      </c>
      <c r="B93" s="281" t="s">
        <v>372</v>
      </c>
      <c r="C93" s="281" t="s">
        <v>373</v>
      </c>
      <c r="D93" s="281" t="s">
        <v>1</v>
      </c>
      <c r="E93" s="282" t="s">
        <v>361</v>
      </c>
      <c r="F93" s="281" t="s">
        <v>365</v>
      </c>
      <c r="G93" s="281" t="s">
        <v>368</v>
      </c>
      <c r="H93" s="283" t="s">
        <v>365</v>
      </c>
      <c r="I93" s="284"/>
      <c r="J93" s="285">
        <v>15.57</v>
      </c>
    </row>
    <row r="94" spans="1:10" s="276" customFormat="1" ht="10.15" customHeight="1" x14ac:dyDescent="0.2">
      <c r="A94" s="278">
        <v>43138</v>
      </c>
      <c r="B94" s="281" t="s">
        <v>372</v>
      </c>
      <c r="C94" s="281" t="s">
        <v>373</v>
      </c>
      <c r="D94" s="281" t="s">
        <v>1</v>
      </c>
      <c r="E94" s="282" t="s">
        <v>361</v>
      </c>
      <c r="F94" s="281" t="s">
        <v>369</v>
      </c>
      <c r="G94" s="281" t="s">
        <v>370</v>
      </c>
      <c r="H94" s="283" t="s">
        <v>371</v>
      </c>
      <c r="I94" s="284"/>
      <c r="J94" s="285">
        <v>118.33</v>
      </c>
    </row>
    <row r="95" spans="1:10" s="276" customFormat="1" ht="10.15" customHeight="1" x14ac:dyDescent="0.2">
      <c r="A95" s="278">
        <v>43166</v>
      </c>
      <c r="B95" s="281" t="s">
        <v>372</v>
      </c>
      <c r="C95" s="281" t="s">
        <v>373</v>
      </c>
      <c r="D95" s="281" t="s">
        <v>1</v>
      </c>
      <c r="E95" s="282" t="s">
        <v>361</v>
      </c>
      <c r="F95" s="281" t="s">
        <v>362</v>
      </c>
      <c r="G95" s="281" t="s">
        <v>363</v>
      </c>
      <c r="H95" s="283" t="s">
        <v>364</v>
      </c>
      <c r="I95" s="284">
        <v>6</v>
      </c>
      <c r="J95" s="285">
        <v>347.61</v>
      </c>
    </row>
    <row r="96" spans="1:10" s="276" customFormat="1" ht="10.15" customHeight="1" x14ac:dyDescent="0.2">
      <c r="A96" s="278">
        <v>43166</v>
      </c>
      <c r="B96" s="281" t="s">
        <v>372</v>
      </c>
      <c r="C96" s="281" t="s">
        <v>373</v>
      </c>
      <c r="D96" s="281" t="s">
        <v>1</v>
      </c>
      <c r="E96" s="282" t="s">
        <v>361</v>
      </c>
      <c r="F96" s="281" t="s">
        <v>365</v>
      </c>
      <c r="G96" s="281" t="s">
        <v>366</v>
      </c>
      <c r="H96" s="283" t="s">
        <v>365</v>
      </c>
      <c r="I96" s="284"/>
      <c r="J96" s="285">
        <v>23.82</v>
      </c>
    </row>
    <row r="97" spans="1:10" s="276" customFormat="1" ht="10.15" customHeight="1" x14ac:dyDescent="0.2">
      <c r="A97" s="278">
        <v>43166</v>
      </c>
      <c r="B97" s="281" t="s">
        <v>372</v>
      </c>
      <c r="C97" s="281" t="s">
        <v>373</v>
      </c>
      <c r="D97" s="281" t="s">
        <v>1</v>
      </c>
      <c r="E97" s="282" t="s">
        <v>361</v>
      </c>
      <c r="F97" s="281" t="s">
        <v>365</v>
      </c>
      <c r="G97" s="281" t="s">
        <v>368</v>
      </c>
      <c r="H97" s="283" t="s">
        <v>365</v>
      </c>
      <c r="I97" s="284"/>
      <c r="J97" s="285">
        <v>4.3499999999999996</v>
      </c>
    </row>
    <row r="98" spans="1:10" s="276" customFormat="1" ht="10.15" customHeight="1" x14ac:dyDescent="0.2">
      <c r="A98" s="278">
        <v>43180</v>
      </c>
      <c r="B98" s="281" t="s">
        <v>372</v>
      </c>
      <c r="C98" s="281" t="s">
        <v>373</v>
      </c>
      <c r="D98" s="281" t="s">
        <v>1</v>
      </c>
      <c r="E98" s="282" t="s">
        <v>361</v>
      </c>
      <c r="F98" s="281" t="s">
        <v>362</v>
      </c>
      <c r="G98" s="281" t="s">
        <v>363</v>
      </c>
      <c r="H98" s="283" t="s">
        <v>364</v>
      </c>
      <c r="I98" s="284">
        <v>4</v>
      </c>
      <c r="J98" s="285">
        <v>231.74</v>
      </c>
    </row>
    <row r="99" spans="1:10" s="276" customFormat="1" ht="10.15" customHeight="1" x14ac:dyDescent="0.2">
      <c r="A99" s="278">
        <v>43180</v>
      </c>
      <c r="B99" s="281" t="s">
        <v>372</v>
      </c>
      <c r="C99" s="281" t="s">
        <v>373</v>
      </c>
      <c r="D99" s="281" t="s">
        <v>1</v>
      </c>
      <c r="E99" s="282" t="s">
        <v>361</v>
      </c>
      <c r="F99" s="281" t="s">
        <v>365</v>
      </c>
      <c r="G99" s="281" t="s">
        <v>366</v>
      </c>
      <c r="H99" s="283" t="s">
        <v>365</v>
      </c>
      <c r="I99" s="284"/>
      <c r="J99" s="285">
        <v>15.88</v>
      </c>
    </row>
    <row r="100" spans="1:10" s="276" customFormat="1" ht="18.399999999999999" customHeight="1" x14ac:dyDescent="0.2">
      <c r="A100" s="278">
        <v>43180</v>
      </c>
      <c r="B100" s="281" t="s">
        <v>372</v>
      </c>
      <c r="C100" s="281" t="s">
        <v>373</v>
      </c>
      <c r="D100" s="281" t="s">
        <v>1</v>
      </c>
      <c r="E100" s="282" t="s">
        <v>361</v>
      </c>
      <c r="F100" s="281" t="s">
        <v>365</v>
      </c>
      <c r="G100" s="281" t="s">
        <v>367</v>
      </c>
      <c r="H100" s="283" t="s">
        <v>365</v>
      </c>
      <c r="I100" s="284"/>
      <c r="J100" s="285">
        <v>3.77</v>
      </c>
    </row>
    <row r="101" spans="1:10" s="276" customFormat="1" ht="10.15" customHeight="1" x14ac:dyDescent="0.2">
      <c r="A101" s="278">
        <v>43180</v>
      </c>
      <c r="B101" s="281" t="s">
        <v>372</v>
      </c>
      <c r="C101" s="281" t="s">
        <v>373</v>
      </c>
      <c r="D101" s="281" t="s">
        <v>1</v>
      </c>
      <c r="E101" s="282" t="s">
        <v>361</v>
      </c>
      <c r="F101" s="281" t="s">
        <v>365</v>
      </c>
      <c r="G101" s="281" t="s">
        <v>368</v>
      </c>
      <c r="H101" s="283" t="s">
        <v>365</v>
      </c>
      <c r="I101" s="284"/>
      <c r="J101" s="285">
        <v>2.9</v>
      </c>
    </row>
    <row r="102" spans="1:10" s="276" customFormat="1" ht="10.15" customHeight="1" x14ac:dyDescent="0.2">
      <c r="A102" s="278">
        <v>43180</v>
      </c>
      <c r="B102" s="281" t="s">
        <v>372</v>
      </c>
      <c r="C102" s="281" t="s">
        <v>373</v>
      </c>
      <c r="D102" s="281" t="s">
        <v>1</v>
      </c>
      <c r="E102" s="282" t="s">
        <v>361</v>
      </c>
      <c r="F102" s="281" t="s">
        <v>369</v>
      </c>
      <c r="G102" s="281" t="s">
        <v>370</v>
      </c>
      <c r="H102" s="283" t="s">
        <v>371</v>
      </c>
      <c r="I102" s="284"/>
      <c r="J102" s="285">
        <v>55.04</v>
      </c>
    </row>
    <row r="103" spans="1:10" s="276" customFormat="1" ht="10.15" customHeight="1" x14ac:dyDescent="0.2">
      <c r="A103" s="278">
        <v>43194</v>
      </c>
      <c r="B103" s="281" t="s">
        <v>372</v>
      </c>
      <c r="C103" s="281" t="s">
        <v>373</v>
      </c>
      <c r="D103" s="281" t="s">
        <v>1</v>
      </c>
      <c r="E103" s="282" t="s">
        <v>361</v>
      </c>
      <c r="F103" s="281" t="s">
        <v>362</v>
      </c>
      <c r="G103" s="281" t="s">
        <v>363</v>
      </c>
      <c r="H103" s="283" t="s">
        <v>364</v>
      </c>
      <c r="I103" s="284">
        <v>5</v>
      </c>
      <c r="J103" s="285">
        <v>289.67</v>
      </c>
    </row>
    <row r="104" spans="1:10" s="276" customFormat="1" ht="10.15" customHeight="1" x14ac:dyDescent="0.2">
      <c r="A104" s="278">
        <v>43194</v>
      </c>
      <c r="B104" s="281" t="s">
        <v>372</v>
      </c>
      <c r="C104" s="281" t="s">
        <v>373</v>
      </c>
      <c r="D104" s="281" t="s">
        <v>1</v>
      </c>
      <c r="E104" s="282" t="s">
        <v>361</v>
      </c>
      <c r="F104" s="281" t="s">
        <v>365</v>
      </c>
      <c r="G104" s="281" t="s">
        <v>366</v>
      </c>
      <c r="H104" s="283" t="s">
        <v>365</v>
      </c>
      <c r="I104" s="284"/>
      <c r="J104" s="285">
        <v>19.850000000000001</v>
      </c>
    </row>
    <row r="105" spans="1:10" s="276" customFormat="1" ht="18.399999999999999" customHeight="1" x14ac:dyDescent="0.2">
      <c r="A105" s="278">
        <v>43194</v>
      </c>
      <c r="B105" s="281" t="s">
        <v>372</v>
      </c>
      <c r="C105" s="281" t="s">
        <v>373</v>
      </c>
      <c r="D105" s="281" t="s">
        <v>1</v>
      </c>
      <c r="E105" s="282" t="s">
        <v>361</v>
      </c>
      <c r="F105" s="281" t="s">
        <v>365</v>
      </c>
      <c r="G105" s="281" t="s">
        <v>367</v>
      </c>
      <c r="H105" s="283" t="s">
        <v>365</v>
      </c>
      <c r="I105" s="284"/>
      <c r="J105" s="285">
        <v>0</v>
      </c>
    </row>
    <row r="106" spans="1:10" s="276" customFormat="1" ht="18.399999999999999" customHeight="1" x14ac:dyDescent="0.2">
      <c r="A106" s="278">
        <v>43194</v>
      </c>
      <c r="B106" s="281" t="s">
        <v>372</v>
      </c>
      <c r="C106" s="281" t="s">
        <v>373</v>
      </c>
      <c r="D106" s="281" t="s">
        <v>1</v>
      </c>
      <c r="E106" s="282" t="s">
        <v>361</v>
      </c>
      <c r="F106" s="281" t="s">
        <v>365</v>
      </c>
      <c r="G106" s="281" t="s">
        <v>368</v>
      </c>
      <c r="H106" s="283" t="s">
        <v>365</v>
      </c>
      <c r="I106" s="284"/>
      <c r="J106" s="285">
        <v>3.62</v>
      </c>
    </row>
    <row r="107" spans="1:10" s="276" customFormat="1" ht="18.399999999999999" customHeight="1" x14ac:dyDescent="0.2">
      <c r="A107" s="278">
        <v>43194</v>
      </c>
      <c r="B107" s="281" t="s">
        <v>372</v>
      </c>
      <c r="C107" s="281" t="s">
        <v>373</v>
      </c>
      <c r="D107" s="281" t="s">
        <v>1</v>
      </c>
      <c r="E107" s="282" t="s">
        <v>361</v>
      </c>
      <c r="F107" s="281" t="s">
        <v>369</v>
      </c>
      <c r="G107" s="281" t="s">
        <v>370</v>
      </c>
      <c r="H107" s="283" t="s">
        <v>371</v>
      </c>
      <c r="I107" s="284"/>
      <c r="J107" s="285">
        <v>0</v>
      </c>
    </row>
    <row r="108" spans="1:10" s="276" customFormat="1" ht="10.15" customHeight="1" x14ac:dyDescent="0.2">
      <c r="A108" s="278">
        <v>43208</v>
      </c>
      <c r="B108" s="281" t="s">
        <v>372</v>
      </c>
      <c r="C108" s="281" t="s">
        <v>373</v>
      </c>
      <c r="D108" s="281" t="s">
        <v>1</v>
      </c>
      <c r="E108" s="282" t="s">
        <v>361</v>
      </c>
      <c r="F108" s="281" t="s">
        <v>365</v>
      </c>
      <c r="G108" s="281" t="s">
        <v>367</v>
      </c>
      <c r="H108" s="283" t="s">
        <v>365</v>
      </c>
      <c r="I108" s="284"/>
      <c r="J108" s="285">
        <v>0</v>
      </c>
    </row>
    <row r="109" spans="1:10" s="276" customFormat="1" ht="10.15" customHeight="1" x14ac:dyDescent="0.2">
      <c r="A109" s="278">
        <v>43208</v>
      </c>
      <c r="B109" s="281" t="s">
        <v>372</v>
      </c>
      <c r="C109" s="281" t="s">
        <v>373</v>
      </c>
      <c r="D109" s="281" t="s">
        <v>1</v>
      </c>
      <c r="E109" s="282" t="s">
        <v>361</v>
      </c>
      <c r="F109" s="281" t="s">
        <v>369</v>
      </c>
      <c r="G109" s="281" t="s">
        <v>370</v>
      </c>
      <c r="H109" s="283" t="s">
        <v>371</v>
      </c>
      <c r="I109" s="284"/>
      <c r="J109" s="285">
        <v>0</v>
      </c>
    </row>
    <row r="110" spans="1:10" s="276" customFormat="1" ht="10.15" customHeight="1" x14ac:dyDescent="0.2">
      <c r="A110" s="278">
        <v>43222</v>
      </c>
      <c r="B110" s="281" t="s">
        <v>372</v>
      </c>
      <c r="C110" s="281" t="s">
        <v>373</v>
      </c>
      <c r="D110" s="281" t="s">
        <v>1</v>
      </c>
      <c r="E110" s="282" t="s">
        <v>361</v>
      </c>
      <c r="F110" s="281" t="s">
        <v>365</v>
      </c>
      <c r="G110" s="281" t="s">
        <v>367</v>
      </c>
      <c r="H110" s="283" t="s">
        <v>365</v>
      </c>
      <c r="I110" s="284"/>
      <c r="J110" s="285">
        <v>0</v>
      </c>
    </row>
    <row r="111" spans="1:10" s="276" customFormat="1" ht="10.15" customHeight="1" x14ac:dyDescent="0.2">
      <c r="A111" s="278">
        <v>43222</v>
      </c>
      <c r="B111" s="281" t="s">
        <v>372</v>
      </c>
      <c r="C111" s="281" t="s">
        <v>373</v>
      </c>
      <c r="D111" s="281" t="s">
        <v>1</v>
      </c>
      <c r="E111" s="282" t="s">
        <v>361</v>
      </c>
      <c r="F111" s="281" t="s">
        <v>369</v>
      </c>
      <c r="G111" s="281" t="s">
        <v>370</v>
      </c>
      <c r="H111" s="283" t="s">
        <v>371</v>
      </c>
      <c r="I111" s="284"/>
      <c r="J111" s="285">
        <v>0</v>
      </c>
    </row>
    <row r="112" spans="1:10" s="276" customFormat="1" ht="18.399999999999999" customHeight="1" x14ac:dyDescent="0.2">
      <c r="A112" s="278">
        <v>43222</v>
      </c>
      <c r="B112" s="281" t="s">
        <v>372</v>
      </c>
      <c r="C112" s="281" t="s">
        <v>373</v>
      </c>
      <c r="D112" s="281" t="s">
        <v>1</v>
      </c>
      <c r="E112" s="282" t="s">
        <v>377</v>
      </c>
      <c r="F112" s="281" t="s">
        <v>362</v>
      </c>
      <c r="G112" s="281" t="s">
        <v>378</v>
      </c>
      <c r="H112" s="283" t="s">
        <v>387</v>
      </c>
      <c r="I112" s="284">
        <v>40</v>
      </c>
      <c r="J112" s="285">
        <v>1811.16</v>
      </c>
    </row>
    <row r="113" spans="1:10" s="276" customFormat="1" ht="10.15" customHeight="1" x14ac:dyDescent="0.2">
      <c r="A113" s="278">
        <v>43222</v>
      </c>
      <c r="B113" s="281" t="s">
        <v>372</v>
      </c>
      <c r="C113" s="281" t="s">
        <v>373</v>
      </c>
      <c r="D113" s="281" t="s">
        <v>1</v>
      </c>
      <c r="E113" s="282" t="s">
        <v>377</v>
      </c>
      <c r="F113" s="281" t="s">
        <v>365</v>
      </c>
      <c r="G113" s="281" t="s">
        <v>380</v>
      </c>
      <c r="H113" s="283" t="s">
        <v>365</v>
      </c>
      <c r="I113" s="284"/>
      <c r="J113" s="285">
        <v>124.05</v>
      </c>
    </row>
    <row r="114" spans="1:10" s="276" customFormat="1" ht="10.15" customHeight="1" x14ac:dyDescent="0.2">
      <c r="A114" s="278">
        <v>43222</v>
      </c>
      <c r="B114" s="281" t="s">
        <v>372</v>
      </c>
      <c r="C114" s="281" t="s">
        <v>373</v>
      </c>
      <c r="D114" s="281" t="s">
        <v>1</v>
      </c>
      <c r="E114" s="282" t="s">
        <v>377</v>
      </c>
      <c r="F114" s="281" t="s">
        <v>365</v>
      </c>
      <c r="G114" s="281" t="s">
        <v>381</v>
      </c>
      <c r="H114" s="283" t="s">
        <v>365</v>
      </c>
      <c r="I114" s="284"/>
      <c r="J114" s="285">
        <v>11.79</v>
      </c>
    </row>
    <row r="115" spans="1:10" s="276" customFormat="1" ht="10.15" customHeight="1" x14ac:dyDescent="0.2">
      <c r="A115" s="278">
        <v>43222</v>
      </c>
      <c r="B115" s="281" t="s">
        <v>372</v>
      </c>
      <c r="C115" s="281" t="s">
        <v>373</v>
      </c>
      <c r="D115" s="281" t="s">
        <v>1</v>
      </c>
      <c r="E115" s="282" t="s">
        <v>377</v>
      </c>
      <c r="F115" s="281" t="s">
        <v>365</v>
      </c>
      <c r="G115" s="281" t="s">
        <v>382</v>
      </c>
      <c r="H115" s="283" t="s">
        <v>365</v>
      </c>
      <c r="I115" s="284"/>
      <c r="J115" s="285">
        <v>22.64</v>
      </c>
    </row>
    <row r="116" spans="1:10" s="276" customFormat="1" ht="10.15" customHeight="1" x14ac:dyDescent="0.2">
      <c r="A116" s="278">
        <v>43222</v>
      </c>
      <c r="B116" s="281" t="s">
        <v>372</v>
      </c>
      <c r="C116" s="281" t="s">
        <v>373</v>
      </c>
      <c r="D116" s="281" t="s">
        <v>1</v>
      </c>
      <c r="E116" s="282" t="s">
        <v>377</v>
      </c>
      <c r="F116" s="281" t="s">
        <v>369</v>
      </c>
      <c r="G116" s="281" t="s">
        <v>383</v>
      </c>
      <c r="H116" s="283" t="s">
        <v>371</v>
      </c>
      <c r="I116" s="284"/>
      <c r="J116" s="285">
        <v>172.06</v>
      </c>
    </row>
    <row r="117" spans="1:10" s="276" customFormat="1" ht="10.15" customHeight="1" x14ac:dyDescent="0.2">
      <c r="A117" s="278">
        <v>43236</v>
      </c>
      <c r="B117" s="281" t="s">
        <v>372</v>
      </c>
      <c r="C117" s="281" t="s">
        <v>373</v>
      </c>
      <c r="D117" s="281" t="s">
        <v>1</v>
      </c>
      <c r="E117" s="282" t="s">
        <v>361</v>
      </c>
      <c r="F117" s="281" t="s">
        <v>365</v>
      </c>
      <c r="G117" s="281" t="s">
        <v>367</v>
      </c>
      <c r="H117" s="283" t="s">
        <v>365</v>
      </c>
      <c r="I117" s="284"/>
      <c r="J117" s="285">
        <v>0</v>
      </c>
    </row>
    <row r="118" spans="1:10" s="276" customFormat="1" ht="10.15" customHeight="1" x14ac:dyDescent="0.2">
      <c r="A118" s="278">
        <v>43236</v>
      </c>
      <c r="B118" s="281" t="s">
        <v>372</v>
      </c>
      <c r="C118" s="281" t="s">
        <v>373</v>
      </c>
      <c r="D118" s="281" t="s">
        <v>1</v>
      </c>
      <c r="E118" s="282" t="s">
        <v>361</v>
      </c>
      <c r="F118" s="281" t="s">
        <v>369</v>
      </c>
      <c r="G118" s="281" t="s">
        <v>370</v>
      </c>
      <c r="H118" s="283" t="s">
        <v>371</v>
      </c>
      <c r="I118" s="284"/>
      <c r="J118" s="285">
        <v>0</v>
      </c>
    </row>
    <row r="119" spans="1:10" s="276" customFormat="1" ht="18.399999999999999" customHeight="1" x14ac:dyDescent="0.2">
      <c r="A119" s="278">
        <v>43236</v>
      </c>
      <c r="B119" s="281" t="s">
        <v>372</v>
      </c>
      <c r="C119" s="281" t="s">
        <v>373</v>
      </c>
      <c r="D119" s="281" t="s">
        <v>1</v>
      </c>
      <c r="E119" s="282" t="s">
        <v>377</v>
      </c>
      <c r="F119" s="281" t="s">
        <v>362</v>
      </c>
      <c r="G119" s="281" t="s">
        <v>378</v>
      </c>
      <c r="H119" s="283" t="s">
        <v>387</v>
      </c>
      <c r="I119" s="284">
        <v>-19</v>
      </c>
      <c r="J119" s="285">
        <v>-860.3</v>
      </c>
    </row>
    <row r="120" spans="1:10" s="276" customFormat="1" ht="10.15" customHeight="1" x14ac:dyDescent="0.2">
      <c r="A120" s="278">
        <v>43236</v>
      </c>
      <c r="B120" s="281" t="s">
        <v>372</v>
      </c>
      <c r="C120" s="281" t="s">
        <v>373</v>
      </c>
      <c r="D120" s="281" t="s">
        <v>1</v>
      </c>
      <c r="E120" s="282" t="s">
        <v>377</v>
      </c>
      <c r="F120" s="281" t="s">
        <v>365</v>
      </c>
      <c r="G120" s="281" t="s">
        <v>380</v>
      </c>
      <c r="H120" s="283" t="s">
        <v>365</v>
      </c>
      <c r="I120" s="284"/>
      <c r="J120" s="285">
        <v>-58.94</v>
      </c>
    </row>
    <row r="121" spans="1:10" s="276" customFormat="1" ht="10.15" customHeight="1" x14ac:dyDescent="0.2">
      <c r="A121" s="278">
        <v>43236</v>
      </c>
      <c r="B121" s="281" t="s">
        <v>372</v>
      </c>
      <c r="C121" s="281" t="s">
        <v>373</v>
      </c>
      <c r="D121" s="281" t="s">
        <v>1</v>
      </c>
      <c r="E121" s="282" t="s">
        <v>377</v>
      </c>
      <c r="F121" s="281" t="s">
        <v>365</v>
      </c>
      <c r="G121" s="281" t="s">
        <v>381</v>
      </c>
      <c r="H121" s="283" t="s">
        <v>365</v>
      </c>
      <c r="I121" s="284"/>
      <c r="J121" s="285">
        <v>-5.6</v>
      </c>
    </row>
    <row r="122" spans="1:10" s="276" customFormat="1" ht="10.15" customHeight="1" x14ac:dyDescent="0.2">
      <c r="A122" s="278">
        <v>43236</v>
      </c>
      <c r="B122" s="281" t="s">
        <v>372</v>
      </c>
      <c r="C122" s="281" t="s">
        <v>373</v>
      </c>
      <c r="D122" s="281" t="s">
        <v>1</v>
      </c>
      <c r="E122" s="282" t="s">
        <v>377</v>
      </c>
      <c r="F122" s="281" t="s">
        <v>365</v>
      </c>
      <c r="G122" s="281" t="s">
        <v>382</v>
      </c>
      <c r="H122" s="283" t="s">
        <v>365</v>
      </c>
      <c r="I122" s="284"/>
      <c r="J122" s="285">
        <v>-10.76</v>
      </c>
    </row>
    <row r="123" spans="1:10" s="276" customFormat="1" ht="10.15" customHeight="1" x14ac:dyDescent="0.2">
      <c r="A123" s="278">
        <v>43236</v>
      </c>
      <c r="B123" s="281" t="s">
        <v>372</v>
      </c>
      <c r="C123" s="281" t="s">
        <v>373</v>
      </c>
      <c r="D123" s="281" t="s">
        <v>1</v>
      </c>
      <c r="E123" s="282" t="s">
        <v>377</v>
      </c>
      <c r="F123" s="281" t="s">
        <v>369</v>
      </c>
      <c r="G123" s="281" t="s">
        <v>383</v>
      </c>
      <c r="H123" s="283" t="s">
        <v>371</v>
      </c>
      <c r="I123" s="284"/>
      <c r="J123" s="285">
        <v>-81.73</v>
      </c>
    </row>
    <row r="124" spans="1:10" s="276" customFormat="1" ht="10.15" customHeight="1" x14ac:dyDescent="0.2">
      <c r="A124" s="278">
        <v>43250</v>
      </c>
      <c r="B124" s="281" t="s">
        <v>372</v>
      </c>
      <c r="C124" s="281" t="s">
        <v>373</v>
      </c>
      <c r="D124" s="281" t="s">
        <v>1</v>
      </c>
      <c r="E124" s="282" t="s">
        <v>361</v>
      </c>
      <c r="F124" s="281" t="s">
        <v>365</v>
      </c>
      <c r="G124" s="281" t="s">
        <v>367</v>
      </c>
      <c r="H124" s="283" t="s">
        <v>365</v>
      </c>
      <c r="I124" s="284"/>
      <c r="J124" s="285">
        <v>-1.00000000000005E-2</v>
      </c>
    </row>
    <row r="125" spans="1:10" s="276" customFormat="1" ht="10.15" customHeight="1" x14ac:dyDescent="0.2">
      <c r="A125" s="278">
        <v>43250</v>
      </c>
      <c r="B125" s="281" t="s">
        <v>372</v>
      </c>
      <c r="C125" s="281" t="s">
        <v>373</v>
      </c>
      <c r="D125" s="281" t="s">
        <v>1</v>
      </c>
      <c r="E125" s="282" t="s">
        <v>361</v>
      </c>
      <c r="F125" s="281" t="s">
        <v>369</v>
      </c>
      <c r="G125" s="281" t="s">
        <v>370</v>
      </c>
      <c r="H125" s="283" t="s">
        <v>371</v>
      </c>
      <c r="I125" s="284"/>
      <c r="J125" s="285">
        <v>-5.3290705182007498E-15</v>
      </c>
    </row>
    <row r="126" spans="1:10" s="276" customFormat="1" ht="18.399999999999999" customHeight="1" x14ac:dyDescent="0.2">
      <c r="A126" s="278">
        <v>43250</v>
      </c>
      <c r="B126" s="281" t="s">
        <v>372</v>
      </c>
      <c r="C126" s="281" t="s">
        <v>373</v>
      </c>
      <c r="D126" s="281" t="s">
        <v>1</v>
      </c>
      <c r="E126" s="282" t="s">
        <v>377</v>
      </c>
      <c r="F126" s="281" t="s">
        <v>362</v>
      </c>
      <c r="G126" s="281" t="s">
        <v>378</v>
      </c>
      <c r="H126" s="283" t="s">
        <v>387</v>
      </c>
      <c r="I126" s="284">
        <v>4</v>
      </c>
      <c r="J126" s="285">
        <v>181.12</v>
      </c>
    </row>
    <row r="127" spans="1:10" s="276" customFormat="1" ht="10.15" customHeight="1" x14ac:dyDescent="0.2">
      <c r="A127" s="278">
        <v>43250</v>
      </c>
      <c r="B127" s="281" t="s">
        <v>372</v>
      </c>
      <c r="C127" s="281" t="s">
        <v>373</v>
      </c>
      <c r="D127" s="281" t="s">
        <v>1</v>
      </c>
      <c r="E127" s="282" t="s">
        <v>377</v>
      </c>
      <c r="F127" s="281" t="s">
        <v>365</v>
      </c>
      <c r="G127" s="281" t="s">
        <v>380</v>
      </c>
      <c r="H127" s="283" t="s">
        <v>365</v>
      </c>
      <c r="I127" s="284"/>
      <c r="J127" s="285">
        <v>12.4</v>
      </c>
    </row>
    <row r="128" spans="1:10" s="276" customFormat="1" ht="10.15" customHeight="1" x14ac:dyDescent="0.2">
      <c r="A128" s="278">
        <v>43250</v>
      </c>
      <c r="B128" s="281" t="s">
        <v>372</v>
      </c>
      <c r="C128" s="281" t="s">
        <v>373</v>
      </c>
      <c r="D128" s="281" t="s">
        <v>1</v>
      </c>
      <c r="E128" s="282" t="s">
        <v>377</v>
      </c>
      <c r="F128" s="281" t="s">
        <v>365</v>
      </c>
      <c r="G128" s="281" t="s">
        <v>381</v>
      </c>
      <c r="H128" s="283" t="s">
        <v>365</v>
      </c>
      <c r="I128" s="284"/>
      <c r="J128" s="285">
        <v>1.18</v>
      </c>
    </row>
    <row r="129" spans="1:10" s="276" customFormat="1" ht="10.15" customHeight="1" x14ac:dyDescent="0.2">
      <c r="A129" s="278">
        <v>43250</v>
      </c>
      <c r="B129" s="281" t="s">
        <v>372</v>
      </c>
      <c r="C129" s="281" t="s">
        <v>373</v>
      </c>
      <c r="D129" s="281" t="s">
        <v>1</v>
      </c>
      <c r="E129" s="282" t="s">
        <v>377</v>
      </c>
      <c r="F129" s="281" t="s">
        <v>365</v>
      </c>
      <c r="G129" s="281" t="s">
        <v>382</v>
      </c>
      <c r="H129" s="283" t="s">
        <v>365</v>
      </c>
      <c r="I129" s="284"/>
      <c r="J129" s="285">
        <v>2.2599999999999998</v>
      </c>
    </row>
    <row r="130" spans="1:10" s="276" customFormat="1" ht="10.15" customHeight="1" x14ac:dyDescent="0.2">
      <c r="A130" s="278">
        <v>43250</v>
      </c>
      <c r="B130" s="281" t="s">
        <v>372</v>
      </c>
      <c r="C130" s="281" t="s">
        <v>373</v>
      </c>
      <c r="D130" s="281" t="s">
        <v>1</v>
      </c>
      <c r="E130" s="282" t="s">
        <v>377</v>
      </c>
      <c r="F130" s="281" t="s">
        <v>369</v>
      </c>
      <c r="G130" s="281" t="s">
        <v>383</v>
      </c>
      <c r="H130" s="283" t="s">
        <v>371</v>
      </c>
      <c r="I130" s="284"/>
      <c r="J130" s="285">
        <v>17.21</v>
      </c>
    </row>
    <row r="131" spans="1:10" s="276" customFormat="1" ht="18.399999999999999" customHeight="1" x14ac:dyDescent="0.2">
      <c r="A131" s="278">
        <v>43264</v>
      </c>
      <c r="B131" s="281" t="s">
        <v>372</v>
      </c>
      <c r="C131" s="281" t="s">
        <v>373</v>
      </c>
      <c r="D131" s="281" t="s">
        <v>1</v>
      </c>
      <c r="E131" s="282" t="s">
        <v>377</v>
      </c>
      <c r="F131" s="281" t="s">
        <v>362</v>
      </c>
      <c r="G131" s="281" t="s">
        <v>378</v>
      </c>
      <c r="H131" s="283" t="s">
        <v>387</v>
      </c>
      <c r="I131" s="284">
        <v>4</v>
      </c>
      <c r="J131" s="285">
        <v>181.12</v>
      </c>
    </row>
    <row r="132" spans="1:10" s="276" customFormat="1" ht="10.15" customHeight="1" x14ac:dyDescent="0.2">
      <c r="A132" s="278">
        <v>43264</v>
      </c>
      <c r="B132" s="281" t="s">
        <v>372</v>
      </c>
      <c r="C132" s="281" t="s">
        <v>373</v>
      </c>
      <c r="D132" s="281" t="s">
        <v>1</v>
      </c>
      <c r="E132" s="282" t="s">
        <v>377</v>
      </c>
      <c r="F132" s="281" t="s">
        <v>365</v>
      </c>
      <c r="G132" s="281" t="s">
        <v>380</v>
      </c>
      <c r="H132" s="283" t="s">
        <v>365</v>
      </c>
      <c r="I132" s="284"/>
      <c r="J132" s="285">
        <v>12.4</v>
      </c>
    </row>
    <row r="133" spans="1:10" s="276" customFormat="1" ht="10.15" customHeight="1" x14ac:dyDescent="0.2">
      <c r="A133" s="278">
        <v>43264</v>
      </c>
      <c r="B133" s="281" t="s">
        <v>372</v>
      </c>
      <c r="C133" s="281" t="s">
        <v>373</v>
      </c>
      <c r="D133" s="281" t="s">
        <v>1</v>
      </c>
      <c r="E133" s="282" t="s">
        <v>377</v>
      </c>
      <c r="F133" s="281" t="s">
        <v>365</v>
      </c>
      <c r="G133" s="281" t="s">
        <v>382</v>
      </c>
      <c r="H133" s="283" t="s">
        <v>365</v>
      </c>
      <c r="I133" s="284"/>
      <c r="J133" s="285">
        <v>2.2599999999999998</v>
      </c>
    </row>
    <row r="134" spans="1:10" s="276" customFormat="1" ht="10.15" customHeight="1" x14ac:dyDescent="0.2">
      <c r="A134" s="278">
        <v>43278</v>
      </c>
      <c r="B134" s="281" t="s">
        <v>372</v>
      </c>
      <c r="C134" s="281" t="s">
        <v>373</v>
      </c>
      <c r="D134" s="281" t="s">
        <v>1</v>
      </c>
      <c r="E134" s="282" t="s">
        <v>377</v>
      </c>
      <c r="F134" s="281" t="s">
        <v>362</v>
      </c>
      <c r="G134" s="281" t="s">
        <v>378</v>
      </c>
      <c r="H134" s="283" t="s">
        <v>387</v>
      </c>
      <c r="I134" s="284">
        <v>4</v>
      </c>
      <c r="J134" s="285">
        <v>181.12</v>
      </c>
    </row>
    <row r="135" spans="1:10" s="276" customFormat="1" ht="10.15" customHeight="1" x14ac:dyDescent="0.2">
      <c r="A135" s="278">
        <v>43278</v>
      </c>
      <c r="B135" s="281" t="s">
        <v>372</v>
      </c>
      <c r="C135" s="281" t="s">
        <v>373</v>
      </c>
      <c r="D135" s="281" t="s">
        <v>1</v>
      </c>
      <c r="E135" s="282" t="s">
        <v>377</v>
      </c>
      <c r="F135" s="281" t="s">
        <v>365</v>
      </c>
      <c r="G135" s="281" t="s">
        <v>380</v>
      </c>
      <c r="H135" s="283" t="s">
        <v>365</v>
      </c>
      <c r="I135" s="284"/>
      <c r="J135" s="285">
        <v>12.4</v>
      </c>
    </row>
    <row r="136" spans="1:10" s="276" customFormat="1" ht="18.399999999999999" customHeight="1" x14ac:dyDescent="0.2">
      <c r="A136" s="278">
        <v>43278</v>
      </c>
      <c r="B136" s="281" t="s">
        <v>372</v>
      </c>
      <c r="C136" s="281" t="s">
        <v>373</v>
      </c>
      <c r="D136" s="281" t="s">
        <v>1</v>
      </c>
      <c r="E136" s="282" t="s">
        <v>377</v>
      </c>
      <c r="F136" s="281" t="s">
        <v>365</v>
      </c>
      <c r="G136" s="281" t="s">
        <v>382</v>
      </c>
      <c r="H136" s="283" t="s">
        <v>365</v>
      </c>
      <c r="I136" s="284"/>
      <c r="J136" s="285">
        <v>2.2599999999999998</v>
      </c>
    </row>
    <row r="137" spans="1:10" s="276" customFormat="1" ht="10.15" customHeight="1" x14ac:dyDescent="0.2">
      <c r="A137" s="278">
        <v>43292</v>
      </c>
      <c r="B137" s="281" t="s">
        <v>372</v>
      </c>
      <c r="C137" s="281" t="s">
        <v>373</v>
      </c>
      <c r="D137" s="281" t="s">
        <v>1</v>
      </c>
      <c r="E137" s="282" t="s">
        <v>377</v>
      </c>
      <c r="F137" s="281" t="s">
        <v>362</v>
      </c>
      <c r="G137" s="281" t="s">
        <v>378</v>
      </c>
      <c r="H137" s="283" t="s">
        <v>387</v>
      </c>
      <c r="I137" s="284">
        <v>7</v>
      </c>
      <c r="J137" s="285">
        <v>316.95</v>
      </c>
    </row>
    <row r="138" spans="1:10" s="276" customFormat="1" ht="10.15" customHeight="1" x14ac:dyDescent="0.2">
      <c r="A138" s="278">
        <v>43292</v>
      </c>
      <c r="B138" s="281" t="s">
        <v>372</v>
      </c>
      <c r="C138" s="281" t="s">
        <v>373</v>
      </c>
      <c r="D138" s="281" t="s">
        <v>1</v>
      </c>
      <c r="E138" s="282" t="s">
        <v>377</v>
      </c>
      <c r="F138" s="281" t="s">
        <v>365</v>
      </c>
      <c r="G138" s="281" t="s">
        <v>380</v>
      </c>
      <c r="H138" s="283" t="s">
        <v>365</v>
      </c>
      <c r="I138" s="284"/>
      <c r="J138" s="285">
        <v>21.71</v>
      </c>
    </row>
    <row r="139" spans="1:10" s="276" customFormat="1" ht="10.15" customHeight="1" x14ac:dyDescent="0.2">
      <c r="A139" s="278">
        <v>43292</v>
      </c>
      <c r="B139" s="281" t="s">
        <v>372</v>
      </c>
      <c r="C139" s="281" t="s">
        <v>373</v>
      </c>
      <c r="D139" s="281" t="s">
        <v>1</v>
      </c>
      <c r="E139" s="282" t="s">
        <v>377</v>
      </c>
      <c r="F139" s="281" t="s">
        <v>365</v>
      </c>
      <c r="G139" s="281" t="s">
        <v>382</v>
      </c>
      <c r="H139" s="283" t="s">
        <v>365</v>
      </c>
      <c r="I139" s="284"/>
      <c r="J139" s="285">
        <v>3.96</v>
      </c>
    </row>
    <row r="140" spans="1:10" s="276" customFormat="1" ht="26.45" customHeight="1" x14ac:dyDescent="0.15">
      <c r="A140" s="277" t="s">
        <v>347</v>
      </c>
      <c r="B140" s="277" t="s">
        <v>348</v>
      </c>
      <c r="C140" s="277" t="s">
        <v>349</v>
      </c>
      <c r="D140" s="277" t="s">
        <v>350</v>
      </c>
      <c r="E140" s="277" t="s">
        <v>351</v>
      </c>
      <c r="F140" s="277" t="s">
        <v>352</v>
      </c>
      <c r="G140" s="277" t="s">
        <v>353</v>
      </c>
      <c r="H140" s="277" t="s">
        <v>354</v>
      </c>
      <c r="I140" s="277" t="s">
        <v>355</v>
      </c>
      <c r="J140" s="277" t="s">
        <v>356</v>
      </c>
    </row>
    <row r="141" spans="1:10" s="276" customFormat="1" ht="10.15" customHeight="1" x14ac:dyDescent="0.2">
      <c r="A141" s="278">
        <v>43180</v>
      </c>
      <c r="B141" s="281" t="s">
        <v>388</v>
      </c>
      <c r="C141" s="281" t="s">
        <v>389</v>
      </c>
      <c r="D141" s="281" t="s">
        <v>9</v>
      </c>
      <c r="E141" s="282" t="s">
        <v>386</v>
      </c>
      <c r="F141" s="281" t="s">
        <v>362</v>
      </c>
      <c r="G141" s="281" t="s">
        <v>378</v>
      </c>
      <c r="H141" s="283" t="s">
        <v>387</v>
      </c>
      <c r="I141" s="284">
        <v>5</v>
      </c>
      <c r="J141" s="285">
        <v>226.4</v>
      </c>
    </row>
    <row r="142" spans="1:10" s="276" customFormat="1" ht="18.399999999999999" customHeight="1" x14ac:dyDescent="0.2">
      <c r="A142" s="278">
        <v>43180</v>
      </c>
      <c r="B142" s="281" t="s">
        <v>388</v>
      </c>
      <c r="C142" s="281" t="s">
        <v>389</v>
      </c>
      <c r="D142" s="281" t="s">
        <v>9</v>
      </c>
      <c r="E142" s="282" t="s">
        <v>386</v>
      </c>
      <c r="F142" s="281" t="s">
        <v>365</v>
      </c>
      <c r="G142" s="281" t="s">
        <v>380</v>
      </c>
      <c r="H142" s="283" t="s">
        <v>365</v>
      </c>
      <c r="I142" s="284"/>
      <c r="J142" s="285">
        <v>15.51</v>
      </c>
    </row>
    <row r="143" spans="1:10" s="276" customFormat="1" ht="10.15" customHeight="1" x14ac:dyDescent="0.2">
      <c r="A143" s="278">
        <v>43180</v>
      </c>
      <c r="B143" s="281" t="s">
        <v>388</v>
      </c>
      <c r="C143" s="281" t="s">
        <v>389</v>
      </c>
      <c r="D143" s="281" t="s">
        <v>9</v>
      </c>
      <c r="E143" s="282" t="s">
        <v>386</v>
      </c>
      <c r="F143" s="281" t="s">
        <v>365</v>
      </c>
      <c r="G143" s="281" t="s">
        <v>381</v>
      </c>
      <c r="H143" s="283" t="s">
        <v>365</v>
      </c>
      <c r="I143" s="284"/>
      <c r="J143" s="285">
        <v>1.47</v>
      </c>
    </row>
    <row r="144" spans="1:10" s="276" customFormat="1" ht="10.15" customHeight="1" x14ac:dyDescent="0.2">
      <c r="A144" s="278">
        <v>43180</v>
      </c>
      <c r="B144" s="281" t="s">
        <v>388</v>
      </c>
      <c r="C144" s="281" t="s">
        <v>389</v>
      </c>
      <c r="D144" s="281" t="s">
        <v>9</v>
      </c>
      <c r="E144" s="282" t="s">
        <v>386</v>
      </c>
      <c r="F144" s="281" t="s">
        <v>365</v>
      </c>
      <c r="G144" s="281" t="s">
        <v>382</v>
      </c>
      <c r="H144" s="283" t="s">
        <v>365</v>
      </c>
      <c r="I144" s="284"/>
      <c r="J144" s="285">
        <v>2.83</v>
      </c>
    </row>
    <row r="145" spans="1:10" s="276" customFormat="1" ht="18.399999999999999" customHeight="1" x14ac:dyDescent="0.2">
      <c r="A145" s="278">
        <v>43180</v>
      </c>
      <c r="B145" s="281" t="s">
        <v>388</v>
      </c>
      <c r="C145" s="281" t="s">
        <v>389</v>
      </c>
      <c r="D145" s="281" t="s">
        <v>9</v>
      </c>
      <c r="E145" s="282" t="s">
        <v>386</v>
      </c>
      <c r="F145" s="281" t="s">
        <v>369</v>
      </c>
      <c r="G145" s="281" t="s">
        <v>383</v>
      </c>
      <c r="H145" s="283" t="s">
        <v>371</v>
      </c>
      <c r="I145" s="284"/>
      <c r="J145" s="285">
        <v>21.51</v>
      </c>
    </row>
    <row r="146" spans="1:10" s="276" customFormat="1" ht="10.15" customHeight="1" x14ac:dyDescent="0.2">
      <c r="A146" s="278">
        <v>43194</v>
      </c>
      <c r="B146" s="281" t="s">
        <v>388</v>
      </c>
      <c r="C146" s="281" t="s">
        <v>389</v>
      </c>
      <c r="D146" s="281" t="s">
        <v>9</v>
      </c>
      <c r="E146" s="282" t="s">
        <v>386</v>
      </c>
      <c r="F146" s="281" t="s">
        <v>362</v>
      </c>
      <c r="G146" s="281" t="s">
        <v>378</v>
      </c>
      <c r="H146" s="283" t="s">
        <v>387</v>
      </c>
      <c r="I146" s="284">
        <v>5</v>
      </c>
      <c r="J146" s="285">
        <v>226.4</v>
      </c>
    </row>
    <row r="147" spans="1:10" s="276" customFormat="1" ht="10.15" customHeight="1" x14ac:dyDescent="0.2">
      <c r="A147" s="278">
        <v>43194</v>
      </c>
      <c r="B147" s="281" t="s">
        <v>388</v>
      </c>
      <c r="C147" s="281" t="s">
        <v>389</v>
      </c>
      <c r="D147" s="281" t="s">
        <v>9</v>
      </c>
      <c r="E147" s="282" t="s">
        <v>386</v>
      </c>
      <c r="F147" s="281" t="s">
        <v>365</v>
      </c>
      <c r="G147" s="281" t="s">
        <v>380</v>
      </c>
      <c r="H147" s="283" t="s">
        <v>365</v>
      </c>
      <c r="I147" s="284"/>
      <c r="J147" s="285">
        <v>15.51</v>
      </c>
    </row>
    <row r="148" spans="1:10" s="276" customFormat="1" ht="18.399999999999999" customHeight="1" x14ac:dyDescent="0.2">
      <c r="A148" s="278">
        <v>43194</v>
      </c>
      <c r="B148" s="281" t="s">
        <v>388</v>
      </c>
      <c r="C148" s="281" t="s">
        <v>389</v>
      </c>
      <c r="D148" s="281" t="s">
        <v>9</v>
      </c>
      <c r="E148" s="282" t="s">
        <v>386</v>
      </c>
      <c r="F148" s="281" t="s">
        <v>365</v>
      </c>
      <c r="G148" s="281" t="s">
        <v>381</v>
      </c>
      <c r="H148" s="283" t="s">
        <v>365</v>
      </c>
      <c r="I148" s="284"/>
      <c r="J148" s="285">
        <v>1.47</v>
      </c>
    </row>
    <row r="149" spans="1:10" s="276" customFormat="1" ht="10.15" customHeight="1" x14ac:dyDescent="0.2">
      <c r="A149" s="278">
        <v>43194</v>
      </c>
      <c r="B149" s="281" t="s">
        <v>388</v>
      </c>
      <c r="C149" s="281" t="s">
        <v>389</v>
      </c>
      <c r="D149" s="281" t="s">
        <v>9</v>
      </c>
      <c r="E149" s="282" t="s">
        <v>386</v>
      </c>
      <c r="F149" s="281" t="s">
        <v>365</v>
      </c>
      <c r="G149" s="281" t="s">
        <v>382</v>
      </c>
      <c r="H149" s="283" t="s">
        <v>365</v>
      </c>
      <c r="I149" s="284"/>
      <c r="J149" s="285">
        <v>2.83</v>
      </c>
    </row>
    <row r="150" spans="1:10" s="276" customFormat="1" ht="10.15" customHeight="1" x14ac:dyDescent="0.2">
      <c r="A150" s="278">
        <v>43194</v>
      </c>
      <c r="B150" s="281" t="s">
        <v>388</v>
      </c>
      <c r="C150" s="281" t="s">
        <v>389</v>
      </c>
      <c r="D150" s="281" t="s">
        <v>9</v>
      </c>
      <c r="E150" s="282" t="s">
        <v>386</v>
      </c>
      <c r="F150" s="281" t="s">
        <v>369</v>
      </c>
      <c r="G150" s="281" t="s">
        <v>383</v>
      </c>
      <c r="H150" s="283" t="s">
        <v>371</v>
      </c>
      <c r="I150" s="284"/>
      <c r="J150" s="285">
        <v>21.51</v>
      </c>
    </row>
    <row r="151" spans="1:10" s="276" customFormat="1" ht="10.15" customHeight="1" x14ac:dyDescent="0.2">
      <c r="A151" s="278">
        <v>43222</v>
      </c>
      <c r="B151" s="281" t="s">
        <v>388</v>
      </c>
      <c r="C151" s="281" t="s">
        <v>389</v>
      </c>
      <c r="D151" s="281" t="s">
        <v>9</v>
      </c>
      <c r="E151" s="282" t="s">
        <v>386</v>
      </c>
      <c r="F151" s="281" t="s">
        <v>362</v>
      </c>
      <c r="G151" s="281" t="s">
        <v>378</v>
      </c>
      <c r="H151" s="283" t="s">
        <v>387</v>
      </c>
      <c r="I151" s="284">
        <v>18</v>
      </c>
      <c r="J151" s="285">
        <v>815.01</v>
      </c>
    </row>
    <row r="152" spans="1:10" s="276" customFormat="1" ht="10.15" customHeight="1" x14ac:dyDescent="0.2">
      <c r="A152" s="278">
        <v>43222</v>
      </c>
      <c r="B152" s="281" t="s">
        <v>388</v>
      </c>
      <c r="C152" s="281" t="s">
        <v>389</v>
      </c>
      <c r="D152" s="281" t="s">
        <v>9</v>
      </c>
      <c r="E152" s="282" t="s">
        <v>386</v>
      </c>
      <c r="F152" s="281" t="s">
        <v>365</v>
      </c>
      <c r="G152" s="281" t="s">
        <v>380</v>
      </c>
      <c r="H152" s="283" t="s">
        <v>365</v>
      </c>
      <c r="I152" s="284"/>
      <c r="J152" s="285">
        <v>55.83</v>
      </c>
    </row>
    <row r="153" spans="1:10" s="276" customFormat="1" ht="18.399999999999999" customHeight="1" x14ac:dyDescent="0.2">
      <c r="A153" s="278">
        <v>43222</v>
      </c>
      <c r="B153" s="281" t="s">
        <v>388</v>
      </c>
      <c r="C153" s="281" t="s">
        <v>389</v>
      </c>
      <c r="D153" s="281" t="s">
        <v>9</v>
      </c>
      <c r="E153" s="282" t="s">
        <v>386</v>
      </c>
      <c r="F153" s="281" t="s">
        <v>365</v>
      </c>
      <c r="G153" s="281" t="s">
        <v>381</v>
      </c>
      <c r="H153" s="283" t="s">
        <v>365</v>
      </c>
      <c r="I153" s="284"/>
      <c r="J153" s="285">
        <v>5.31</v>
      </c>
    </row>
    <row r="154" spans="1:10" s="276" customFormat="1" ht="10.15" customHeight="1" x14ac:dyDescent="0.2">
      <c r="A154" s="278">
        <v>43222</v>
      </c>
      <c r="B154" s="281" t="s">
        <v>388</v>
      </c>
      <c r="C154" s="281" t="s">
        <v>389</v>
      </c>
      <c r="D154" s="281" t="s">
        <v>9</v>
      </c>
      <c r="E154" s="282" t="s">
        <v>386</v>
      </c>
      <c r="F154" s="281" t="s">
        <v>365</v>
      </c>
      <c r="G154" s="281" t="s">
        <v>382</v>
      </c>
      <c r="H154" s="283" t="s">
        <v>365</v>
      </c>
      <c r="I154" s="284"/>
      <c r="J154" s="285">
        <v>10.19</v>
      </c>
    </row>
    <row r="155" spans="1:10" s="276" customFormat="1" ht="10.15" customHeight="1" x14ac:dyDescent="0.2">
      <c r="A155" s="278">
        <v>43222</v>
      </c>
      <c r="B155" s="281" t="s">
        <v>388</v>
      </c>
      <c r="C155" s="281" t="s">
        <v>389</v>
      </c>
      <c r="D155" s="281" t="s">
        <v>9</v>
      </c>
      <c r="E155" s="282" t="s">
        <v>386</v>
      </c>
      <c r="F155" s="281" t="s">
        <v>369</v>
      </c>
      <c r="G155" s="281" t="s">
        <v>383</v>
      </c>
      <c r="H155" s="283" t="s">
        <v>371</v>
      </c>
      <c r="I155" s="284"/>
      <c r="J155" s="285">
        <v>77.430000000000007</v>
      </c>
    </row>
    <row r="156" spans="1:10" s="276" customFormat="1" ht="10.15" customHeight="1" x14ac:dyDescent="0.2">
      <c r="A156" s="278">
        <v>43236</v>
      </c>
      <c r="B156" s="281" t="s">
        <v>388</v>
      </c>
      <c r="C156" s="281" t="s">
        <v>389</v>
      </c>
      <c r="D156" s="281" t="s">
        <v>9</v>
      </c>
      <c r="E156" s="282" t="s">
        <v>386</v>
      </c>
      <c r="F156" s="281" t="s">
        <v>362</v>
      </c>
      <c r="G156" s="281" t="s">
        <v>378</v>
      </c>
      <c r="H156" s="283" t="s">
        <v>387</v>
      </c>
      <c r="I156" s="284">
        <v>10</v>
      </c>
      <c r="J156" s="285">
        <v>452.79</v>
      </c>
    </row>
    <row r="157" spans="1:10" s="276" customFormat="1" ht="10.15" customHeight="1" x14ac:dyDescent="0.2">
      <c r="A157" s="278">
        <v>43236</v>
      </c>
      <c r="B157" s="281" t="s">
        <v>388</v>
      </c>
      <c r="C157" s="281" t="s">
        <v>389</v>
      </c>
      <c r="D157" s="281" t="s">
        <v>9</v>
      </c>
      <c r="E157" s="282" t="s">
        <v>386</v>
      </c>
      <c r="F157" s="281" t="s">
        <v>365</v>
      </c>
      <c r="G157" s="281" t="s">
        <v>380</v>
      </c>
      <c r="H157" s="283" t="s">
        <v>365</v>
      </c>
      <c r="I157" s="284"/>
      <c r="J157" s="285">
        <v>31.02</v>
      </c>
    </row>
    <row r="158" spans="1:10" s="276" customFormat="1" ht="18.399999999999999" customHeight="1" x14ac:dyDescent="0.2">
      <c r="A158" s="278">
        <v>43236</v>
      </c>
      <c r="B158" s="281" t="s">
        <v>388</v>
      </c>
      <c r="C158" s="281" t="s">
        <v>389</v>
      </c>
      <c r="D158" s="281" t="s">
        <v>9</v>
      </c>
      <c r="E158" s="282" t="s">
        <v>386</v>
      </c>
      <c r="F158" s="281" t="s">
        <v>365</v>
      </c>
      <c r="G158" s="281" t="s">
        <v>381</v>
      </c>
      <c r="H158" s="283" t="s">
        <v>365</v>
      </c>
      <c r="I158" s="284"/>
      <c r="J158" s="285">
        <v>2.95</v>
      </c>
    </row>
    <row r="159" spans="1:10" s="276" customFormat="1" ht="10.15" customHeight="1" x14ac:dyDescent="0.2">
      <c r="A159" s="278">
        <v>43236</v>
      </c>
      <c r="B159" s="281" t="s">
        <v>388</v>
      </c>
      <c r="C159" s="281" t="s">
        <v>389</v>
      </c>
      <c r="D159" s="281" t="s">
        <v>9</v>
      </c>
      <c r="E159" s="282" t="s">
        <v>386</v>
      </c>
      <c r="F159" s="281" t="s">
        <v>365</v>
      </c>
      <c r="G159" s="281" t="s">
        <v>382</v>
      </c>
      <c r="H159" s="283" t="s">
        <v>365</v>
      </c>
      <c r="I159" s="284"/>
      <c r="J159" s="285">
        <v>5.66</v>
      </c>
    </row>
    <row r="160" spans="1:10" s="276" customFormat="1" ht="10.15" customHeight="1" x14ac:dyDescent="0.2">
      <c r="A160" s="278">
        <v>43236</v>
      </c>
      <c r="B160" s="281" t="s">
        <v>388</v>
      </c>
      <c r="C160" s="281" t="s">
        <v>389</v>
      </c>
      <c r="D160" s="281" t="s">
        <v>9</v>
      </c>
      <c r="E160" s="282" t="s">
        <v>386</v>
      </c>
      <c r="F160" s="281" t="s">
        <v>369</v>
      </c>
      <c r="G160" s="281" t="s">
        <v>383</v>
      </c>
      <c r="H160" s="283" t="s">
        <v>371</v>
      </c>
      <c r="I160" s="284"/>
      <c r="J160" s="285">
        <v>43.02</v>
      </c>
    </row>
    <row r="161" spans="1:10" s="276" customFormat="1" ht="18.399999999999999" customHeight="1" x14ac:dyDescent="0.2">
      <c r="A161" s="278">
        <v>43250</v>
      </c>
      <c r="B161" s="281" t="s">
        <v>388</v>
      </c>
      <c r="C161" s="281" t="s">
        <v>389</v>
      </c>
      <c r="D161" s="281" t="s">
        <v>9</v>
      </c>
      <c r="E161" s="282" t="s">
        <v>386</v>
      </c>
      <c r="F161" s="281" t="s">
        <v>362</v>
      </c>
      <c r="G161" s="281" t="s">
        <v>378</v>
      </c>
      <c r="H161" s="283" t="s">
        <v>387</v>
      </c>
      <c r="I161" s="284">
        <v>14</v>
      </c>
      <c r="J161" s="285">
        <v>633.91</v>
      </c>
    </row>
    <row r="162" spans="1:10" s="276" customFormat="1" ht="10.15" customHeight="1" x14ac:dyDescent="0.2">
      <c r="A162" s="278">
        <v>43250</v>
      </c>
      <c r="B162" s="281" t="s">
        <v>388</v>
      </c>
      <c r="C162" s="281" t="s">
        <v>389</v>
      </c>
      <c r="D162" s="281" t="s">
        <v>9</v>
      </c>
      <c r="E162" s="282" t="s">
        <v>386</v>
      </c>
      <c r="F162" s="281" t="s">
        <v>365</v>
      </c>
      <c r="G162" s="281" t="s">
        <v>380</v>
      </c>
      <c r="H162" s="283" t="s">
        <v>365</v>
      </c>
      <c r="I162" s="284"/>
      <c r="J162" s="285">
        <v>43.42</v>
      </c>
    </row>
    <row r="163" spans="1:10" s="276" customFormat="1" ht="10.15" customHeight="1" x14ac:dyDescent="0.2">
      <c r="A163" s="278">
        <v>43250</v>
      </c>
      <c r="B163" s="281" t="s">
        <v>388</v>
      </c>
      <c r="C163" s="281" t="s">
        <v>389</v>
      </c>
      <c r="D163" s="281" t="s">
        <v>9</v>
      </c>
      <c r="E163" s="282" t="s">
        <v>386</v>
      </c>
      <c r="F163" s="281" t="s">
        <v>365</v>
      </c>
      <c r="G163" s="281" t="s">
        <v>381</v>
      </c>
      <c r="H163" s="283" t="s">
        <v>365</v>
      </c>
      <c r="I163" s="284"/>
      <c r="J163" s="285">
        <v>4.1399999999999997</v>
      </c>
    </row>
    <row r="164" spans="1:10" s="276" customFormat="1" ht="18.399999999999999" customHeight="1" x14ac:dyDescent="0.2">
      <c r="A164" s="278">
        <v>43250</v>
      </c>
      <c r="B164" s="281" t="s">
        <v>388</v>
      </c>
      <c r="C164" s="281" t="s">
        <v>389</v>
      </c>
      <c r="D164" s="281" t="s">
        <v>9</v>
      </c>
      <c r="E164" s="282" t="s">
        <v>386</v>
      </c>
      <c r="F164" s="281" t="s">
        <v>365</v>
      </c>
      <c r="G164" s="281" t="s">
        <v>382</v>
      </c>
      <c r="H164" s="283" t="s">
        <v>365</v>
      </c>
      <c r="I164" s="284"/>
      <c r="J164" s="285">
        <v>7.92</v>
      </c>
    </row>
    <row r="165" spans="1:10" s="276" customFormat="1" ht="18.399999999999999" customHeight="1" x14ac:dyDescent="0.2">
      <c r="A165" s="278">
        <v>43250</v>
      </c>
      <c r="B165" s="281" t="s">
        <v>388</v>
      </c>
      <c r="C165" s="281" t="s">
        <v>389</v>
      </c>
      <c r="D165" s="281" t="s">
        <v>9</v>
      </c>
      <c r="E165" s="282" t="s">
        <v>386</v>
      </c>
      <c r="F165" s="281" t="s">
        <v>369</v>
      </c>
      <c r="G165" s="281" t="s">
        <v>383</v>
      </c>
      <c r="H165" s="283" t="s">
        <v>371</v>
      </c>
      <c r="I165" s="284"/>
      <c r="J165" s="285">
        <v>60.22</v>
      </c>
    </row>
    <row r="166" spans="1:10" s="276" customFormat="1" ht="10.15" customHeight="1" x14ac:dyDescent="0.2">
      <c r="A166" s="278">
        <v>43264</v>
      </c>
      <c r="B166" s="281" t="s">
        <v>388</v>
      </c>
      <c r="C166" s="281" t="s">
        <v>389</v>
      </c>
      <c r="D166" s="281" t="s">
        <v>9</v>
      </c>
      <c r="E166" s="282" t="s">
        <v>386</v>
      </c>
      <c r="F166" s="281" t="s">
        <v>362</v>
      </c>
      <c r="G166" s="281" t="s">
        <v>378</v>
      </c>
      <c r="H166" s="283" t="s">
        <v>387</v>
      </c>
      <c r="I166" s="284">
        <v>14</v>
      </c>
      <c r="J166" s="285">
        <v>633.91</v>
      </c>
    </row>
    <row r="167" spans="1:10" s="276" customFormat="1" ht="10.15" customHeight="1" x14ac:dyDescent="0.2">
      <c r="A167" s="278">
        <v>43264</v>
      </c>
      <c r="B167" s="281" t="s">
        <v>388</v>
      </c>
      <c r="C167" s="281" t="s">
        <v>389</v>
      </c>
      <c r="D167" s="281" t="s">
        <v>9</v>
      </c>
      <c r="E167" s="282" t="s">
        <v>386</v>
      </c>
      <c r="F167" s="281" t="s">
        <v>365</v>
      </c>
      <c r="G167" s="281" t="s">
        <v>380</v>
      </c>
      <c r="H167" s="283" t="s">
        <v>365</v>
      </c>
      <c r="I167" s="284"/>
      <c r="J167" s="285">
        <v>43.42</v>
      </c>
    </row>
    <row r="168" spans="1:10" s="276" customFormat="1" ht="10.15" customHeight="1" x14ac:dyDescent="0.2">
      <c r="A168" s="278">
        <v>43264</v>
      </c>
      <c r="B168" s="281" t="s">
        <v>388</v>
      </c>
      <c r="C168" s="281" t="s">
        <v>389</v>
      </c>
      <c r="D168" s="281" t="s">
        <v>9</v>
      </c>
      <c r="E168" s="282" t="s">
        <v>386</v>
      </c>
      <c r="F168" s="281" t="s">
        <v>365</v>
      </c>
      <c r="G168" s="281" t="s">
        <v>381</v>
      </c>
      <c r="H168" s="283" t="s">
        <v>365</v>
      </c>
      <c r="I168" s="284"/>
      <c r="J168" s="285">
        <v>4.13</v>
      </c>
    </row>
    <row r="169" spans="1:10" s="276" customFormat="1" ht="10.15" customHeight="1" x14ac:dyDescent="0.2">
      <c r="A169" s="278">
        <v>43264</v>
      </c>
      <c r="B169" s="281" t="s">
        <v>388</v>
      </c>
      <c r="C169" s="281" t="s">
        <v>389</v>
      </c>
      <c r="D169" s="281" t="s">
        <v>9</v>
      </c>
      <c r="E169" s="282" t="s">
        <v>386</v>
      </c>
      <c r="F169" s="281" t="s">
        <v>365</v>
      </c>
      <c r="G169" s="281" t="s">
        <v>382</v>
      </c>
      <c r="H169" s="283" t="s">
        <v>365</v>
      </c>
      <c r="I169" s="284"/>
      <c r="J169" s="285">
        <v>7.92</v>
      </c>
    </row>
    <row r="170" spans="1:10" s="276" customFormat="1" ht="18.399999999999999" customHeight="1" x14ac:dyDescent="0.2">
      <c r="A170" s="278">
        <v>43264</v>
      </c>
      <c r="B170" s="281" t="s">
        <v>388</v>
      </c>
      <c r="C170" s="281" t="s">
        <v>389</v>
      </c>
      <c r="D170" s="281" t="s">
        <v>9</v>
      </c>
      <c r="E170" s="282" t="s">
        <v>386</v>
      </c>
      <c r="F170" s="281" t="s">
        <v>369</v>
      </c>
      <c r="G170" s="281" t="s">
        <v>383</v>
      </c>
      <c r="H170" s="283" t="s">
        <v>371</v>
      </c>
      <c r="I170" s="284"/>
      <c r="J170" s="285">
        <v>60.22</v>
      </c>
    </row>
    <row r="171" spans="1:10" s="276" customFormat="1" ht="10.15" customHeight="1" x14ac:dyDescent="0.2">
      <c r="A171" s="278">
        <v>43278</v>
      </c>
      <c r="B171" s="281" t="s">
        <v>388</v>
      </c>
      <c r="C171" s="281" t="s">
        <v>389</v>
      </c>
      <c r="D171" s="281" t="s">
        <v>9</v>
      </c>
      <c r="E171" s="282" t="s">
        <v>386</v>
      </c>
      <c r="F171" s="281" t="s">
        <v>362</v>
      </c>
      <c r="G171" s="281" t="s">
        <v>378</v>
      </c>
      <c r="H171" s="283" t="s">
        <v>387</v>
      </c>
      <c r="I171" s="284">
        <v>14</v>
      </c>
      <c r="J171" s="285">
        <v>633.91</v>
      </c>
    </row>
    <row r="172" spans="1:10" s="276" customFormat="1" ht="10.15" customHeight="1" x14ac:dyDescent="0.2">
      <c r="A172" s="278">
        <v>43278</v>
      </c>
      <c r="B172" s="281" t="s">
        <v>388</v>
      </c>
      <c r="C172" s="281" t="s">
        <v>389</v>
      </c>
      <c r="D172" s="281" t="s">
        <v>9</v>
      </c>
      <c r="E172" s="282" t="s">
        <v>386</v>
      </c>
      <c r="F172" s="281" t="s">
        <v>365</v>
      </c>
      <c r="G172" s="281" t="s">
        <v>380</v>
      </c>
      <c r="H172" s="283" t="s">
        <v>365</v>
      </c>
      <c r="I172" s="284"/>
      <c r="J172" s="285">
        <v>43.42</v>
      </c>
    </row>
    <row r="173" spans="1:10" s="276" customFormat="1" ht="18.399999999999999" customHeight="1" x14ac:dyDescent="0.2">
      <c r="A173" s="278">
        <v>43278</v>
      </c>
      <c r="B173" s="281" t="s">
        <v>388</v>
      </c>
      <c r="C173" s="281" t="s">
        <v>389</v>
      </c>
      <c r="D173" s="281" t="s">
        <v>9</v>
      </c>
      <c r="E173" s="282" t="s">
        <v>386</v>
      </c>
      <c r="F173" s="281" t="s">
        <v>365</v>
      </c>
      <c r="G173" s="281" t="s">
        <v>381</v>
      </c>
      <c r="H173" s="283" t="s">
        <v>365</v>
      </c>
      <c r="I173" s="284"/>
      <c r="J173" s="285">
        <v>4.13</v>
      </c>
    </row>
    <row r="174" spans="1:10" s="276" customFormat="1" ht="10.15" customHeight="1" x14ac:dyDescent="0.2">
      <c r="A174" s="278">
        <v>43278</v>
      </c>
      <c r="B174" s="281" t="s">
        <v>388</v>
      </c>
      <c r="C174" s="281" t="s">
        <v>389</v>
      </c>
      <c r="D174" s="281" t="s">
        <v>9</v>
      </c>
      <c r="E174" s="282" t="s">
        <v>386</v>
      </c>
      <c r="F174" s="281" t="s">
        <v>365</v>
      </c>
      <c r="G174" s="281" t="s">
        <v>382</v>
      </c>
      <c r="H174" s="283" t="s">
        <v>365</v>
      </c>
      <c r="I174" s="284"/>
      <c r="J174" s="285">
        <v>7.92</v>
      </c>
    </row>
    <row r="175" spans="1:10" s="276" customFormat="1" ht="10.15" customHeight="1" x14ac:dyDescent="0.2">
      <c r="A175" s="278">
        <v>43278</v>
      </c>
      <c r="B175" s="281" t="s">
        <v>388</v>
      </c>
      <c r="C175" s="281" t="s">
        <v>389</v>
      </c>
      <c r="D175" s="281" t="s">
        <v>9</v>
      </c>
      <c r="E175" s="282" t="s">
        <v>386</v>
      </c>
      <c r="F175" s="281" t="s">
        <v>369</v>
      </c>
      <c r="G175" s="281" t="s">
        <v>383</v>
      </c>
      <c r="H175" s="283" t="s">
        <v>371</v>
      </c>
      <c r="I175" s="284"/>
      <c r="J175" s="285">
        <v>60.22</v>
      </c>
    </row>
    <row r="176" spans="1:10" s="276" customFormat="1" ht="18.399999999999999" customHeight="1" x14ac:dyDescent="0.2">
      <c r="A176" s="278">
        <v>43292</v>
      </c>
      <c r="B176" s="281" t="s">
        <v>388</v>
      </c>
      <c r="C176" s="281" t="s">
        <v>389</v>
      </c>
      <c r="D176" s="281" t="s">
        <v>9</v>
      </c>
      <c r="E176" s="282" t="s">
        <v>386</v>
      </c>
      <c r="F176" s="281" t="s">
        <v>362</v>
      </c>
      <c r="G176" s="281" t="s">
        <v>378</v>
      </c>
      <c r="H176" s="283" t="s">
        <v>387</v>
      </c>
      <c r="I176" s="284">
        <v>7</v>
      </c>
      <c r="J176" s="285">
        <v>316.95</v>
      </c>
    </row>
    <row r="177" spans="1:10" s="276" customFormat="1" ht="10.15" customHeight="1" x14ac:dyDescent="0.2">
      <c r="A177" s="278">
        <v>43292</v>
      </c>
      <c r="B177" s="281" t="s">
        <v>388</v>
      </c>
      <c r="C177" s="281" t="s">
        <v>389</v>
      </c>
      <c r="D177" s="281" t="s">
        <v>9</v>
      </c>
      <c r="E177" s="282" t="s">
        <v>386</v>
      </c>
      <c r="F177" s="281" t="s">
        <v>365</v>
      </c>
      <c r="G177" s="281" t="s">
        <v>380</v>
      </c>
      <c r="H177" s="283" t="s">
        <v>365</v>
      </c>
      <c r="I177" s="284"/>
      <c r="J177" s="285">
        <v>21.71</v>
      </c>
    </row>
    <row r="178" spans="1:10" s="276" customFormat="1" ht="10.15" customHeight="1" x14ac:dyDescent="0.2">
      <c r="A178" s="278">
        <v>43292</v>
      </c>
      <c r="B178" s="281" t="s">
        <v>388</v>
      </c>
      <c r="C178" s="281" t="s">
        <v>389</v>
      </c>
      <c r="D178" s="281" t="s">
        <v>9</v>
      </c>
      <c r="E178" s="282" t="s">
        <v>386</v>
      </c>
      <c r="F178" s="281" t="s">
        <v>365</v>
      </c>
      <c r="G178" s="281" t="s">
        <v>382</v>
      </c>
      <c r="H178" s="283" t="s">
        <v>365</v>
      </c>
      <c r="I178" s="284"/>
      <c r="J178" s="285">
        <v>3.96</v>
      </c>
    </row>
    <row r="179" spans="1:10" s="276" customFormat="1" ht="8.25" x14ac:dyDescent="0.15"/>
  </sheetData>
  <sortState ref="A2:J184">
    <sortCondition ref="D2:D184"/>
  </sortState>
  <pageMargins left="0.7" right="0.7" top="0.75" bottom="0.75" header="0.3" footer="0.3"/>
  <pageSetup paperSize="9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063B-A373-4FAB-BAF3-9EBDCF7BFD39}">
  <dimension ref="A1:V128"/>
  <sheetViews>
    <sheetView topLeftCell="A61" zoomScale="70" zoomScaleNormal="70" workbookViewId="0">
      <selection activeCell="M85" sqref="M85"/>
    </sheetView>
  </sheetViews>
  <sheetFormatPr defaultColWidth="18.28515625" defaultRowHeight="15" x14ac:dyDescent="0.25"/>
  <sheetData>
    <row r="1" spans="1:22" ht="15" customHeight="1" x14ac:dyDescent="0.25">
      <c r="A1" s="607" t="s">
        <v>303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117"/>
    </row>
    <row r="2" spans="1:22" x14ac:dyDescent="0.25">
      <c r="A2" s="15"/>
      <c r="B2" s="15"/>
      <c r="C2" s="15"/>
      <c r="D2" s="15"/>
      <c r="E2" s="15"/>
      <c r="F2" s="15"/>
      <c r="G2" s="15"/>
      <c r="H2" s="22"/>
      <c r="I2" s="22"/>
      <c r="J2" s="22"/>
      <c r="K2" s="22"/>
      <c r="L2" s="22"/>
      <c r="M2" s="22"/>
      <c r="N2" s="22"/>
      <c r="O2" s="15"/>
      <c r="P2" s="15"/>
      <c r="Q2" s="15"/>
      <c r="R2" s="15"/>
      <c r="S2" s="15"/>
      <c r="T2" s="15"/>
      <c r="U2" s="15"/>
    </row>
    <row r="3" spans="1:22" x14ac:dyDescent="0.25">
      <c r="A3" s="581" t="s">
        <v>306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2" x14ac:dyDescent="0.25">
      <c r="A4" s="581"/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2" ht="15.75" thickBot="1" x14ac:dyDescent="0.3">
      <c r="A5" s="15"/>
      <c r="B5" s="15"/>
      <c r="C5" s="15"/>
      <c r="D5" s="15"/>
      <c r="E5" s="15"/>
      <c r="F5" s="15"/>
      <c r="G5" s="15"/>
      <c r="H5" s="15"/>
      <c r="I5" s="22"/>
      <c r="J5" s="22"/>
      <c r="K5" s="22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2" ht="30.75" thickBot="1" x14ac:dyDescent="0.3">
      <c r="A6" s="177" t="s">
        <v>209</v>
      </c>
      <c r="B6" s="105" t="s">
        <v>208</v>
      </c>
      <c r="C6" s="104" t="s">
        <v>2</v>
      </c>
      <c r="D6" s="104" t="s">
        <v>3</v>
      </c>
      <c r="E6" s="104" t="s">
        <v>4</v>
      </c>
      <c r="F6" s="104" t="s">
        <v>5</v>
      </c>
      <c r="G6" s="104" t="s">
        <v>6</v>
      </c>
      <c r="H6" s="104" t="s">
        <v>7</v>
      </c>
      <c r="I6" s="104" t="s">
        <v>8</v>
      </c>
      <c r="J6" s="103" t="s">
        <v>197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2" ht="60" x14ac:dyDescent="0.25">
      <c r="A7" s="177"/>
      <c r="B7" s="178" t="s">
        <v>207</v>
      </c>
      <c r="C7" s="102"/>
      <c r="D7" s="15">
        <v>2</v>
      </c>
      <c r="E7" s="15"/>
      <c r="F7" s="15"/>
      <c r="G7" s="15"/>
      <c r="H7" s="101"/>
      <c r="I7" s="101"/>
      <c r="J7" s="89">
        <f>SUM(C7:I7)</f>
        <v>2</v>
      </c>
      <c r="K7" s="180" t="s">
        <v>206</v>
      </c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2" ht="30" x14ac:dyDescent="0.25">
      <c r="A8" s="177"/>
      <c r="B8" s="179"/>
      <c r="C8" s="181" t="s">
        <v>205</v>
      </c>
      <c r="D8" s="182"/>
      <c r="E8" s="182"/>
      <c r="F8" s="182"/>
      <c r="G8" s="182"/>
      <c r="H8" s="100"/>
      <c r="I8" s="100"/>
      <c r="J8" s="95"/>
      <c r="K8" s="180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2" x14ac:dyDescent="0.25">
      <c r="A9" s="177"/>
      <c r="B9" s="169" t="s">
        <v>9</v>
      </c>
      <c r="C9" s="99">
        <v>2</v>
      </c>
      <c r="D9" s="99">
        <v>4</v>
      </c>
      <c r="E9" s="171" t="s">
        <v>200</v>
      </c>
      <c r="F9" s="87">
        <v>7</v>
      </c>
      <c r="G9" s="99">
        <v>2</v>
      </c>
      <c r="H9" s="86"/>
      <c r="I9" s="184"/>
      <c r="J9" s="89">
        <f>SUM(C9:I9)</f>
        <v>15</v>
      </c>
      <c r="K9" s="180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2" ht="30" x14ac:dyDescent="0.25">
      <c r="A10" s="177"/>
      <c r="B10" s="183"/>
      <c r="C10" s="114" t="s">
        <v>203</v>
      </c>
      <c r="D10" s="113"/>
      <c r="E10" s="172"/>
      <c r="F10" s="98" t="s">
        <v>204</v>
      </c>
      <c r="G10" s="97" t="s">
        <v>203</v>
      </c>
      <c r="H10" s="96"/>
      <c r="I10" s="185"/>
      <c r="J10" s="95"/>
      <c r="K10" s="180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2" ht="45" x14ac:dyDescent="0.25">
      <c r="A11" s="177"/>
      <c r="B11" s="169" t="s">
        <v>202</v>
      </c>
      <c r="C11" s="171" t="s">
        <v>200</v>
      </c>
      <c r="D11" s="171" t="s">
        <v>200</v>
      </c>
      <c r="E11" s="171" t="s">
        <v>200</v>
      </c>
      <c r="F11" s="171" t="s">
        <v>200</v>
      </c>
      <c r="G11" s="171" t="s">
        <v>200</v>
      </c>
      <c r="H11" s="173" t="s">
        <v>201</v>
      </c>
      <c r="I11" s="174"/>
      <c r="J11" s="89">
        <f>SUM(C11:I11)</f>
        <v>0</v>
      </c>
      <c r="K11" s="180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2" x14ac:dyDescent="0.25">
      <c r="A12" s="177"/>
      <c r="B12" s="183"/>
      <c r="C12" s="172"/>
      <c r="D12" s="172"/>
      <c r="E12" s="172"/>
      <c r="F12" s="172"/>
      <c r="G12" s="172"/>
      <c r="H12" s="175"/>
      <c r="I12" s="176"/>
      <c r="J12" s="95"/>
      <c r="K12" s="180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2" x14ac:dyDescent="0.25">
      <c r="A13" s="177"/>
      <c r="B13" s="169" t="s">
        <v>1</v>
      </c>
      <c r="C13" s="171" t="s">
        <v>200</v>
      </c>
      <c r="D13" s="171" t="s">
        <v>200</v>
      </c>
      <c r="E13" s="171" t="s">
        <v>200</v>
      </c>
      <c r="F13" s="94">
        <v>2</v>
      </c>
      <c r="G13" s="171" t="s">
        <v>200</v>
      </c>
      <c r="H13" s="167"/>
      <c r="I13" s="167"/>
      <c r="J13" s="89">
        <v>2</v>
      </c>
      <c r="K13" s="180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2" ht="30.75" thickBot="1" x14ac:dyDescent="0.3">
      <c r="A14" s="177"/>
      <c r="B14" s="170"/>
      <c r="C14" s="172"/>
      <c r="D14" s="172"/>
      <c r="E14" s="172"/>
      <c r="F14" s="93" t="s">
        <v>199</v>
      </c>
      <c r="G14" s="172"/>
      <c r="H14" s="168"/>
      <c r="I14" s="168"/>
      <c r="J14" s="92">
        <v>4</v>
      </c>
      <c r="K14" s="180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2" ht="30.75" thickBot="1" x14ac:dyDescent="0.3">
      <c r="A15" s="177"/>
      <c r="B15" s="91" t="s">
        <v>198</v>
      </c>
      <c r="C15" s="90"/>
      <c r="D15" s="90"/>
      <c r="E15" s="90"/>
      <c r="F15" s="90"/>
      <c r="G15" s="90"/>
      <c r="H15" s="90"/>
      <c r="I15" s="90"/>
      <c r="J15" s="89">
        <f>SUM(C15:I15)</f>
        <v>0</v>
      </c>
      <c r="K15" s="180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2" ht="15.75" thickBot="1" x14ac:dyDescent="0.3">
      <c r="A16" s="84"/>
      <c r="B16" s="88" t="s">
        <v>197</v>
      </c>
      <c r="C16" s="87">
        <v>2</v>
      </c>
      <c r="D16" s="87">
        <v>4</v>
      </c>
      <c r="E16" s="87">
        <v>2</v>
      </c>
      <c r="F16" s="87">
        <v>7</v>
      </c>
      <c r="G16" s="87">
        <v>4</v>
      </c>
      <c r="H16" s="86"/>
      <c r="I16" s="86"/>
      <c r="J16" s="85">
        <f>SUM(J7:J15)</f>
        <v>23</v>
      </c>
      <c r="K16" s="7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x14ac:dyDescent="0.25">
      <c r="A17" s="84"/>
      <c r="B17" s="83"/>
      <c r="C17" s="78"/>
      <c r="D17" s="78"/>
      <c r="E17" s="78"/>
      <c r="F17" s="78"/>
      <c r="G17" s="78"/>
      <c r="H17" s="82"/>
      <c r="I17" s="82"/>
      <c r="J17" s="81"/>
      <c r="K17" s="7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x14ac:dyDescent="0.25">
      <c r="A18" s="80"/>
      <c r="B18" s="79"/>
      <c r="C18" s="78"/>
      <c r="D18" s="80"/>
      <c r="E18" s="79"/>
      <c r="F18" s="78"/>
      <c r="G18" s="78"/>
      <c r="H18" s="77"/>
      <c r="I18" s="77"/>
      <c r="J18" s="76"/>
      <c r="K18" s="7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x14ac:dyDescent="0.25">
      <c r="A20" s="581" t="s">
        <v>308</v>
      </c>
      <c r="B20" s="581"/>
      <c r="C20" s="581"/>
      <c r="D20" s="581"/>
      <c r="E20" s="581"/>
      <c r="F20" s="581"/>
      <c r="G20" s="581"/>
      <c r="H20" s="581"/>
      <c r="I20" s="581"/>
      <c r="J20" s="581"/>
      <c r="K20" s="581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x14ac:dyDescent="0.25">
      <c r="A21" s="581"/>
      <c r="B21" s="581"/>
      <c r="C21" s="581"/>
      <c r="D21" s="581"/>
      <c r="E21" s="581"/>
      <c r="F21" s="581"/>
      <c r="G21" s="581"/>
      <c r="H21" s="581"/>
      <c r="I21" s="581"/>
      <c r="J21" s="581"/>
      <c r="K21" s="581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 ht="30" x14ac:dyDescent="0.25">
      <c r="A23" s="15"/>
      <c r="B23" s="15"/>
      <c r="C23" s="32" t="s">
        <v>195</v>
      </c>
      <c r="D23" s="32" t="s">
        <v>194</v>
      </c>
      <c r="E23" s="32" t="s">
        <v>193</v>
      </c>
      <c r="F23" s="32" t="s">
        <v>192</v>
      </c>
      <c r="G23" s="32" t="s">
        <v>189</v>
      </c>
      <c r="H23" s="32" t="s">
        <v>191</v>
      </c>
      <c r="I23" s="15" t="s">
        <v>190</v>
      </c>
      <c r="J23" s="15"/>
      <c r="K23" s="15"/>
      <c r="L23" s="32"/>
      <c r="M23" s="15"/>
      <c r="N23" s="15"/>
      <c r="O23" s="15"/>
      <c r="P23" s="15"/>
      <c r="Q23" s="15"/>
      <c r="R23" s="15"/>
      <c r="S23" s="15"/>
      <c r="T23" s="15"/>
      <c r="U23" s="15"/>
    </row>
    <row r="24" spans="1:21" x14ac:dyDescent="0.25">
      <c r="A24" s="15"/>
      <c r="B24" s="15"/>
      <c r="C24" s="15" t="s">
        <v>151</v>
      </c>
      <c r="D24" s="15" t="s">
        <v>185</v>
      </c>
      <c r="E24" s="15" t="s">
        <v>185</v>
      </c>
      <c r="F24" s="15" t="s">
        <v>185</v>
      </c>
      <c r="G24" s="15" t="s">
        <v>185</v>
      </c>
      <c r="H24" s="15" t="s">
        <v>185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 ht="30" x14ac:dyDescent="0.25">
      <c r="A25" s="15"/>
      <c r="B25" s="15"/>
      <c r="C25" s="15" t="s">
        <v>187</v>
      </c>
      <c r="D25" s="15" t="s">
        <v>186</v>
      </c>
      <c r="E25" s="15" t="s">
        <v>185</v>
      </c>
      <c r="F25" s="15" t="s">
        <v>185</v>
      </c>
      <c r="G25" s="15" t="s">
        <v>185</v>
      </c>
      <c r="H25" s="15" t="s">
        <v>184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x14ac:dyDescent="0.25">
      <c r="A26" s="15"/>
      <c r="B26" s="15"/>
      <c r="C26" s="15" t="s">
        <v>182</v>
      </c>
      <c r="D26" s="15" t="s">
        <v>181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 ht="30" x14ac:dyDescent="0.25">
      <c r="A27" s="15"/>
      <c r="B27" s="15"/>
      <c r="C27" s="15" t="s">
        <v>180</v>
      </c>
      <c r="D27" s="15" t="s">
        <v>179</v>
      </c>
      <c r="E27" s="15">
        <v>7</v>
      </c>
      <c r="F27" s="15">
        <f>SUM(J16,J3,Margarita!M324,Margarita!M311,Margarita!M298,Margarita!M283,Margarita!M270,Margarita!M258,Margarita!M242)</f>
        <v>23</v>
      </c>
      <c r="G27" s="64">
        <f>SUM(F27*C36)</f>
        <v>1035</v>
      </c>
      <c r="H27" s="64">
        <f>SUM(G27*C37) +G27</f>
        <v>1226.4749999999999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 ht="30" x14ac:dyDescent="0.25">
      <c r="A28" s="15"/>
      <c r="B28" s="15"/>
      <c r="C28" s="15" t="s">
        <v>177</v>
      </c>
      <c r="D28" s="15" t="s">
        <v>176</v>
      </c>
      <c r="E28" s="15">
        <v>18</v>
      </c>
      <c r="F28" s="15">
        <f>SUM(E28*22.5)</f>
        <v>405</v>
      </c>
      <c r="G28" s="64">
        <f>SUM(F28*C36)</f>
        <v>18225</v>
      </c>
      <c r="H28" s="64">
        <f>SUM(G28*C37) +G28</f>
        <v>21596.625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 ht="30" x14ac:dyDescent="0.25">
      <c r="A29" s="15"/>
      <c r="B29" s="15"/>
      <c r="C29" s="32" t="s">
        <v>173</v>
      </c>
      <c r="D29" s="32" t="s">
        <v>172</v>
      </c>
      <c r="E29" s="32">
        <f>SUM(E24:E28)</f>
        <v>25</v>
      </c>
      <c r="F29" s="32">
        <f>SUM(F24:F28)</f>
        <v>428</v>
      </c>
      <c r="G29" s="64">
        <f>SUM(F29*C36)</f>
        <v>19260</v>
      </c>
      <c r="H29" s="64">
        <f>SUM(G29*C37) +G29</f>
        <v>22823.1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 x14ac:dyDescent="0.25">
      <c r="A30" s="15"/>
      <c r="B30" s="15"/>
      <c r="C30" s="32"/>
      <c r="D30" s="32" t="s">
        <v>171</v>
      </c>
      <c r="E30" s="32">
        <f>SUM(E26:E28)</f>
        <v>25</v>
      </c>
      <c r="F30" s="32">
        <f>SUM(F26:F28)</f>
        <v>428</v>
      </c>
      <c r="G30" s="64">
        <f>SUM(F30*C36)</f>
        <v>19260</v>
      </c>
      <c r="H30" s="64">
        <f>SUM(G30*C37) +G30</f>
        <v>22823.1</v>
      </c>
      <c r="I30" s="15"/>
      <c r="J30" s="15"/>
      <c r="K30" s="15"/>
      <c r="L30" s="22"/>
      <c r="M30" s="22"/>
      <c r="N30" s="22"/>
      <c r="O30" s="15"/>
      <c r="P30" s="15"/>
      <c r="Q30" s="15"/>
      <c r="R30" s="15"/>
      <c r="S30" s="15"/>
      <c r="T30" s="15"/>
      <c r="U30" s="15"/>
    </row>
    <row r="31" spans="1:21" ht="30" x14ac:dyDescent="0.25">
      <c r="A31" s="15"/>
      <c r="B31" s="15"/>
      <c r="C31" s="32" t="s">
        <v>170</v>
      </c>
      <c r="D31" s="32" t="s">
        <v>168</v>
      </c>
      <c r="E31" s="32">
        <v>39</v>
      </c>
      <c r="F31" s="32">
        <f>SUM(22.5*E31)</f>
        <v>877.5</v>
      </c>
      <c r="G31" s="64">
        <f>SUM(F31*C36)</f>
        <v>39487.5</v>
      </c>
      <c r="H31" s="64">
        <f>SUM(G31*C37) + G31</f>
        <v>46792.6875</v>
      </c>
      <c r="I31" s="15"/>
      <c r="J31" s="15"/>
      <c r="K31" s="15"/>
      <c r="L31" s="22"/>
      <c r="M31" s="22"/>
      <c r="N31" s="22"/>
      <c r="O31" s="15"/>
      <c r="P31" s="15"/>
      <c r="Q31" s="15"/>
      <c r="R31" s="15"/>
      <c r="S31" s="15"/>
      <c r="T31" s="15"/>
      <c r="U31" s="15"/>
    </row>
    <row r="32" spans="1:21" ht="30" x14ac:dyDescent="0.25">
      <c r="A32" s="15"/>
      <c r="B32" s="15"/>
      <c r="C32" s="32" t="s">
        <v>169</v>
      </c>
      <c r="D32" s="32" t="s">
        <v>168</v>
      </c>
      <c r="E32" s="32">
        <v>39</v>
      </c>
      <c r="F32" s="32">
        <f>SUM(22.5*E32)</f>
        <v>877.5</v>
      </c>
      <c r="G32" s="64">
        <f>SUM(F32*C38)</f>
        <v>58573.125</v>
      </c>
      <c r="H32" s="64">
        <f>SUM(G32*C37) + G32</f>
        <v>69409.153124999997</v>
      </c>
      <c r="I32" s="15"/>
      <c r="J32" s="15"/>
      <c r="K32" s="15"/>
      <c r="L32" s="22"/>
      <c r="M32" s="22"/>
      <c r="N32" s="22"/>
      <c r="O32" s="15"/>
      <c r="P32" s="15"/>
      <c r="Q32" s="15"/>
      <c r="R32" s="15"/>
      <c r="S32" s="15"/>
      <c r="T32" s="15"/>
      <c r="U32" s="15"/>
    </row>
    <row r="33" spans="1:2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22"/>
      <c r="M33" s="22"/>
      <c r="N33" s="22"/>
      <c r="O33" s="15"/>
      <c r="P33" s="15"/>
      <c r="Q33" s="15"/>
      <c r="R33" s="15"/>
      <c r="S33" s="15"/>
      <c r="T33" s="15"/>
      <c r="U33" s="15"/>
    </row>
    <row r="34" spans="1:21" ht="15.75" thickBo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2"/>
      <c r="M34" s="22"/>
      <c r="N34" s="22"/>
      <c r="O34" s="15"/>
      <c r="P34" s="15"/>
      <c r="Q34" s="15"/>
      <c r="R34" s="15"/>
      <c r="S34" s="15"/>
      <c r="T34" s="15"/>
      <c r="U34" s="15"/>
    </row>
    <row r="35" spans="1:21" ht="15.75" thickBot="1" x14ac:dyDescent="0.3">
      <c r="A35" s="15"/>
      <c r="B35" s="165" t="s">
        <v>196</v>
      </c>
      <c r="C35" s="166"/>
      <c r="D35" s="15"/>
      <c r="E35" s="165" t="s">
        <v>178</v>
      </c>
      <c r="F35" s="166"/>
      <c r="G35" s="15"/>
      <c r="H35" s="15"/>
      <c r="I35" s="15"/>
      <c r="J35" s="15"/>
      <c r="K35" s="15"/>
      <c r="L35" s="22"/>
      <c r="M35" s="22"/>
      <c r="N35" s="22"/>
      <c r="O35" s="15"/>
      <c r="P35" s="15"/>
      <c r="Q35" s="15"/>
      <c r="R35" s="15"/>
      <c r="S35" s="15"/>
      <c r="T35" s="15"/>
      <c r="U35" s="15"/>
    </row>
    <row r="36" spans="1:21" x14ac:dyDescent="0.25">
      <c r="A36" s="15"/>
      <c r="B36" s="74" t="s">
        <v>189</v>
      </c>
      <c r="C36" s="73">
        <v>45</v>
      </c>
      <c r="D36" s="15"/>
      <c r="E36" s="68" t="s">
        <v>175</v>
      </c>
      <c r="F36" s="67" t="s">
        <v>174</v>
      </c>
      <c r="G36" s="15"/>
      <c r="H36" s="15"/>
      <c r="I36" s="15"/>
      <c r="J36" s="15"/>
      <c r="K36" s="15"/>
      <c r="L36" s="22"/>
      <c r="M36" s="22"/>
      <c r="N36" s="22"/>
      <c r="O36" s="15"/>
      <c r="P36" s="15"/>
      <c r="Q36" s="15"/>
      <c r="R36" s="15"/>
      <c r="S36" s="15"/>
      <c r="T36" s="15"/>
      <c r="U36" s="15"/>
    </row>
    <row r="37" spans="1:21" ht="15.75" thickBot="1" x14ac:dyDescent="0.3">
      <c r="A37" s="15"/>
      <c r="B37" s="72" t="s">
        <v>188</v>
      </c>
      <c r="C37" s="71">
        <v>0.185</v>
      </c>
      <c r="D37" s="15"/>
      <c r="E37" s="66">
        <f>H31</f>
        <v>46792.6875</v>
      </c>
      <c r="F37" s="65">
        <f>H32</f>
        <v>69409.153124999997</v>
      </c>
      <c r="G37" s="15"/>
      <c r="H37" s="15"/>
      <c r="I37" s="15"/>
      <c r="J37" s="15"/>
      <c r="K37" s="15"/>
      <c r="L37" s="22"/>
      <c r="M37" s="22"/>
      <c r="N37" s="22"/>
      <c r="O37" s="15"/>
      <c r="P37" s="15"/>
      <c r="Q37" s="15"/>
      <c r="R37" s="15"/>
      <c r="S37" s="15"/>
      <c r="T37" s="15"/>
      <c r="U37" s="15"/>
    </row>
    <row r="38" spans="1:21" ht="15.75" thickBot="1" x14ac:dyDescent="0.3">
      <c r="A38" s="15"/>
      <c r="B38" s="70" t="s">
        <v>183</v>
      </c>
      <c r="C38" s="69">
        <v>66.75</v>
      </c>
      <c r="D38" s="15"/>
      <c r="E38" s="15"/>
      <c r="F38" s="15"/>
      <c r="G38" s="15"/>
      <c r="H38" s="15"/>
      <c r="I38" s="15"/>
      <c r="J38" s="15"/>
      <c r="K38" s="15"/>
      <c r="L38" s="22"/>
      <c r="M38" s="22"/>
      <c r="N38" s="22"/>
      <c r="O38" s="15"/>
      <c r="P38" s="15"/>
      <c r="Q38" s="15"/>
      <c r="R38" s="15"/>
      <c r="S38" s="15"/>
      <c r="T38" s="15"/>
      <c r="U38" s="15"/>
    </row>
    <row r="39" spans="1:21" x14ac:dyDescent="0.25">
      <c r="A39" s="15"/>
      <c r="B39" s="15"/>
      <c r="C39" s="15"/>
      <c r="D39" s="15"/>
      <c r="E39" s="15"/>
      <c r="F39" s="22"/>
      <c r="G39" s="22"/>
      <c r="H39" s="22"/>
      <c r="I39" s="22"/>
      <c r="J39" s="15"/>
      <c r="K39" s="15"/>
      <c r="L39" s="22"/>
      <c r="M39" s="22"/>
      <c r="N39" s="22"/>
      <c r="O39" s="15"/>
      <c r="P39" s="15"/>
      <c r="Q39" s="15"/>
      <c r="R39" s="15"/>
      <c r="S39" s="15"/>
      <c r="T39" s="15"/>
      <c r="U39" s="15"/>
    </row>
    <row r="40" spans="1:2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22"/>
      <c r="M40" s="22"/>
      <c r="N40" s="22"/>
      <c r="O40" s="15"/>
      <c r="P40" s="15"/>
      <c r="Q40" s="15"/>
      <c r="R40" s="15"/>
      <c r="S40" s="15"/>
      <c r="T40" s="15"/>
      <c r="U40" s="15"/>
    </row>
    <row r="41" spans="1:21" x14ac:dyDescent="0.25">
      <c r="A41" s="581" t="s">
        <v>307</v>
      </c>
      <c r="B41" s="581"/>
      <c r="C41" s="581"/>
      <c r="D41" s="581"/>
      <c r="E41" s="581"/>
      <c r="F41" s="581"/>
      <c r="G41" s="581"/>
      <c r="H41" s="581"/>
      <c r="I41" s="15"/>
      <c r="J41" s="15"/>
      <c r="K41" s="15"/>
      <c r="L41" s="22"/>
      <c r="M41" s="22"/>
      <c r="N41" s="22"/>
      <c r="O41" s="15"/>
      <c r="P41" s="15"/>
      <c r="Q41" s="15"/>
      <c r="R41" s="15"/>
      <c r="S41" s="15"/>
      <c r="T41" s="15"/>
      <c r="U41" s="15"/>
    </row>
    <row r="42" spans="1:21" x14ac:dyDescent="0.25">
      <c r="A42" s="581"/>
      <c r="B42" s="581"/>
      <c r="C42" s="581"/>
      <c r="D42" s="581"/>
      <c r="E42" s="581"/>
      <c r="F42" s="581"/>
      <c r="G42" s="581"/>
      <c r="H42" s="581"/>
      <c r="I42" s="15"/>
      <c r="J42" s="15"/>
      <c r="K42" s="15"/>
      <c r="L42" s="22"/>
      <c r="M42" s="22"/>
      <c r="N42" s="22"/>
      <c r="O42" s="15"/>
      <c r="P42" s="15"/>
      <c r="Q42" s="15"/>
      <c r="R42" s="15"/>
      <c r="S42" s="15"/>
      <c r="T42" s="15"/>
      <c r="U42" s="15"/>
    </row>
    <row r="43" spans="1:2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2"/>
      <c r="M43" s="22"/>
      <c r="N43" s="22"/>
      <c r="O43" s="15"/>
      <c r="P43" s="15"/>
      <c r="Q43" s="15"/>
      <c r="R43" s="15"/>
      <c r="S43" s="15"/>
      <c r="T43" s="15"/>
      <c r="U43" s="15"/>
    </row>
    <row r="44" spans="1:21" x14ac:dyDescent="0.25">
      <c r="A44" s="15"/>
      <c r="B44" s="2" t="s">
        <v>304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0</v>
      </c>
      <c r="H44" s="22"/>
      <c r="I44" s="15"/>
      <c r="J44" s="15"/>
      <c r="K44" s="15"/>
      <c r="L44" s="22"/>
      <c r="M44" s="22"/>
      <c r="N44" s="22"/>
      <c r="O44" s="15"/>
      <c r="P44" s="15"/>
      <c r="Q44" s="15"/>
      <c r="R44" s="15"/>
      <c r="S44" s="15"/>
      <c r="T44" s="15"/>
      <c r="U44" s="15"/>
    </row>
    <row r="45" spans="1:21" x14ac:dyDescent="0.25">
      <c r="A45" s="32">
        <v>1</v>
      </c>
      <c r="B45" s="3" t="s">
        <v>2</v>
      </c>
      <c r="C45" s="6"/>
      <c r="D45" s="4"/>
      <c r="E45" s="3"/>
      <c r="F45" s="5"/>
      <c r="G45" s="3"/>
      <c r="H45" s="22"/>
      <c r="I45" s="15"/>
      <c r="J45" s="15"/>
      <c r="K45" s="15"/>
      <c r="L45" s="22"/>
      <c r="M45" s="22"/>
      <c r="N45" s="22"/>
      <c r="O45" s="15"/>
      <c r="P45" s="15"/>
      <c r="Q45" s="15"/>
      <c r="R45" s="15"/>
      <c r="S45" s="15"/>
      <c r="T45" s="15"/>
      <c r="U45" s="15"/>
    </row>
    <row r="46" spans="1:21" x14ac:dyDescent="0.25">
      <c r="A46" s="32">
        <v>2</v>
      </c>
      <c r="B46" s="3" t="s">
        <v>3</v>
      </c>
      <c r="C46" s="7"/>
      <c r="D46" s="7"/>
      <c r="H46" s="22"/>
      <c r="I46" s="22"/>
      <c r="J46" s="22"/>
      <c r="K46" s="22"/>
      <c r="L46" s="22"/>
      <c r="M46" s="22"/>
      <c r="N46" s="22"/>
      <c r="O46" s="15"/>
      <c r="P46" s="15"/>
      <c r="Q46" s="15"/>
      <c r="R46" s="15"/>
      <c r="S46" s="15"/>
      <c r="T46" s="15"/>
      <c r="U46" s="15"/>
    </row>
    <row r="47" spans="1:21" x14ac:dyDescent="0.25">
      <c r="A47" s="32">
        <v>3</v>
      </c>
      <c r="B47" s="3" t="s">
        <v>4</v>
      </c>
      <c r="C47" s="7"/>
      <c r="D47" s="7"/>
      <c r="G47" s="3"/>
      <c r="H47" s="22"/>
      <c r="I47" s="22"/>
      <c r="J47" s="22"/>
      <c r="K47" s="22"/>
      <c r="L47" s="22"/>
      <c r="M47" s="22"/>
      <c r="N47" s="22"/>
      <c r="O47" s="15"/>
      <c r="P47" s="15"/>
      <c r="Q47" s="15"/>
      <c r="R47" s="15"/>
      <c r="S47" s="15"/>
      <c r="T47" s="15"/>
      <c r="U47" s="15"/>
    </row>
    <row r="48" spans="1:21" x14ac:dyDescent="0.25">
      <c r="A48" s="32">
        <v>4</v>
      </c>
      <c r="B48" s="3" t="s">
        <v>5</v>
      </c>
      <c r="C48" s="4"/>
      <c r="D48" s="4"/>
      <c r="E48" s="3"/>
      <c r="F48" s="5"/>
      <c r="G48" s="3"/>
      <c r="H48" s="22"/>
      <c r="I48" s="22"/>
      <c r="J48" s="22"/>
      <c r="K48" s="22"/>
      <c r="L48" s="22"/>
      <c r="M48" s="22"/>
      <c r="N48" s="22"/>
      <c r="O48" s="15"/>
      <c r="P48" s="15"/>
      <c r="Q48" s="15"/>
      <c r="R48" s="15"/>
      <c r="S48" s="15"/>
      <c r="T48" s="15"/>
      <c r="U48" s="15"/>
    </row>
    <row r="49" spans="1:21" x14ac:dyDescent="0.25">
      <c r="A49" s="32">
        <v>5</v>
      </c>
      <c r="B49" s="3" t="s">
        <v>6</v>
      </c>
      <c r="C49" s="8"/>
      <c r="D49" s="8"/>
      <c r="E49" s="3"/>
      <c r="G49" s="5"/>
      <c r="H49" s="22"/>
      <c r="I49" s="15"/>
      <c r="J49" s="15"/>
      <c r="K49" s="15"/>
      <c r="L49" s="22"/>
      <c r="M49" s="22"/>
      <c r="N49" s="22"/>
      <c r="O49" s="15"/>
      <c r="P49" s="15"/>
      <c r="Q49" s="15"/>
      <c r="R49" s="15"/>
      <c r="S49" s="15"/>
      <c r="T49" s="15"/>
      <c r="U49" s="15"/>
    </row>
    <row r="50" spans="1:21" x14ac:dyDescent="0.25">
      <c r="A50" s="32">
        <v>6</v>
      </c>
      <c r="B50" s="3" t="s">
        <v>7</v>
      </c>
      <c r="C50" s="8"/>
      <c r="D50" s="8"/>
      <c r="E50" s="3"/>
      <c r="F50" s="5"/>
      <c r="G50" s="3"/>
      <c r="H50" s="22"/>
      <c r="I50" s="15"/>
      <c r="J50" s="15"/>
      <c r="K50" s="15"/>
      <c r="L50" s="22"/>
      <c r="M50" s="22"/>
      <c r="N50" s="22"/>
      <c r="O50" s="15"/>
      <c r="P50" s="15"/>
      <c r="Q50" s="15"/>
      <c r="R50" s="15"/>
      <c r="S50" s="15"/>
      <c r="T50" s="15"/>
      <c r="U50" s="15"/>
    </row>
    <row r="51" spans="1:21" x14ac:dyDescent="0.25">
      <c r="A51" s="32">
        <v>7</v>
      </c>
      <c r="B51" s="3" t="s">
        <v>8</v>
      </c>
      <c r="C51" s="4"/>
      <c r="D51" s="4"/>
      <c r="E51" s="3"/>
      <c r="F51" s="5"/>
      <c r="G51" s="3"/>
      <c r="H51" s="22"/>
      <c r="I51" s="22"/>
      <c r="J51" s="22"/>
      <c r="K51" s="22"/>
      <c r="L51" s="22"/>
      <c r="M51" s="22"/>
      <c r="N51" s="22"/>
      <c r="O51" s="15"/>
      <c r="P51" s="15"/>
      <c r="Q51" s="15"/>
      <c r="R51" s="15"/>
      <c r="S51" s="15"/>
      <c r="T51" s="15"/>
      <c r="U51" s="15"/>
    </row>
    <row r="52" spans="1:21" x14ac:dyDescent="0.25">
      <c r="A52" s="32"/>
      <c r="B52" s="2" t="s">
        <v>26</v>
      </c>
      <c r="C52" s="1"/>
      <c r="D52" s="1"/>
      <c r="E52" s="1">
        <f>SUM(E44:E51)</f>
        <v>0</v>
      </c>
      <c r="G52" s="144" t="s">
        <v>292</v>
      </c>
      <c r="H52" s="15"/>
      <c r="I52" s="22"/>
      <c r="J52" s="22"/>
      <c r="K52" s="22"/>
      <c r="L52" s="22"/>
      <c r="M52" s="22"/>
      <c r="N52" s="22"/>
      <c r="O52" s="15"/>
      <c r="P52" s="15"/>
      <c r="Q52" s="15"/>
      <c r="R52" s="15"/>
      <c r="S52" s="15"/>
      <c r="T52" s="15"/>
      <c r="U52" s="15"/>
    </row>
    <row r="53" spans="1:21" x14ac:dyDescent="0.25">
      <c r="A53" s="144" t="s">
        <v>305</v>
      </c>
      <c r="B53" s="35" t="s">
        <v>227</v>
      </c>
      <c r="C53" s="60"/>
      <c r="D53" s="61"/>
      <c r="E53" s="35"/>
      <c r="F53" s="115" t="s">
        <v>293</v>
      </c>
      <c r="G53" s="144" t="s">
        <v>292</v>
      </c>
      <c r="H53" s="151" t="s">
        <v>103</v>
      </c>
      <c r="I53" s="22"/>
      <c r="J53" s="22"/>
      <c r="K53" s="22"/>
      <c r="L53" s="22"/>
      <c r="M53" s="22"/>
      <c r="N53" s="22"/>
      <c r="O53" s="15"/>
      <c r="P53" s="15"/>
      <c r="Q53" s="15"/>
      <c r="R53" s="15"/>
      <c r="S53" s="15"/>
      <c r="T53" s="15"/>
      <c r="U53" s="15"/>
    </row>
    <row r="54" spans="1:21" x14ac:dyDescent="0.25">
      <c r="A54" s="32"/>
      <c r="B54" s="15"/>
      <c r="C54" s="15"/>
      <c r="D54" s="15"/>
      <c r="E54" s="15"/>
      <c r="F54" s="15"/>
      <c r="G54" s="15"/>
      <c r="H54" s="22"/>
      <c r="I54" s="22"/>
      <c r="J54" s="22"/>
      <c r="K54" s="22"/>
      <c r="L54" s="22"/>
      <c r="M54" s="22"/>
      <c r="N54" s="22"/>
      <c r="O54" s="15"/>
      <c r="P54" s="15"/>
      <c r="Q54" s="15"/>
      <c r="R54" s="15"/>
      <c r="S54" s="15"/>
      <c r="T54" s="15"/>
      <c r="U54" s="15"/>
    </row>
    <row r="55" spans="1:21" x14ac:dyDescent="0.25">
      <c r="A55" s="32"/>
      <c r="B55" s="2" t="s">
        <v>304</v>
      </c>
      <c r="C55" s="13" t="s">
        <v>11</v>
      </c>
      <c r="D55" s="13" t="s">
        <v>12</v>
      </c>
      <c r="E55" s="13" t="s">
        <v>13</v>
      </c>
      <c r="F55" s="13" t="s">
        <v>14</v>
      </c>
      <c r="G55" s="20" t="s">
        <v>0</v>
      </c>
      <c r="H55" s="15"/>
      <c r="I55" s="22"/>
      <c r="J55" s="22"/>
      <c r="K55" s="22"/>
      <c r="L55" s="22"/>
      <c r="M55" s="22"/>
      <c r="N55" s="22"/>
      <c r="O55" s="15"/>
      <c r="P55" s="15"/>
      <c r="Q55" s="15"/>
      <c r="R55" s="15"/>
      <c r="S55" s="15"/>
      <c r="T55" s="15"/>
      <c r="U55" s="15"/>
    </row>
    <row r="56" spans="1:21" x14ac:dyDescent="0.25">
      <c r="A56" s="32">
        <v>12</v>
      </c>
      <c r="B56" s="21" t="s">
        <v>2</v>
      </c>
      <c r="C56" s="49"/>
      <c r="D56" s="49"/>
      <c r="E56" s="138"/>
      <c r="F56" s="23"/>
      <c r="G56" s="21"/>
      <c r="H56" s="606"/>
      <c r="I56" s="22"/>
      <c r="J56" s="22"/>
      <c r="K56" s="22"/>
      <c r="L56" s="22"/>
      <c r="M56" s="22"/>
      <c r="N56" s="22"/>
      <c r="O56" s="15"/>
      <c r="P56" s="15"/>
      <c r="Q56" s="15"/>
      <c r="R56" s="15"/>
      <c r="S56" s="15"/>
      <c r="T56" s="15"/>
      <c r="U56" s="15"/>
    </row>
    <row r="57" spans="1:21" x14ac:dyDescent="0.25">
      <c r="A57" s="32">
        <v>13</v>
      </c>
      <c r="B57" s="21" t="s">
        <v>3</v>
      </c>
      <c r="C57" s="48"/>
      <c r="D57" s="49"/>
      <c r="E57" s="138"/>
      <c r="F57" s="23"/>
      <c r="G57" s="21"/>
      <c r="H57" s="606"/>
      <c r="I57" s="22"/>
      <c r="J57" s="22"/>
      <c r="K57" s="22"/>
      <c r="L57" s="22"/>
      <c r="M57" s="22"/>
      <c r="N57" s="22"/>
      <c r="O57" s="15"/>
      <c r="P57" s="15"/>
      <c r="Q57" s="15"/>
      <c r="R57" s="15"/>
      <c r="S57" s="15"/>
      <c r="T57" s="15"/>
      <c r="U57" s="15"/>
    </row>
    <row r="58" spans="1:21" x14ac:dyDescent="0.25">
      <c r="A58" s="32">
        <v>14</v>
      </c>
      <c r="B58" s="21" t="s">
        <v>4</v>
      </c>
      <c r="C58" s="51"/>
      <c r="D58" s="51"/>
      <c r="E58" s="138"/>
      <c r="F58" s="23"/>
      <c r="G58" s="22"/>
      <c r="H58" s="606"/>
      <c r="I58" s="22"/>
      <c r="J58" s="22"/>
      <c r="K58" s="22"/>
      <c r="L58" s="22"/>
      <c r="M58" s="22"/>
      <c r="N58" s="22"/>
      <c r="O58" s="15"/>
      <c r="P58" s="15"/>
      <c r="Q58" s="15"/>
      <c r="R58" s="15"/>
      <c r="S58" s="15"/>
      <c r="T58" s="15"/>
      <c r="U58" s="15"/>
    </row>
    <row r="59" spans="1:21" x14ac:dyDescent="0.25">
      <c r="A59" s="32">
        <v>15</v>
      </c>
      <c r="B59" s="21" t="s">
        <v>5</v>
      </c>
      <c r="C59" s="51"/>
      <c r="D59" s="51"/>
      <c r="E59" s="22"/>
      <c r="F59" s="22"/>
      <c r="G59" s="22"/>
      <c r="H59" s="606"/>
      <c r="I59" s="22"/>
      <c r="J59" s="22"/>
      <c r="K59" s="22"/>
      <c r="L59" s="22"/>
      <c r="M59" s="22"/>
      <c r="N59" s="22"/>
      <c r="O59" s="15"/>
      <c r="P59" s="15"/>
      <c r="Q59" s="15"/>
      <c r="R59" s="15"/>
      <c r="S59" s="15"/>
      <c r="T59" s="15"/>
      <c r="U59" s="15"/>
    </row>
    <row r="60" spans="1:21" x14ac:dyDescent="0.25">
      <c r="A60" s="32">
        <v>16</v>
      </c>
      <c r="B60" s="21" t="s">
        <v>6</v>
      </c>
      <c r="C60" s="51"/>
      <c r="D60" s="51"/>
      <c r="E60" s="138"/>
      <c r="F60" s="23"/>
      <c r="G60" s="21"/>
      <c r="H60" s="606"/>
      <c r="I60" s="15"/>
      <c r="J60" s="15"/>
      <c r="K60" s="15"/>
      <c r="L60" s="22"/>
      <c r="M60" s="22"/>
      <c r="N60" s="22"/>
      <c r="O60" s="15"/>
      <c r="P60" s="15"/>
      <c r="Q60" s="15"/>
      <c r="R60" s="15"/>
      <c r="S60" s="15"/>
      <c r="T60" s="15"/>
      <c r="U60" s="15"/>
    </row>
    <row r="61" spans="1:21" x14ac:dyDescent="0.25">
      <c r="A61" s="32">
        <v>17</v>
      </c>
      <c r="B61" s="21" t="s">
        <v>7</v>
      </c>
      <c r="C61" s="51"/>
      <c r="D61" s="51"/>
      <c r="E61" s="138"/>
      <c r="F61" s="23"/>
      <c r="G61" s="21"/>
      <c r="H61" s="606"/>
      <c r="I61" s="15"/>
      <c r="J61" s="15"/>
      <c r="K61" s="15"/>
      <c r="L61" s="22"/>
      <c r="M61" s="22"/>
      <c r="N61" s="22"/>
      <c r="O61" s="15"/>
      <c r="P61" s="15"/>
      <c r="Q61" s="15"/>
      <c r="R61" s="15"/>
      <c r="S61" s="15"/>
      <c r="T61" s="15"/>
      <c r="U61" s="15"/>
    </row>
    <row r="62" spans="1:21" x14ac:dyDescent="0.25">
      <c r="A62" s="32">
        <v>18</v>
      </c>
      <c r="B62" s="3" t="s">
        <v>8</v>
      </c>
      <c r="C62" s="4">
        <v>0.41666666666666669</v>
      </c>
      <c r="D62" s="4">
        <v>0.45833333333333331</v>
      </c>
      <c r="E62" s="3">
        <v>2</v>
      </c>
      <c r="F62" s="5"/>
      <c r="G62" s="3" t="s">
        <v>125</v>
      </c>
      <c r="H62" s="606"/>
      <c r="I62" s="15"/>
      <c r="J62" s="15"/>
      <c r="K62" s="22"/>
      <c r="L62" s="22"/>
      <c r="M62" s="22"/>
      <c r="N62" s="22"/>
      <c r="O62" s="15"/>
      <c r="P62" s="15"/>
      <c r="Q62" s="15"/>
      <c r="R62" s="15"/>
      <c r="S62" s="15"/>
      <c r="T62" s="15"/>
      <c r="U62" s="15"/>
    </row>
    <row r="63" spans="1:21" x14ac:dyDescent="0.25">
      <c r="A63" s="32"/>
      <c r="B63" s="13" t="s">
        <v>26</v>
      </c>
      <c r="C63" s="32"/>
      <c r="D63" s="32"/>
      <c r="E63" s="32">
        <f>SUM(E56:E62)</f>
        <v>2</v>
      </c>
      <c r="F63" s="15"/>
      <c r="G63" s="144" t="s">
        <v>291</v>
      </c>
      <c r="H63" s="22"/>
      <c r="I63" s="15"/>
      <c r="J63" s="15"/>
      <c r="K63" s="15"/>
      <c r="L63" s="22"/>
      <c r="M63" s="22"/>
      <c r="N63" s="22"/>
      <c r="O63" s="15"/>
      <c r="P63" s="15"/>
      <c r="Q63" s="15"/>
      <c r="R63" s="15"/>
      <c r="S63" s="15"/>
      <c r="T63" s="15"/>
      <c r="U63" s="15"/>
    </row>
    <row r="64" spans="1:21" x14ac:dyDescent="0.25">
      <c r="A64" s="32"/>
      <c r="B64" s="13"/>
      <c r="C64" s="32"/>
      <c r="D64" s="32"/>
      <c r="E64" s="32"/>
      <c r="F64" s="15"/>
      <c r="G64" s="22"/>
      <c r="H64" s="22"/>
      <c r="I64" s="15"/>
      <c r="J64" s="15"/>
      <c r="K64" s="15"/>
      <c r="L64" s="22"/>
      <c r="M64" s="22"/>
      <c r="N64" s="22"/>
      <c r="O64" s="15"/>
      <c r="P64" s="15"/>
      <c r="Q64" s="15"/>
      <c r="R64" s="15"/>
      <c r="S64" s="15"/>
      <c r="T64" s="15"/>
      <c r="U64" s="22"/>
    </row>
    <row r="65" spans="1:21" x14ac:dyDescent="0.25">
      <c r="A65" s="32"/>
      <c r="B65" s="2" t="s">
        <v>304</v>
      </c>
      <c r="C65" s="20" t="s">
        <v>11</v>
      </c>
      <c r="D65" s="20" t="s">
        <v>12</v>
      </c>
      <c r="E65" s="20" t="s">
        <v>13</v>
      </c>
      <c r="F65" s="20" t="s">
        <v>14</v>
      </c>
      <c r="G65" s="20" t="s">
        <v>0</v>
      </c>
      <c r="H65" s="22"/>
      <c r="I65" s="15"/>
      <c r="J65" s="15"/>
      <c r="K65" s="15"/>
      <c r="L65" s="22"/>
      <c r="M65" s="22"/>
      <c r="N65" s="22"/>
      <c r="O65" s="15"/>
      <c r="P65" s="15"/>
      <c r="Q65" s="15"/>
      <c r="R65" s="15"/>
      <c r="S65" s="15"/>
      <c r="T65" s="15"/>
      <c r="U65" s="15"/>
    </row>
    <row r="66" spans="1:21" x14ac:dyDescent="0.25">
      <c r="A66" s="32">
        <v>23</v>
      </c>
      <c r="B66" s="3" t="s">
        <v>2</v>
      </c>
      <c r="C66" s="6">
        <v>0.45833333333333331</v>
      </c>
      <c r="D66" s="4">
        <v>0.47916666666666669</v>
      </c>
      <c r="E66" s="3">
        <v>0.5</v>
      </c>
      <c r="F66" s="5"/>
      <c r="G66" s="3" t="s">
        <v>277</v>
      </c>
      <c r="H66" s="22"/>
      <c r="I66" s="15"/>
      <c r="J66" s="15"/>
      <c r="K66" s="15"/>
      <c r="L66" s="22"/>
      <c r="M66" s="22"/>
      <c r="N66" s="22"/>
      <c r="O66" s="15"/>
      <c r="P66" s="15"/>
      <c r="Q66" s="15"/>
      <c r="R66" s="15"/>
      <c r="S66" s="15"/>
      <c r="T66" s="15"/>
      <c r="U66" s="15"/>
    </row>
    <row r="67" spans="1:21" x14ac:dyDescent="0.25">
      <c r="A67" s="32">
        <v>24</v>
      </c>
      <c r="B67" s="3" t="s">
        <v>3</v>
      </c>
      <c r="C67" s="7">
        <v>0.45833333333333331</v>
      </c>
      <c r="D67" s="7">
        <v>0.52083333333333337</v>
      </c>
      <c r="E67">
        <v>1.5</v>
      </c>
      <c r="G67" t="s">
        <v>278</v>
      </c>
      <c r="H67" s="22"/>
      <c r="I67" s="15"/>
      <c r="J67" s="15"/>
      <c r="K67" s="15"/>
      <c r="L67" s="22"/>
      <c r="M67" s="22"/>
      <c r="N67" s="22"/>
      <c r="O67" s="15"/>
      <c r="P67" s="15"/>
      <c r="Q67" s="15"/>
      <c r="R67" s="15"/>
      <c r="S67" s="15"/>
      <c r="T67" s="15"/>
      <c r="U67" s="15"/>
    </row>
    <row r="68" spans="1:21" x14ac:dyDescent="0.25">
      <c r="A68" s="32">
        <v>25</v>
      </c>
      <c r="B68" s="3" t="s">
        <v>4</v>
      </c>
      <c r="C68" s="7">
        <v>0.4375</v>
      </c>
      <c r="D68" s="7">
        <v>0.47916666666666669</v>
      </c>
      <c r="E68">
        <v>1</v>
      </c>
      <c r="G68" s="3" t="s">
        <v>279</v>
      </c>
      <c r="H68" s="15"/>
      <c r="I68" s="15"/>
      <c r="J68" s="15"/>
      <c r="K68" s="15"/>
      <c r="L68" s="22"/>
      <c r="M68" s="22"/>
      <c r="N68" s="22"/>
      <c r="O68" s="15"/>
      <c r="P68" s="15"/>
      <c r="Q68" s="15"/>
      <c r="R68" s="15"/>
      <c r="S68" s="15"/>
      <c r="T68" s="15"/>
      <c r="U68" s="15"/>
    </row>
    <row r="69" spans="1:21" x14ac:dyDescent="0.25">
      <c r="A69" s="32">
        <v>26</v>
      </c>
      <c r="B69" s="3"/>
      <c r="C69" s="7">
        <v>0.29166666666666669</v>
      </c>
      <c r="D69" s="7">
        <v>0.41666666666666669</v>
      </c>
      <c r="E69">
        <v>3</v>
      </c>
      <c r="G69" s="3" t="s">
        <v>280</v>
      </c>
      <c r="H69" s="22"/>
      <c r="I69" s="15"/>
      <c r="J69" s="15"/>
      <c r="K69" s="15"/>
      <c r="L69" s="22"/>
      <c r="M69" s="22"/>
      <c r="N69" s="22"/>
      <c r="O69" s="15"/>
      <c r="P69" s="15"/>
      <c r="Q69" s="15"/>
      <c r="R69" s="15"/>
      <c r="S69" s="15"/>
      <c r="T69" s="15"/>
      <c r="U69" s="15"/>
    </row>
    <row r="70" spans="1:21" x14ac:dyDescent="0.25">
      <c r="A70" s="32">
        <v>27</v>
      </c>
      <c r="B70" s="3" t="s">
        <v>5</v>
      </c>
      <c r="C70" s="4">
        <v>0.41666666666666669</v>
      </c>
      <c r="D70" s="4">
        <v>0.45833333333333331</v>
      </c>
      <c r="E70" s="3">
        <v>1</v>
      </c>
      <c r="F70" s="5"/>
      <c r="G70" s="3" t="s">
        <v>281</v>
      </c>
      <c r="H70" s="15"/>
      <c r="I70" s="15"/>
      <c r="J70" s="15"/>
      <c r="K70" s="15"/>
      <c r="L70" s="22"/>
      <c r="M70" s="22"/>
      <c r="N70" s="22"/>
      <c r="O70" s="15"/>
      <c r="P70" s="15"/>
      <c r="Q70" s="15"/>
      <c r="R70" s="15"/>
      <c r="S70" s="15"/>
      <c r="T70" s="15"/>
      <c r="U70" s="15"/>
    </row>
    <row r="71" spans="1:21" x14ac:dyDescent="0.25">
      <c r="A71" s="32">
        <v>28</v>
      </c>
      <c r="B71" s="3" t="s">
        <v>6</v>
      </c>
      <c r="C71" s="8">
        <v>0.45833333333333331</v>
      </c>
      <c r="D71" s="8">
        <v>0.5</v>
      </c>
      <c r="E71" s="3">
        <v>1</v>
      </c>
      <c r="G71" s="5" t="s">
        <v>282</v>
      </c>
      <c r="H71" s="22"/>
      <c r="I71" s="15"/>
      <c r="J71" s="15"/>
      <c r="K71" s="15"/>
      <c r="L71" s="22"/>
      <c r="M71" s="22"/>
      <c r="N71" s="22"/>
      <c r="O71" s="15"/>
      <c r="P71" s="15"/>
      <c r="Q71" s="15"/>
      <c r="R71" s="15"/>
      <c r="S71" s="15"/>
      <c r="T71" s="15"/>
      <c r="U71" s="15"/>
    </row>
    <row r="72" spans="1:21" x14ac:dyDescent="0.25">
      <c r="A72" s="32">
        <v>29</v>
      </c>
      <c r="B72" s="3" t="s">
        <v>7</v>
      </c>
      <c r="C72" s="8">
        <v>0.41666666666666669</v>
      </c>
      <c r="D72" s="8">
        <v>0.54166666666666663</v>
      </c>
      <c r="E72" s="3">
        <v>3</v>
      </c>
      <c r="F72" s="5"/>
      <c r="G72" s="3" t="s">
        <v>283</v>
      </c>
      <c r="H72" s="22"/>
      <c r="I72" s="15"/>
      <c r="J72" s="15"/>
      <c r="K72" s="15"/>
      <c r="L72" s="22"/>
      <c r="M72" s="22"/>
      <c r="N72" s="22"/>
      <c r="O72" s="15"/>
      <c r="P72" s="15"/>
      <c r="Q72" s="15"/>
      <c r="R72" s="15"/>
      <c r="S72" s="15"/>
      <c r="T72" s="15"/>
      <c r="U72" s="15"/>
    </row>
    <row r="73" spans="1:21" x14ac:dyDescent="0.25">
      <c r="A73" s="32">
        <v>30</v>
      </c>
      <c r="B73" s="3" t="s">
        <v>8</v>
      </c>
      <c r="C73" s="4"/>
      <c r="D73" s="4"/>
      <c r="E73" s="3"/>
      <c r="F73" s="5"/>
      <c r="G73" s="3"/>
      <c r="H73" s="22"/>
      <c r="I73" s="15"/>
      <c r="J73" s="15"/>
      <c r="K73" s="15"/>
      <c r="L73" s="22"/>
      <c r="M73" s="22"/>
      <c r="N73" s="22"/>
      <c r="O73" s="15"/>
      <c r="P73" s="15"/>
      <c r="Q73" s="15"/>
      <c r="R73" s="15"/>
      <c r="S73" s="15"/>
      <c r="T73" s="15"/>
      <c r="U73" s="15"/>
    </row>
    <row r="74" spans="1:21" x14ac:dyDescent="0.25">
      <c r="A74" s="32"/>
      <c r="B74" s="2" t="s">
        <v>26</v>
      </c>
      <c r="C74" s="1"/>
      <c r="D74" s="1"/>
      <c r="E74" s="1">
        <f>SUM(E66:E73)</f>
        <v>11</v>
      </c>
      <c r="G74" s="144" t="s">
        <v>292</v>
      </c>
      <c r="H74" s="15"/>
      <c r="I74" s="15"/>
      <c r="J74" s="15"/>
      <c r="K74" s="15"/>
      <c r="L74" s="22"/>
      <c r="M74" s="22"/>
      <c r="N74" s="22"/>
      <c r="O74" s="15"/>
      <c r="P74" s="15"/>
      <c r="Q74" s="15"/>
      <c r="R74" s="15"/>
      <c r="S74" s="15"/>
      <c r="T74" s="15"/>
      <c r="U74" s="15"/>
    </row>
    <row r="75" spans="1:21" x14ac:dyDescent="0.25">
      <c r="A75" s="144" t="s">
        <v>305</v>
      </c>
      <c r="B75" s="35" t="s">
        <v>227</v>
      </c>
      <c r="C75" s="60"/>
      <c r="D75" s="61"/>
      <c r="E75" s="35"/>
      <c r="F75" s="115" t="s">
        <v>293</v>
      </c>
      <c r="G75" s="144" t="s">
        <v>292</v>
      </c>
      <c r="H75" s="151" t="s">
        <v>103</v>
      </c>
      <c r="I75" s="15"/>
      <c r="J75" s="15"/>
      <c r="K75" s="15"/>
      <c r="L75" s="22"/>
      <c r="M75" s="22"/>
      <c r="N75" s="22"/>
      <c r="O75" s="15"/>
      <c r="P75" s="15"/>
      <c r="Q75" s="15"/>
      <c r="R75" s="15"/>
      <c r="S75" s="15"/>
      <c r="T75" s="15"/>
      <c r="U75" s="15"/>
    </row>
    <row r="76" spans="1:21" x14ac:dyDescent="0.25">
      <c r="A76" s="15"/>
      <c r="B76" s="15"/>
      <c r="C76" s="15"/>
      <c r="D76" s="15"/>
      <c r="E76" s="22"/>
      <c r="F76" s="22"/>
      <c r="G76" s="22"/>
      <c r="H76" s="22"/>
      <c r="I76" s="15"/>
      <c r="J76" s="15"/>
      <c r="K76" s="15"/>
      <c r="L76" s="22"/>
      <c r="M76" s="22"/>
      <c r="N76" s="22"/>
      <c r="O76" s="15"/>
      <c r="P76" s="15"/>
      <c r="Q76" s="15"/>
      <c r="R76" s="15"/>
      <c r="S76" s="15"/>
      <c r="T76" s="15"/>
      <c r="U76" s="15"/>
    </row>
    <row r="77" spans="1:21" x14ac:dyDescent="0.25">
      <c r="A77" s="623" t="s">
        <v>473</v>
      </c>
      <c r="B77" s="623"/>
      <c r="C77" s="623"/>
      <c r="D77" s="623"/>
      <c r="E77" s="623"/>
      <c r="F77" s="623"/>
      <c r="G77" s="623"/>
      <c r="H77" s="623"/>
      <c r="I77" s="15"/>
      <c r="J77" s="15"/>
      <c r="K77" s="15"/>
      <c r="L77" s="22"/>
      <c r="M77" s="22"/>
      <c r="N77" s="22"/>
      <c r="O77" s="15"/>
      <c r="P77" s="15"/>
      <c r="Q77" s="15"/>
      <c r="R77" s="15"/>
      <c r="S77" s="15"/>
      <c r="T77" s="15"/>
      <c r="U77" s="15"/>
    </row>
    <row r="78" spans="1:21" x14ac:dyDescent="0.25">
      <c r="A78" s="623"/>
      <c r="B78" s="623"/>
      <c r="C78" s="623"/>
      <c r="D78" s="623"/>
      <c r="E78" s="623"/>
      <c r="F78" s="623"/>
      <c r="G78" s="623"/>
      <c r="H78" s="623"/>
      <c r="I78" s="15"/>
      <c r="J78" s="15"/>
      <c r="K78" s="15"/>
      <c r="L78" s="22"/>
      <c r="M78" s="22"/>
      <c r="N78" s="22"/>
      <c r="O78" s="15"/>
      <c r="P78" s="15"/>
      <c r="Q78" s="15"/>
      <c r="R78" s="15"/>
      <c r="S78" s="15"/>
      <c r="T78" s="15"/>
      <c r="U78" s="15"/>
    </row>
    <row r="79" spans="1:21" x14ac:dyDescent="0.25">
      <c r="A79" s="623"/>
      <c r="B79" s="623"/>
      <c r="C79" s="623"/>
      <c r="D79" s="623"/>
      <c r="E79" s="623"/>
      <c r="F79" s="623"/>
      <c r="G79" s="623"/>
      <c r="H79" s="623"/>
      <c r="I79" s="15"/>
      <c r="J79" s="15"/>
      <c r="K79" s="15"/>
      <c r="L79" s="22"/>
      <c r="M79" s="22"/>
      <c r="N79" s="22"/>
      <c r="O79" s="15"/>
      <c r="P79" s="15"/>
      <c r="Q79" s="15"/>
      <c r="R79" s="15"/>
      <c r="S79" s="15"/>
      <c r="T79" s="15"/>
      <c r="U79" s="15"/>
    </row>
    <row r="80" spans="1:21" ht="99.75" customHeight="1" x14ac:dyDescent="0.25">
      <c r="A80" s="623"/>
      <c r="B80" s="623"/>
      <c r="C80" s="623"/>
      <c r="D80" s="623"/>
      <c r="E80" s="623"/>
      <c r="F80" s="623"/>
      <c r="G80" s="623"/>
      <c r="H80" s="623"/>
      <c r="I80" s="15"/>
      <c r="J80" s="15"/>
      <c r="K80" s="15"/>
      <c r="L80" s="22"/>
      <c r="M80" s="22"/>
      <c r="N80" s="22"/>
      <c r="O80" s="15"/>
      <c r="P80" s="15"/>
      <c r="Q80" s="15"/>
      <c r="R80" s="15"/>
      <c r="S80" s="15"/>
      <c r="T80" s="15"/>
      <c r="U80" s="15"/>
    </row>
    <row r="81" spans="1:21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22"/>
      <c r="M81" s="22"/>
      <c r="N81" s="22"/>
      <c r="O81" s="15"/>
      <c r="P81" s="15"/>
      <c r="Q81" s="15"/>
      <c r="R81" s="15"/>
      <c r="S81" s="15"/>
      <c r="T81" s="15"/>
      <c r="U81" s="15"/>
    </row>
    <row r="82" spans="1:21" x14ac:dyDescent="0.25">
      <c r="A82" s="608">
        <v>43124</v>
      </c>
      <c r="B82" s="609"/>
      <c r="C82" s="609"/>
      <c r="D82" s="609"/>
      <c r="E82" s="609"/>
      <c r="F82" s="609"/>
      <c r="G82" s="609"/>
      <c r="H82" s="611"/>
      <c r="J82" s="15"/>
      <c r="K82" s="15"/>
      <c r="L82" s="22"/>
      <c r="M82" s="22"/>
      <c r="N82" s="22"/>
      <c r="O82" s="15"/>
      <c r="P82" s="15"/>
      <c r="Q82" s="15"/>
      <c r="R82" s="15"/>
      <c r="S82" s="15"/>
      <c r="T82" s="15"/>
      <c r="U82" s="15"/>
    </row>
    <row r="83" spans="1:21" x14ac:dyDescent="0.25">
      <c r="A83" s="608">
        <v>43138</v>
      </c>
      <c r="B83" s="609"/>
      <c r="C83" s="609"/>
      <c r="D83" s="609"/>
      <c r="E83" s="609"/>
      <c r="F83" s="609"/>
      <c r="G83" s="609"/>
      <c r="H83" s="611"/>
      <c r="J83" s="15"/>
      <c r="K83" s="15"/>
      <c r="L83" s="22"/>
      <c r="M83" s="22"/>
      <c r="N83" s="22"/>
      <c r="O83" s="15"/>
      <c r="P83" s="15"/>
      <c r="Q83" s="15"/>
      <c r="R83" s="15"/>
      <c r="S83" s="15"/>
      <c r="T83" s="15"/>
      <c r="U83" s="15"/>
    </row>
    <row r="84" spans="1:21" x14ac:dyDescent="0.25">
      <c r="A84" s="608">
        <v>43166</v>
      </c>
      <c r="B84" s="609"/>
      <c r="C84" s="609"/>
      <c r="D84" s="609"/>
      <c r="E84" s="609"/>
      <c r="F84" s="609"/>
      <c r="G84" s="609"/>
      <c r="H84" s="611"/>
      <c r="J84" s="15"/>
      <c r="K84" s="15"/>
      <c r="L84" s="22"/>
      <c r="M84" s="22"/>
      <c r="N84" s="22"/>
      <c r="O84" s="15"/>
      <c r="P84" s="15"/>
      <c r="Q84" s="15"/>
      <c r="R84" s="15"/>
      <c r="S84" s="15"/>
      <c r="T84" s="15"/>
      <c r="U84" s="15"/>
    </row>
    <row r="85" spans="1:21" x14ac:dyDescent="0.25">
      <c r="A85" s="608">
        <v>43194</v>
      </c>
      <c r="B85" s="609"/>
      <c r="C85" s="609"/>
      <c r="D85" s="609"/>
      <c r="E85" s="609"/>
      <c r="F85" s="609"/>
      <c r="G85" s="609"/>
      <c r="H85" s="611"/>
      <c r="J85" s="15"/>
      <c r="K85" s="15"/>
      <c r="L85" s="22"/>
      <c r="M85" s="22"/>
      <c r="N85" s="22"/>
      <c r="O85" s="15"/>
      <c r="P85" s="15"/>
      <c r="Q85" s="15"/>
      <c r="R85" s="15"/>
      <c r="S85" s="15"/>
      <c r="T85" s="15"/>
      <c r="U85" s="15"/>
    </row>
    <row r="86" spans="1:21" x14ac:dyDescent="0.25">
      <c r="A86" s="608">
        <v>43208</v>
      </c>
      <c r="B86" s="609"/>
      <c r="C86" s="609"/>
      <c r="D86" s="609"/>
      <c r="E86" s="609"/>
      <c r="F86" s="609"/>
      <c r="G86" s="609"/>
      <c r="H86" s="611"/>
      <c r="J86" s="15"/>
      <c r="K86" s="15"/>
      <c r="L86" s="22"/>
      <c r="M86" s="22"/>
      <c r="N86" s="22"/>
      <c r="O86" s="15"/>
      <c r="P86" s="15"/>
      <c r="Q86" s="15"/>
      <c r="R86" s="15"/>
      <c r="S86" s="15"/>
      <c r="T86" s="15"/>
      <c r="U86" s="15"/>
    </row>
    <row r="87" spans="1:21" x14ac:dyDescent="0.25">
      <c r="A87" s="608">
        <v>43222</v>
      </c>
      <c r="B87" s="609"/>
      <c r="C87" s="609"/>
      <c r="D87" s="609"/>
      <c r="E87" s="609"/>
      <c r="F87" s="609"/>
      <c r="G87" s="609"/>
      <c r="H87" s="611"/>
      <c r="J87" s="15"/>
      <c r="K87" s="15"/>
      <c r="L87" s="22"/>
      <c r="M87" s="22"/>
      <c r="N87" s="22"/>
      <c r="O87" s="15"/>
      <c r="P87" s="15"/>
      <c r="Q87" s="15"/>
      <c r="R87" s="15"/>
      <c r="S87" s="15"/>
      <c r="T87" s="15"/>
      <c r="U87" s="15"/>
    </row>
    <row r="88" spans="1:21" x14ac:dyDescent="0.25">
      <c r="A88" s="608">
        <v>43236</v>
      </c>
      <c r="B88" s="609"/>
      <c r="C88" s="609"/>
      <c r="D88" s="609"/>
      <c r="E88" s="609"/>
      <c r="F88" s="609"/>
      <c r="G88" s="609"/>
      <c r="H88" s="611"/>
      <c r="J88" s="15"/>
      <c r="K88" s="15"/>
      <c r="L88" s="22"/>
      <c r="M88" s="22"/>
      <c r="N88" s="22"/>
      <c r="O88" s="15"/>
      <c r="P88" s="15"/>
      <c r="Q88" s="15"/>
      <c r="R88" s="15"/>
      <c r="S88" s="15"/>
      <c r="T88" s="15"/>
      <c r="U88" s="15"/>
    </row>
    <row r="89" spans="1:21" x14ac:dyDescent="0.25">
      <c r="A89" s="608">
        <v>43250</v>
      </c>
      <c r="B89" s="609"/>
      <c r="C89" s="609"/>
      <c r="D89" s="609"/>
      <c r="E89" s="609"/>
      <c r="F89" s="609"/>
      <c r="G89" s="609"/>
      <c r="H89" s="611"/>
      <c r="J89" s="15"/>
      <c r="K89" s="15"/>
      <c r="L89" s="22"/>
      <c r="M89" s="22"/>
      <c r="N89" s="22"/>
      <c r="O89" s="15"/>
      <c r="P89" s="15"/>
      <c r="Q89" s="15"/>
      <c r="R89" s="15"/>
      <c r="S89" s="15"/>
      <c r="T89" s="15"/>
      <c r="U89" s="15"/>
    </row>
    <row r="90" spans="1:21" x14ac:dyDescent="0.25">
      <c r="A90" s="608">
        <v>43264</v>
      </c>
      <c r="B90" s="609"/>
      <c r="C90" s="609"/>
      <c r="D90" s="609"/>
      <c r="E90" s="609"/>
      <c r="F90" s="609"/>
      <c r="G90" s="609"/>
      <c r="H90" s="611"/>
      <c r="J90" s="15"/>
      <c r="K90" s="15"/>
      <c r="L90" s="22"/>
      <c r="M90" s="22"/>
      <c r="N90" s="22"/>
      <c r="O90" s="15"/>
      <c r="P90" s="15"/>
      <c r="Q90" s="15"/>
      <c r="R90" s="15"/>
      <c r="S90" s="15"/>
      <c r="T90" s="15"/>
      <c r="U90" s="15"/>
    </row>
    <row r="91" spans="1:21" x14ac:dyDescent="0.25">
      <c r="A91" s="608">
        <v>43278</v>
      </c>
      <c r="B91" s="609"/>
      <c r="C91" s="609"/>
      <c r="D91" s="609"/>
      <c r="E91" s="609"/>
      <c r="F91" s="609"/>
      <c r="G91" s="609"/>
      <c r="H91" s="611"/>
      <c r="J91" s="15"/>
      <c r="K91" s="15"/>
      <c r="L91" s="22"/>
      <c r="M91" s="22"/>
      <c r="N91" s="22"/>
      <c r="O91" s="15"/>
      <c r="P91" s="15"/>
      <c r="Q91" s="15"/>
      <c r="R91" s="15"/>
      <c r="S91" s="15"/>
      <c r="T91" s="15"/>
      <c r="U91" s="15"/>
    </row>
    <row r="92" spans="1:21" x14ac:dyDescent="0.25">
      <c r="A92" s="608">
        <v>43292</v>
      </c>
      <c r="B92" s="609"/>
      <c r="C92" s="609"/>
      <c r="D92" s="609"/>
      <c r="E92" s="609"/>
      <c r="F92" s="609"/>
      <c r="G92" s="609"/>
      <c r="H92" s="611"/>
      <c r="J92" s="15"/>
      <c r="K92" s="15"/>
      <c r="L92" s="22"/>
      <c r="M92" s="22"/>
      <c r="N92" s="22"/>
      <c r="O92" s="15"/>
      <c r="P92" s="15"/>
      <c r="Q92" s="15"/>
      <c r="R92" s="15"/>
      <c r="S92" s="15"/>
      <c r="T92" s="15"/>
      <c r="U92" s="15"/>
    </row>
    <row r="93" spans="1:21" x14ac:dyDescent="0.25">
      <c r="A93" s="300" t="s">
        <v>26</v>
      </c>
      <c r="B93" s="302"/>
      <c r="C93" s="302"/>
      <c r="D93" s="302"/>
      <c r="E93" s="302"/>
      <c r="F93" s="302"/>
      <c r="G93" s="301">
        <f>SUM(G82:G92)</f>
        <v>0</v>
      </c>
      <c r="H93" s="301">
        <f>SUM(H82:H92)</f>
        <v>0</v>
      </c>
      <c r="J93" s="15"/>
      <c r="K93" s="15"/>
      <c r="L93" s="22"/>
      <c r="M93" s="22"/>
      <c r="N93" s="22"/>
      <c r="O93" s="15"/>
      <c r="P93" s="15"/>
      <c r="Q93" s="15"/>
      <c r="R93" s="15"/>
      <c r="S93" s="15"/>
      <c r="T93" s="15"/>
      <c r="U93" s="15"/>
    </row>
    <row r="94" spans="1:21" x14ac:dyDescent="0.25">
      <c r="J94" s="15"/>
      <c r="K94" s="15"/>
      <c r="L94" s="22"/>
      <c r="M94" s="22"/>
      <c r="N94" s="22"/>
      <c r="O94" s="15"/>
      <c r="P94" s="15"/>
      <c r="Q94" s="15"/>
      <c r="R94" s="15"/>
      <c r="S94" s="15"/>
      <c r="T94" s="15"/>
      <c r="U94" s="15"/>
    </row>
    <row r="95" spans="1:21" x14ac:dyDescent="0.25">
      <c r="J95" s="15"/>
      <c r="K95" s="15"/>
      <c r="L95" s="22"/>
      <c r="M95" s="22"/>
      <c r="N95" s="22"/>
      <c r="O95" s="15"/>
      <c r="P95" s="15"/>
      <c r="Q95" s="15"/>
      <c r="R95" s="15"/>
      <c r="S95" s="15"/>
      <c r="T95" s="15"/>
      <c r="U95" s="15"/>
    </row>
    <row r="96" spans="1:21" x14ac:dyDescent="0.25">
      <c r="A96" s="15"/>
      <c r="B96" s="15"/>
      <c r="C96" s="15"/>
      <c r="D96" s="15"/>
      <c r="E96" s="15"/>
      <c r="F96" s="15"/>
      <c r="G96" s="15"/>
      <c r="H96" s="22"/>
      <c r="I96" s="22"/>
      <c r="J96" s="22"/>
      <c r="K96" s="22"/>
      <c r="L96" s="22"/>
      <c r="M96" s="22"/>
      <c r="N96" s="22"/>
      <c r="O96" s="15"/>
      <c r="P96" s="15"/>
      <c r="Q96" s="15"/>
      <c r="R96" s="15"/>
      <c r="S96" s="15"/>
      <c r="T96" s="15"/>
      <c r="U96" s="15"/>
    </row>
    <row r="97" spans="1:21" x14ac:dyDescent="0.25">
      <c r="A97" s="15"/>
      <c r="B97" s="15"/>
      <c r="C97" s="15"/>
      <c r="D97" s="15"/>
      <c r="E97" s="15"/>
      <c r="F97" s="15"/>
      <c r="G97" s="15"/>
      <c r="H97" s="22"/>
      <c r="I97" s="22"/>
      <c r="J97" s="22"/>
      <c r="K97" s="22"/>
      <c r="L97" s="22"/>
      <c r="M97" s="22"/>
      <c r="N97" s="22"/>
      <c r="O97" s="15"/>
      <c r="P97" s="15"/>
      <c r="Q97" s="15"/>
      <c r="R97" s="15"/>
      <c r="S97" s="15"/>
      <c r="T97" s="15"/>
      <c r="U97" s="15"/>
    </row>
    <row r="98" spans="1:21" x14ac:dyDescent="0.25">
      <c r="A98" s="15"/>
      <c r="B98" s="15"/>
      <c r="C98" s="15"/>
      <c r="D98" s="15"/>
      <c r="E98" s="15"/>
      <c r="F98" s="15"/>
      <c r="G98" s="15"/>
      <c r="H98" s="22"/>
      <c r="I98" s="22"/>
      <c r="J98" s="22"/>
      <c r="K98" s="22"/>
      <c r="L98" s="22"/>
      <c r="M98" s="22"/>
      <c r="N98" s="22"/>
      <c r="O98" s="15"/>
      <c r="P98" s="15"/>
      <c r="Q98" s="15"/>
      <c r="R98" s="15"/>
      <c r="S98" s="15"/>
      <c r="T98" s="15"/>
      <c r="U98" s="15"/>
    </row>
    <row r="99" spans="1:21" x14ac:dyDescent="0.25">
      <c r="A99" s="15"/>
      <c r="B99" s="15"/>
      <c r="C99" s="15"/>
      <c r="D99" s="15"/>
      <c r="E99" s="15"/>
      <c r="F99" s="15"/>
      <c r="G99" s="15"/>
      <c r="H99" s="22"/>
      <c r="I99" s="22"/>
      <c r="J99" s="22"/>
      <c r="K99" s="22"/>
      <c r="L99" s="22"/>
      <c r="M99" s="22"/>
      <c r="N99" s="22"/>
      <c r="O99" s="15"/>
      <c r="P99" s="15"/>
      <c r="Q99" s="15"/>
      <c r="R99" s="15"/>
      <c r="S99" s="15"/>
      <c r="T99" s="15"/>
      <c r="U99" s="15"/>
    </row>
    <row r="100" spans="1:21" x14ac:dyDescent="0.25">
      <c r="A100" s="15"/>
      <c r="B100" s="15"/>
      <c r="C100" s="15"/>
      <c r="D100" s="15"/>
      <c r="E100" s="15"/>
      <c r="F100" s="15"/>
      <c r="G100" s="15"/>
      <c r="H100" s="22"/>
      <c r="I100" s="22"/>
      <c r="J100" s="22"/>
      <c r="K100" s="22"/>
      <c r="L100" s="22"/>
      <c r="M100" s="22"/>
      <c r="N100" s="22"/>
      <c r="O100" s="15"/>
      <c r="P100" s="15"/>
      <c r="Q100" s="15"/>
      <c r="R100" s="15"/>
      <c r="S100" s="15"/>
      <c r="T100" s="15"/>
      <c r="U100" s="15"/>
    </row>
    <row r="101" spans="1:21" x14ac:dyDescent="0.25">
      <c r="A101" s="15"/>
      <c r="B101" s="15"/>
      <c r="C101" s="15"/>
      <c r="D101" s="15"/>
      <c r="E101" s="15"/>
      <c r="F101" s="15"/>
      <c r="G101" s="15"/>
      <c r="H101" s="22"/>
      <c r="I101" s="22"/>
      <c r="J101" s="22"/>
      <c r="K101" s="22"/>
      <c r="L101" s="22"/>
      <c r="M101" s="22"/>
      <c r="N101" s="22"/>
      <c r="O101" s="15"/>
      <c r="P101" s="15"/>
      <c r="Q101" s="15"/>
      <c r="R101" s="15"/>
      <c r="S101" s="15"/>
      <c r="T101" s="15"/>
      <c r="U101" s="15"/>
    </row>
    <row r="102" spans="1:21" x14ac:dyDescent="0.25">
      <c r="A102" s="15"/>
      <c r="B102" s="15"/>
      <c r="C102" s="15"/>
      <c r="D102" s="15"/>
      <c r="E102" s="15"/>
      <c r="F102" s="15"/>
      <c r="G102" s="15"/>
      <c r="H102" s="22"/>
      <c r="I102" s="22"/>
      <c r="J102" s="22"/>
      <c r="K102" s="22"/>
      <c r="L102" s="22"/>
      <c r="M102" s="22"/>
      <c r="N102" s="22"/>
      <c r="O102" s="15"/>
      <c r="P102" s="15"/>
      <c r="Q102" s="15"/>
      <c r="R102" s="15"/>
      <c r="S102" s="15"/>
      <c r="T102" s="15"/>
      <c r="U102" s="15"/>
    </row>
    <row r="103" spans="1:21" x14ac:dyDescent="0.25">
      <c r="A103" s="15"/>
      <c r="B103" s="15"/>
      <c r="C103" s="15"/>
      <c r="D103" s="15"/>
      <c r="E103" s="15"/>
      <c r="F103" s="15"/>
      <c r="G103" s="15"/>
      <c r="H103" s="22"/>
      <c r="I103" s="22"/>
      <c r="J103" s="22"/>
      <c r="K103" s="22"/>
      <c r="L103" s="22"/>
      <c r="M103" s="22"/>
      <c r="N103" s="22"/>
      <c r="O103" s="15"/>
      <c r="P103" s="15"/>
      <c r="Q103" s="15"/>
      <c r="R103" s="15"/>
      <c r="S103" s="15"/>
      <c r="T103" s="15"/>
      <c r="U103" s="15"/>
    </row>
    <row r="104" spans="1:21" x14ac:dyDescent="0.25">
      <c r="A104" s="15"/>
      <c r="B104" s="15"/>
      <c r="C104" s="15"/>
      <c r="D104" s="15"/>
      <c r="E104" s="15"/>
      <c r="F104" s="15"/>
      <c r="G104" s="15"/>
      <c r="H104" s="22"/>
      <c r="I104" s="22"/>
      <c r="J104" s="22"/>
      <c r="K104" s="22"/>
      <c r="L104" s="22"/>
      <c r="M104" s="22"/>
      <c r="N104" s="22"/>
      <c r="O104" s="15"/>
      <c r="P104" s="15"/>
      <c r="Q104" s="15"/>
      <c r="R104" s="15"/>
      <c r="S104" s="15"/>
      <c r="T104" s="15"/>
      <c r="U104" s="15"/>
    </row>
    <row r="105" spans="1:21" x14ac:dyDescent="0.25">
      <c r="A105" s="15"/>
      <c r="B105" s="15"/>
      <c r="C105" s="15"/>
      <c r="D105" s="15"/>
      <c r="E105" s="15"/>
      <c r="F105" s="15"/>
      <c r="G105" s="15"/>
      <c r="H105" s="22"/>
      <c r="I105" s="22"/>
      <c r="J105" s="22"/>
      <c r="K105" s="22"/>
      <c r="L105" s="22"/>
      <c r="M105" s="22"/>
      <c r="N105" s="22"/>
      <c r="O105" s="15"/>
      <c r="P105" s="15"/>
      <c r="Q105" s="15"/>
      <c r="R105" s="15"/>
      <c r="S105" s="15"/>
      <c r="T105" s="15"/>
      <c r="U105" s="15"/>
    </row>
    <row r="106" spans="1:21" x14ac:dyDescent="0.25">
      <c r="A106" s="15"/>
      <c r="B106" s="15"/>
      <c r="C106" s="15"/>
      <c r="D106" s="15"/>
      <c r="E106" s="15"/>
      <c r="F106" s="15"/>
      <c r="G106" s="15"/>
      <c r="H106" s="22"/>
      <c r="I106" s="22"/>
      <c r="J106" s="22"/>
      <c r="K106" s="22"/>
      <c r="L106" s="22"/>
      <c r="M106" s="22"/>
      <c r="N106" s="22"/>
      <c r="O106" s="15"/>
      <c r="P106" s="15"/>
      <c r="Q106" s="15"/>
      <c r="R106" s="15"/>
      <c r="S106" s="15"/>
      <c r="T106" s="15"/>
      <c r="U106" s="15"/>
    </row>
    <row r="107" spans="1:21" x14ac:dyDescent="0.25">
      <c r="A107" s="15"/>
      <c r="B107" s="15"/>
      <c r="C107" s="15"/>
      <c r="D107" s="15"/>
      <c r="E107" s="15"/>
      <c r="F107" s="15"/>
      <c r="G107" s="15"/>
      <c r="H107" s="22"/>
      <c r="I107" s="22"/>
      <c r="J107" s="22"/>
      <c r="K107" s="22"/>
      <c r="L107" s="22"/>
      <c r="M107" s="22"/>
      <c r="N107" s="22"/>
      <c r="O107" s="15"/>
      <c r="P107" s="15"/>
      <c r="Q107" s="15"/>
      <c r="R107" s="15"/>
      <c r="S107" s="15"/>
      <c r="T107" s="15"/>
      <c r="U107" s="15"/>
    </row>
    <row r="108" spans="1:21" x14ac:dyDescent="0.25">
      <c r="A108" s="15"/>
      <c r="B108" s="15"/>
      <c r="C108" s="15"/>
      <c r="D108" s="15"/>
      <c r="E108" s="15"/>
      <c r="F108" s="15"/>
      <c r="G108" s="15"/>
      <c r="H108" s="22"/>
      <c r="I108" s="22"/>
      <c r="J108" s="22"/>
      <c r="K108" s="22"/>
      <c r="L108" s="22"/>
      <c r="M108" s="22"/>
      <c r="N108" s="22"/>
      <c r="O108" s="15"/>
      <c r="P108" s="15"/>
      <c r="Q108" s="15"/>
      <c r="R108" s="15"/>
      <c r="S108" s="15"/>
      <c r="T108" s="15"/>
      <c r="U108" s="15"/>
    </row>
    <row r="109" spans="1:21" x14ac:dyDescent="0.25">
      <c r="A109" s="15"/>
      <c r="B109" s="15"/>
      <c r="C109" s="15"/>
      <c r="D109" s="15"/>
      <c r="E109" s="15"/>
      <c r="F109" s="15"/>
      <c r="G109" s="15"/>
      <c r="H109" s="22"/>
      <c r="I109" s="22"/>
      <c r="J109" s="22"/>
      <c r="K109" s="22"/>
      <c r="L109" s="22"/>
      <c r="M109" s="22"/>
      <c r="N109" s="22"/>
      <c r="O109" s="15"/>
      <c r="P109" s="15"/>
      <c r="Q109" s="15"/>
      <c r="R109" s="15"/>
      <c r="S109" s="15"/>
      <c r="T109" s="15"/>
      <c r="U109" s="15"/>
    </row>
    <row r="110" spans="1:21" x14ac:dyDescent="0.25">
      <c r="A110" s="15"/>
      <c r="B110" s="15"/>
      <c r="C110" s="15"/>
      <c r="D110" s="15"/>
      <c r="E110" s="15"/>
      <c r="F110" s="15"/>
      <c r="G110" s="15"/>
      <c r="H110" s="22"/>
      <c r="I110" s="22"/>
      <c r="J110" s="22"/>
      <c r="K110" s="22"/>
      <c r="L110" s="22"/>
      <c r="M110" s="22"/>
      <c r="N110" s="22"/>
      <c r="O110" s="15"/>
      <c r="P110" s="15"/>
      <c r="Q110" s="15"/>
      <c r="R110" s="15"/>
      <c r="S110" s="15"/>
      <c r="T110" s="15"/>
      <c r="U110" s="15"/>
    </row>
    <row r="111" spans="1:21" x14ac:dyDescent="0.25">
      <c r="A111" s="15"/>
      <c r="B111" s="15"/>
      <c r="C111" s="15"/>
      <c r="D111" s="15"/>
      <c r="E111" s="15"/>
      <c r="F111" s="15"/>
      <c r="G111" s="15"/>
      <c r="H111" s="22"/>
      <c r="I111" s="22"/>
      <c r="J111" s="22"/>
      <c r="K111" s="22"/>
      <c r="L111" s="22"/>
      <c r="M111" s="22"/>
      <c r="N111" s="22"/>
      <c r="O111" s="15"/>
      <c r="P111" s="15"/>
      <c r="Q111" s="15"/>
      <c r="R111" s="15"/>
      <c r="S111" s="15"/>
      <c r="T111" s="15"/>
      <c r="U111" s="15"/>
    </row>
    <row r="112" spans="1:21" x14ac:dyDescent="0.25">
      <c r="A112" s="15"/>
      <c r="B112" s="15"/>
      <c r="C112" s="15"/>
      <c r="D112" s="15"/>
      <c r="E112" s="15"/>
      <c r="F112" s="15"/>
      <c r="G112" s="15"/>
      <c r="H112" s="22"/>
      <c r="I112" s="22"/>
      <c r="J112" s="22"/>
      <c r="K112" s="22"/>
      <c r="L112" s="22"/>
      <c r="M112" s="22"/>
      <c r="N112" s="22"/>
      <c r="O112" s="15"/>
      <c r="P112" s="15"/>
      <c r="Q112" s="15"/>
      <c r="R112" s="15"/>
      <c r="S112" s="15"/>
      <c r="T112" s="15"/>
      <c r="U112" s="15"/>
    </row>
    <row r="113" spans="1:21" x14ac:dyDescent="0.25">
      <c r="A113" s="15"/>
      <c r="B113" s="15"/>
      <c r="C113" s="15"/>
      <c r="D113" s="15"/>
      <c r="E113" s="15"/>
      <c r="F113" s="15"/>
      <c r="G113" s="15"/>
      <c r="H113" s="22"/>
      <c r="I113" s="22"/>
      <c r="J113" s="22"/>
      <c r="K113" s="22"/>
      <c r="L113" s="22"/>
      <c r="M113" s="22"/>
      <c r="N113" s="22"/>
      <c r="O113" s="15"/>
      <c r="P113" s="15"/>
      <c r="Q113" s="15"/>
      <c r="R113" s="15"/>
      <c r="S113" s="15"/>
      <c r="T113" s="15"/>
      <c r="U113" s="15"/>
    </row>
    <row r="114" spans="1:21" x14ac:dyDescent="0.25">
      <c r="A114" s="15"/>
      <c r="B114" s="15"/>
      <c r="C114" s="15"/>
      <c r="D114" s="15"/>
      <c r="E114" s="15"/>
      <c r="F114" s="15"/>
      <c r="G114" s="15"/>
      <c r="H114" s="22"/>
      <c r="I114" s="22"/>
      <c r="J114" s="22"/>
      <c r="K114" s="22"/>
      <c r="L114" s="22"/>
      <c r="M114" s="22"/>
      <c r="N114" s="22"/>
      <c r="O114" s="15"/>
      <c r="P114" s="15"/>
      <c r="Q114" s="15"/>
      <c r="R114" s="15"/>
      <c r="S114" s="15"/>
      <c r="T114" s="15"/>
      <c r="U114" s="15"/>
    </row>
    <row r="115" spans="1:21" x14ac:dyDescent="0.25">
      <c r="A115" s="15"/>
      <c r="B115" s="15"/>
      <c r="C115" s="15"/>
      <c r="D115" s="15"/>
      <c r="E115" s="15"/>
      <c r="F115" s="15"/>
      <c r="G115" s="15"/>
      <c r="H115" s="22"/>
      <c r="I115" s="22"/>
      <c r="J115" s="22"/>
      <c r="K115" s="22"/>
      <c r="L115" s="22"/>
      <c r="M115" s="22"/>
      <c r="N115" s="22"/>
      <c r="O115" s="15"/>
      <c r="P115" s="15"/>
      <c r="Q115" s="15"/>
      <c r="R115" s="15"/>
      <c r="S115" s="15"/>
      <c r="T115" s="15"/>
      <c r="U115" s="15"/>
    </row>
    <row r="116" spans="1:21" x14ac:dyDescent="0.25">
      <c r="A116" s="15"/>
      <c r="B116" s="15"/>
      <c r="C116" s="15"/>
      <c r="D116" s="15"/>
      <c r="E116" s="15"/>
      <c r="F116" s="15"/>
      <c r="G116" s="15"/>
      <c r="H116" s="22"/>
      <c r="I116" s="22"/>
      <c r="J116" s="22"/>
      <c r="K116" s="22"/>
      <c r="L116" s="22"/>
      <c r="M116" s="22"/>
      <c r="N116" s="22"/>
      <c r="O116" s="15"/>
      <c r="P116" s="15"/>
      <c r="Q116" s="15"/>
      <c r="R116" s="15"/>
      <c r="S116" s="15"/>
      <c r="T116" s="15"/>
      <c r="U116" s="15"/>
    </row>
    <row r="117" spans="1:21" x14ac:dyDescent="0.25">
      <c r="A117" s="15"/>
      <c r="B117" s="15"/>
      <c r="C117" s="15"/>
      <c r="D117" s="15"/>
      <c r="E117" s="15"/>
      <c r="F117" s="15"/>
      <c r="G117" s="15"/>
      <c r="H117" s="15"/>
      <c r="I117" s="22"/>
      <c r="J117" s="22"/>
      <c r="K117" s="22"/>
      <c r="L117" s="22"/>
      <c r="M117" s="22"/>
      <c r="N117" s="22"/>
      <c r="O117" s="15"/>
      <c r="P117" s="15"/>
      <c r="Q117" s="15"/>
      <c r="R117" s="15"/>
      <c r="S117" s="15"/>
      <c r="T117" s="15"/>
      <c r="U117" s="15"/>
    </row>
    <row r="118" spans="1:21" x14ac:dyDescent="0.25">
      <c r="A118" s="15"/>
      <c r="B118" s="15"/>
      <c r="C118" s="15"/>
      <c r="D118" s="15"/>
      <c r="E118" s="15"/>
      <c r="F118" s="15"/>
      <c r="G118" s="15"/>
      <c r="H118" s="15"/>
      <c r="I118" s="22"/>
      <c r="J118" s="22"/>
      <c r="K118" s="22"/>
      <c r="L118" s="22"/>
      <c r="M118" s="22"/>
      <c r="N118" s="22"/>
      <c r="O118" s="15"/>
      <c r="P118" s="15"/>
      <c r="Q118" s="15"/>
      <c r="R118" s="15"/>
      <c r="S118" s="15"/>
      <c r="T118" s="15"/>
      <c r="U118" s="15"/>
    </row>
    <row r="119" spans="1:21" x14ac:dyDescent="0.25">
      <c r="A119" s="15"/>
      <c r="B119" s="15"/>
      <c r="C119" s="15"/>
      <c r="D119" s="15"/>
      <c r="E119" s="15"/>
      <c r="F119" s="15"/>
      <c r="G119" s="15"/>
      <c r="H119" s="15"/>
      <c r="I119" s="22"/>
      <c r="J119" s="22"/>
      <c r="K119" s="22"/>
      <c r="L119" s="22"/>
      <c r="M119" s="22"/>
      <c r="N119" s="22"/>
      <c r="O119" s="15"/>
      <c r="P119" s="15"/>
      <c r="Q119" s="15"/>
      <c r="R119" s="15"/>
      <c r="S119" s="15"/>
      <c r="T119" s="15"/>
      <c r="U119" s="15"/>
    </row>
    <row r="120" spans="1:21" x14ac:dyDescent="0.25">
      <c r="A120" s="15"/>
      <c r="B120" s="15"/>
      <c r="C120" s="15"/>
      <c r="D120" s="15"/>
      <c r="E120" s="15"/>
      <c r="F120" s="15"/>
      <c r="G120" s="15"/>
      <c r="H120" s="15"/>
      <c r="I120" s="22"/>
      <c r="J120" s="22"/>
      <c r="K120" s="22"/>
      <c r="L120" s="22"/>
      <c r="M120" s="22"/>
      <c r="N120" s="22"/>
      <c r="O120" s="15"/>
      <c r="P120" s="15"/>
      <c r="Q120" s="15"/>
      <c r="R120" s="15"/>
      <c r="S120" s="15"/>
      <c r="T120" s="15"/>
      <c r="U120" s="15"/>
    </row>
    <row r="121" spans="1:21" x14ac:dyDescent="0.25">
      <c r="A121" s="15"/>
      <c r="B121" s="15"/>
      <c r="C121" s="15"/>
      <c r="D121" s="15"/>
      <c r="E121" s="15"/>
      <c r="F121" s="15"/>
      <c r="G121" s="15"/>
      <c r="H121" s="15"/>
      <c r="I121" s="22"/>
      <c r="J121" s="22"/>
      <c r="K121" s="22"/>
      <c r="L121" s="22"/>
      <c r="M121" s="22"/>
      <c r="N121" s="22"/>
      <c r="O121" s="15"/>
      <c r="P121" s="15"/>
      <c r="Q121" s="15"/>
      <c r="R121" s="15"/>
      <c r="S121" s="15"/>
      <c r="T121" s="15"/>
      <c r="U121" s="15"/>
    </row>
    <row r="122" spans="1:21" x14ac:dyDescent="0.25">
      <c r="A122" s="15"/>
      <c r="B122" s="15"/>
      <c r="C122" s="15"/>
      <c r="D122" s="15"/>
      <c r="E122" s="15"/>
      <c r="F122" s="15"/>
      <c r="G122" s="15"/>
      <c r="H122" s="15"/>
      <c r="I122" s="22"/>
      <c r="J122" s="22"/>
      <c r="K122" s="22"/>
      <c r="L122" s="22"/>
      <c r="M122" s="22"/>
      <c r="N122" s="22"/>
      <c r="O122" s="15"/>
      <c r="P122" s="15"/>
      <c r="Q122" s="15"/>
      <c r="R122" s="15"/>
      <c r="S122" s="15"/>
      <c r="T122" s="15"/>
      <c r="U122" s="15"/>
    </row>
    <row r="123" spans="1:21" x14ac:dyDescent="0.25">
      <c r="A123" s="15"/>
      <c r="B123" s="15"/>
      <c r="C123" s="15"/>
      <c r="D123" s="15"/>
      <c r="E123" s="15"/>
      <c r="F123" s="15"/>
      <c r="G123" s="15"/>
      <c r="H123" s="15"/>
      <c r="I123" s="22"/>
      <c r="J123" s="22"/>
      <c r="K123" s="22"/>
      <c r="L123" s="22"/>
      <c r="M123" s="22"/>
      <c r="N123" s="22"/>
      <c r="O123" s="15"/>
      <c r="P123" s="15"/>
      <c r="Q123" s="15"/>
      <c r="R123" s="15"/>
      <c r="S123" s="15"/>
      <c r="T123" s="15"/>
      <c r="U123" s="15"/>
    </row>
    <row r="124" spans="1:21" x14ac:dyDescent="0.25">
      <c r="A124" s="15"/>
      <c r="B124" s="15"/>
      <c r="C124" s="15"/>
      <c r="D124" s="15"/>
      <c r="E124" s="15"/>
      <c r="F124" s="15"/>
      <c r="G124" s="15"/>
      <c r="H124" s="15"/>
      <c r="I124" s="22"/>
      <c r="J124" s="22"/>
      <c r="K124" s="22"/>
      <c r="L124" s="22"/>
      <c r="M124" s="22"/>
      <c r="N124" s="22"/>
      <c r="O124" s="15"/>
      <c r="P124" s="15"/>
      <c r="Q124" s="15"/>
      <c r="R124" s="15"/>
      <c r="S124" s="15"/>
      <c r="T124" s="15"/>
      <c r="U124" s="15"/>
    </row>
    <row r="125" spans="1:21" x14ac:dyDescent="0.25">
      <c r="A125" s="15"/>
      <c r="B125" s="15"/>
      <c r="C125" s="15"/>
      <c r="D125" s="15"/>
      <c r="E125" s="15"/>
      <c r="F125" s="15"/>
      <c r="G125" s="15"/>
      <c r="H125" s="15"/>
      <c r="I125" s="22"/>
      <c r="J125" s="22"/>
      <c r="K125" s="22"/>
      <c r="L125" s="22"/>
      <c r="M125" s="22"/>
      <c r="N125" s="22"/>
      <c r="O125" s="15"/>
      <c r="P125" s="15"/>
      <c r="Q125" s="15"/>
      <c r="R125" s="15"/>
      <c r="S125" s="15"/>
      <c r="T125" s="15"/>
      <c r="U125" s="15"/>
    </row>
    <row r="126" spans="1:21" x14ac:dyDescent="0.25">
      <c r="A126" s="15"/>
      <c r="B126" s="15"/>
      <c r="C126" s="15"/>
      <c r="D126" s="15"/>
      <c r="E126" s="15"/>
      <c r="F126" s="15"/>
      <c r="G126" s="15"/>
      <c r="H126" s="15"/>
      <c r="I126" s="22"/>
      <c r="J126" s="22"/>
      <c r="K126" s="22"/>
      <c r="L126" s="22"/>
      <c r="M126" s="22"/>
      <c r="N126" s="22"/>
      <c r="O126" s="15"/>
      <c r="P126" s="15"/>
      <c r="Q126" s="15"/>
      <c r="R126" s="15"/>
      <c r="S126" s="15"/>
      <c r="T126" s="15"/>
      <c r="U126" s="15"/>
    </row>
    <row r="127" spans="1:21" x14ac:dyDescent="0.25">
      <c r="A127" s="15"/>
      <c r="B127" s="15"/>
      <c r="C127" s="15"/>
      <c r="D127" s="15"/>
      <c r="E127" s="15"/>
      <c r="F127" s="15"/>
      <c r="G127" s="15"/>
      <c r="H127" s="15"/>
      <c r="I127" s="22"/>
      <c r="J127" s="22"/>
      <c r="K127" s="22"/>
      <c r="L127" s="22"/>
      <c r="M127" s="22"/>
      <c r="N127" s="22"/>
      <c r="O127" s="15"/>
      <c r="P127" s="15"/>
      <c r="Q127" s="15"/>
      <c r="R127" s="15"/>
      <c r="S127" s="15"/>
      <c r="T127" s="15"/>
      <c r="U127" s="15"/>
    </row>
    <row r="128" spans="1:21" x14ac:dyDescent="0.25">
      <c r="A128" s="15"/>
      <c r="B128" s="15"/>
      <c r="C128" s="15"/>
      <c r="D128" s="15"/>
      <c r="E128" s="15"/>
      <c r="F128" s="15"/>
      <c r="G128" s="15"/>
      <c r="H128" s="15"/>
      <c r="I128" s="22"/>
      <c r="J128" s="22"/>
      <c r="K128" s="22"/>
      <c r="L128" s="22"/>
      <c r="M128" s="22"/>
      <c r="N128" s="22"/>
      <c r="O128" s="15"/>
      <c r="P128" s="15"/>
      <c r="Q128" s="15"/>
      <c r="R128" s="15"/>
      <c r="S128" s="15"/>
      <c r="T128" s="15"/>
      <c r="U128" s="15"/>
    </row>
  </sheetData>
  <mergeCells count="17">
    <mergeCell ref="A77:H80"/>
    <mergeCell ref="A88:H88"/>
    <mergeCell ref="A89:H89"/>
    <mergeCell ref="A90:H90"/>
    <mergeCell ref="A91:H91"/>
    <mergeCell ref="A92:H92"/>
    <mergeCell ref="A87:H87"/>
    <mergeCell ref="A82:H82"/>
    <mergeCell ref="A83:H83"/>
    <mergeCell ref="A84:H84"/>
    <mergeCell ref="A85:H85"/>
    <mergeCell ref="A86:H86"/>
    <mergeCell ref="A20:K21"/>
    <mergeCell ref="A3:K4"/>
    <mergeCell ref="H56:H62"/>
    <mergeCell ref="A41:H4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Finalised_timesheet</vt:lpstr>
      <vt:lpstr>Final_Anthony</vt:lpstr>
      <vt:lpstr>Final_Angelica</vt:lpstr>
      <vt:lpstr>Final_Marg</vt:lpstr>
      <vt:lpstr>Final_kyle</vt:lpstr>
      <vt:lpstr>Anthony</vt:lpstr>
      <vt:lpstr>Anthony_hist</vt:lpstr>
      <vt:lpstr>Angelica_hist</vt:lpstr>
      <vt:lpstr>Marg_hist</vt:lpstr>
      <vt:lpstr>Kyle_hist</vt:lpstr>
      <vt:lpstr>Angelica</vt:lpstr>
      <vt:lpstr>Margarita</vt:lpstr>
      <vt:lpstr>Margarita (2)</vt:lpstr>
      <vt:lpstr>Kyle</vt:lpstr>
      <vt:lpstr>Draft_timesheet</vt:lpstr>
      <vt:lpstr>Dates</vt:lpstr>
      <vt:lpstr>2 CostByEmployee_Data</vt:lpstr>
      <vt:lpstr>Extra_earnings</vt:lpstr>
      <vt:lpstr>Removed_extra</vt:lpstr>
      <vt:lpstr>Split_by_advisor</vt:lpstr>
      <vt:lpstr>Templates</vt:lpstr>
    </vt:vector>
  </TitlesOfParts>
  <Manager/>
  <Company>University of Canberra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R Davidson</dc:creator>
  <cp:keywords/>
  <dc:description/>
  <cp:lastModifiedBy>Anthony R Davidson</cp:lastModifiedBy>
  <cp:revision/>
  <dcterms:created xsi:type="dcterms:W3CDTF">2018-03-02T03:07:29Z</dcterms:created>
  <dcterms:modified xsi:type="dcterms:W3CDTF">2018-07-31T07:25:57Z</dcterms:modified>
  <cp:category/>
  <cp:contentStatus/>
</cp:coreProperties>
</file>