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31" yWindow="-249" windowWidth="18377" windowHeight="7286"/>
  </bookViews>
  <sheets>
    <sheet name="Sheet1" sheetId="1" r:id="rId1"/>
    <sheet name="Sheet2" sheetId="2" r:id="rId2"/>
    <sheet name="Sheet3" sheetId="3" r:id="rId3"/>
  </sheets>
  <calcPr calcId="145621" concurrentCalc="0"/>
</workbook>
</file>

<file path=xl/calcChain.xml><?xml version="1.0" encoding="utf-8"?>
<calcChain xmlns="http://schemas.openxmlformats.org/spreadsheetml/2006/main">
  <c r="Q11" i="1" l="1"/>
  <c r="R10" i="1"/>
  <c r="P11" i="1"/>
  <c r="H11" i="1"/>
  <c r="I11" i="1"/>
  <c r="B11" i="1"/>
  <c r="C11" i="1"/>
  <c r="M11" i="1"/>
  <c r="N11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4" i="1"/>
  <c r="R5" i="1"/>
  <c r="R6" i="1"/>
  <c r="R7" i="1"/>
  <c r="P8" i="1"/>
  <c r="H8" i="1"/>
  <c r="I8" i="1"/>
  <c r="B8" i="1"/>
  <c r="C8" i="1"/>
  <c r="M8" i="1"/>
  <c r="N8" i="1"/>
  <c r="R8" i="1"/>
  <c r="Q9" i="1"/>
  <c r="R9" i="1"/>
  <c r="Q5" i="1"/>
  <c r="Q6" i="1"/>
  <c r="Q7" i="1"/>
  <c r="Q8" i="1"/>
  <c r="Q10" i="1"/>
  <c r="Q12" i="1"/>
  <c r="Q13" i="1"/>
  <c r="Q14" i="1"/>
  <c r="Q15" i="1"/>
  <c r="Q16" i="1"/>
  <c r="Q17" i="1"/>
  <c r="Q18" i="1"/>
  <c r="Q19" i="1"/>
  <c r="Q20" i="1"/>
  <c r="Q21" i="1"/>
  <c r="Q22" i="1"/>
  <c r="Q4" i="1"/>
  <c r="P22" i="1"/>
  <c r="P5" i="1"/>
  <c r="P6" i="1"/>
  <c r="P7" i="1"/>
  <c r="P9" i="1"/>
  <c r="P10" i="1"/>
  <c r="P12" i="1"/>
  <c r="P13" i="1"/>
  <c r="P14" i="1"/>
  <c r="P15" i="1"/>
  <c r="P16" i="1"/>
  <c r="P17" i="1"/>
  <c r="P18" i="1"/>
  <c r="P19" i="1"/>
  <c r="P20" i="1"/>
  <c r="P21" i="1"/>
  <c r="P4" i="1"/>
  <c r="N4" i="1"/>
  <c r="O11" i="1"/>
  <c r="H5" i="1"/>
  <c r="I5" i="1"/>
  <c r="B5" i="1"/>
  <c r="C5" i="1"/>
  <c r="M5" i="1"/>
  <c r="N5" i="1"/>
  <c r="O5" i="1"/>
  <c r="H6" i="1"/>
  <c r="I6" i="1"/>
  <c r="B6" i="1"/>
  <c r="C6" i="1"/>
  <c r="M6" i="1"/>
  <c r="N6" i="1"/>
  <c r="O6" i="1"/>
  <c r="H7" i="1"/>
  <c r="I7" i="1"/>
  <c r="B7" i="1"/>
  <c r="C7" i="1"/>
  <c r="M7" i="1"/>
  <c r="N7" i="1"/>
  <c r="O7" i="1"/>
  <c r="O8" i="1"/>
  <c r="H9" i="1"/>
  <c r="I9" i="1"/>
  <c r="B9" i="1"/>
  <c r="C9" i="1"/>
  <c r="M9" i="1"/>
  <c r="N9" i="1"/>
  <c r="O9" i="1"/>
  <c r="H10" i="1"/>
  <c r="I10" i="1"/>
  <c r="B10" i="1"/>
  <c r="C10" i="1"/>
  <c r="M10" i="1"/>
  <c r="N10" i="1"/>
  <c r="O10" i="1"/>
  <c r="H12" i="1"/>
  <c r="I12" i="1"/>
  <c r="B12" i="1"/>
  <c r="C12" i="1"/>
  <c r="M12" i="1"/>
  <c r="N12" i="1"/>
  <c r="O12" i="1"/>
  <c r="H13" i="1"/>
  <c r="I13" i="1"/>
  <c r="B13" i="1"/>
  <c r="C13" i="1"/>
  <c r="M13" i="1"/>
  <c r="N13" i="1"/>
  <c r="O13" i="1"/>
  <c r="H14" i="1"/>
  <c r="I14" i="1"/>
  <c r="B14" i="1"/>
  <c r="C14" i="1"/>
  <c r="M14" i="1"/>
  <c r="N14" i="1"/>
  <c r="O14" i="1"/>
  <c r="H15" i="1"/>
  <c r="I15" i="1"/>
  <c r="B15" i="1"/>
  <c r="C15" i="1"/>
  <c r="M15" i="1"/>
  <c r="N15" i="1"/>
  <c r="O15" i="1"/>
  <c r="H16" i="1"/>
  <c r="I16" i="1"/>
  <c r="B16" i="1"/>
  <c r="C16" i="1"/>
  <c r="M16" i="1"/>
  <c r="N16" i="1"/>
  <c r="O16" i="1"/>
  <c r="H17" i="1"/>
  <c r="I17" i="1"/>
  <c r="B17" i="1"/>
  <c r="C17" i="1"/>
  <c r="M17" i="1"/>
  <c r="N17" i="1"/>
  <c r="O17" i="1"/>
  <c r="H18" i="1"/>
  <c r="I18" i="1"/>
  <c r="B18" i="1"/>
  <c r="C18" i="1"/>
  <c r="M18" i="1"/>
  <c r="N18" i="1"/>
  <c r="O18" i="1"/>
  <c r="H19" i="1"/>
  <c r="I19" i="1"/>
  <c r="B19" i="1"/>
  <c r="C19" i="1"/>
  <c r="M19" i="1"/>
  <c r="N19" i="1"/>
  <c r="O19" i="1"/>
  <c r="H20" i="1"/>
  <c r="I20" i="1"/>
  <c r="B20" i="1"/>
  <c r="C20" i="1"/>
  <c r="M20" i="1"/>
  <c r="N20" i="1"/>
  <c r="O20" i="1"/>
  <c r="H21" i="1"/>
  <c r="I21" i="1"/>
  <c r="B21" i="1"/>
  <c r="C21" i="1"/>
  <c r="M21" i="1"/>
  <c r="N21" i="1"/>
  <c r="O21" i="1"/>
  <c r="H22" i="1"/>
  <c r="I22" i="1"/>
  <c r="B22" i="1"/>
  <c r="C22" i="1"/>
  <c r="M22" i="1"/>
  <c r="N22" i="1"/>
  <c r="O22" i="1"/>
  <c r="H4" i="1"/>
  <c r="I4" i="1"/>
  <c r="B4" i="1"/>
  <c r="C4" i="1"/>
  <c r="M4" i="1"/>
  <c r="O4" i="1"/>
  <c r="E5" i="1"/>
  <c r="F5" i="1"/>
  <c r="J5" i="1"/>
  <c r="K5" i="1"/>
  <c r="L5" i="1"/>
  <c r="E6" i="1"/>
  <c r="F6" i="1"/>
  <c r="J6" i="1"/>
  <c r="K6" i="1"/>
  <c r="L6" i="1"/>
  <c r="E7" i="1"/>
  <c r="F7" i="1"/>
  <c r="J7" i="1"/>
  <c r="K7" i="1"/>
  <c r="L7" i="1"/>
  <c r="E8" i="1"/>
  <c r="F8" i="1"/>
  <c r="J8" i="1"/>
  <c r="K8" i="1"/>
  <c r="L8" i="1"/>
  <c r="E9" i="1"/>
  <c r="F9" i="1"/>
  <c r="J9" i="1"/>
  <c r="K9" i="1"/>
  <c r="L9" i="1"/>
  <c r="E10" i="1"/>
  <c r="F10" i="1"/>
  <c r="J10" i="1"/>
  <c r="K10" i="1"/>
  <c r="L10" i="1"/>
  <c r="E11" i="1"/>
  <c r="F11" i="1"/>
  <c r="J11" i="1"/>
  <c r="K11" i="1"/>
  <c r="L11" i="1"/>
  <c r="E12" i="1"/>
  <c r="F12" i="1"/>
  <c r="J12" i="1"/>
  <c r="K12" i="1"/>
  <c r="L12" i="1"/>
  <c r="E13" i="1"/>
  <c r="F13" i="1"/>
  <c r="J13" i="1"/>
  <c r="K13" i="1"/>
  <c r="L13" i="1"/>
  <c r="E14" i="1"/>
  <c r="F14" i="1"/>
  <c r="J14" i="1"/>
  <c r="K14" i="1"/>
  <c r="L14" i="1"/>
  <c r="E15" i="1"/>
  <c r="F15" i="1"/>
  <c r="J15" i="1"/>
  <c r="K15" i="1"/>
  <c r="L15" i="1"/>
  <c r="E16" i="1"/>
  <c r="F16" i="1"/>
  <c r="J16" i="1"/>
  <c r="K16" i="1"/>
  <c r="L16" i="1"/>
  <c r="E17" i="1"/>
  <c r="F17" i="1"/>
  <c r="J17" i="1"/>
  <c r="K17" i="1"/>
  <c r="L17" i="1"/>
  <c r="E18" i="1"/>
  <c r="F18" i="1"/>
  <c r="J18" i="1"/>
  <c r="K18" i="1"/>
  <c r="L18" i="1"/>
  <c r="E19" i="1"/>
  <c r="F19" i="1"/>
  <c r="J19" i="1"/>
  <c r="K19" i="1"/>
  <c r="L19" i="1"/>
  <c r="E20" i="1"/>
  <c r="F20" i="1"/>
  <c r="J20" i="1"/>
  <c r="K20" i="1"/>
  <c r="L20" i="1"/>
  <c r="E21" i="1"/>
  <c r="F21" i="1"/>
  <c r="J21" i="1"/>
  <c r="K21" i="1"/>
  <c r="L21" i="1"/>
  <c r="E22" i="1"/>
  <c r="F22" i="1"/>
  <c r="J22" i="1"/>
  <c r="K22" i="1"/>
  <c r="L22" i="1"/>
  <c r="E4" i="1"/>
  <c r="F4" i="1"/>
  <c r="J4" i="1"/>
  <c r="K4" i="1"/>
  <c r="L4" i="1"/>
  <c r="E70" i="1"/>
  <c r="F70" i="1"/>
  <c r="G70" i="1"/>
  <c r="E69" i="1"/>
  <c r="F69" i="1"/>
  <c r="G69" i="1"/>
  <c r="E68" i="1"/>
  <c r="F68" i="1"/>
  <c r="G68" i="1"/>
  <c r="E67" i="1"/>
  <c r="F67" i="1"/>
  <c r="G67" i="1"/>
  <c r="E66" i="1"/>
  <c r="F66" i="1"/>
  <c r="G66" i="1"/>
  <c r="E65" i="1"/>
  <c r="F65" i="1"/>
  <c r="G65" i="1"/>
  <c r="E64" i="1"/>
  <c r="F64" i="1"/>
  <c r="G64" i="1"/>
  <c r="E63" i="1"/>
  <c r="F63" i="1"/>
  <c r="G63" i="1"/>
  <c r="E62" i="1"/>
  <c r="F62" i="1"/>
  <c r="G62" i="1"/>
  <c r="E61" i="1"/>
  <c r="F61" i="1"/>
  <c r="G61" i="1"/>
  <c r="E60" i="1"/>
  <c r="F60" i="1"/>
  <c r="G60" i="1"/>
  <c r="E59" i="1"/>
  <c r="F59" i="1"/>
  <c r="G59" i="1"/>
  <c r="E58" i="1"/>
  <c r="F58" i="1"/>
  <c r="G58" i="1"/>
  <c r="E57" i="1"/>
  <c r="F57" i="1"/>
  <c r="G57" i="1"/>
  <c r="E56" i="1"/>
  <c r="F56" i="1"/>
  <c r="G56" i="1"/>
  <c r="E55" i="1"/>
  <c r="F55" i="1"/>
  <c r="G55" i="1"/>
  <c r="E54" i="1"/>
  <c r="F54" i="1"/>
  <c r="G54" i="1"/>
  <c r="E53" i="1"/>
  <c r="F53" i="1"/>
  <c r="G53" i="1"/>
  <c r="E52" i="1"/>
  <c r="F52" i="1"/>
  <c r="G52" i="1"/>
  <c r="B70" i="1"/>
  <c r="C70" i="1"/>
  <c r="D70" i="1"/>
  <c r="B69" i="1"/>
  <c r="C69" i="1"/>
  <c r="D69" i="1"/>
  <c r="B68" i="1"/>
  <c r="C68" i="1"/>
  <c r="D68" i="1"/>
  <c r="B67" i="1"/>
  <c r="C67" i="1"/>
  <c r="D67" i="1"/>
  <c r="B66" i="1"/>
  <c r="C66" i="1"/>
  <c r="D66" i="1"/>
  <c r="B65" i="1"/>
  <c r="C65" i="1"/>
  <c r="D65" i="1"/>
  <c r="B64" i="1"/>
  <c r="C64" i="1"/>
  <c r="D64" i="1"/>
  <c r="B63" i="1"/>
  <c r="C63" i="1"/>
  <c r="D63" i="1"/>
  <c r="B62" i="1"/>
  <c r="C62" i="1"/>
  <c r="D62" i="1"/>
  <c r="B61" i="1"/>
  <c r="C61" i="1"/>
  <c r="D61" i="1"/>
  <c r="B60" i="1"/>
  <c r="C60" i="1"/>
  <c r="D60" i="1"/>
  <c r="B59" i="1"/>
  <c r="C59" i="1"/>
  <c r="D59" i="1"/>
  <c r="B58" i="1"/>
  <c r="C58" i="1"/>
  <c r="D58" i="1"/>
  <c r="B57" i="1"/>
  <c r="C57" i="1"/>
  <c r="D57" i="1"/>
  <c r="B56" i="1"/>
  <c r="C56" i="1"/>
  <c r="D56" i="1"/>
  <c r="B55" i="1"/>
  <c r="C55" i="1"/>
  <c r="D55" i="1"/>
  <c r="B54" i="1"/>
  <c r="C54" i="1"/>
  <c r="D54" i="1"/>
  <c r="B53" i="1"/>
  <c r="C53" i="1"/>
  <c r="D53" i="1"/>
  <c r="B52" i="1"/>
  <c r="C52" i="1"/>
  <c r="D52" i="1"/>
  <c r="E46" i="1"/>
  <c r="F46" i="1"/>
  <c r="G46" i="1"/>
  <c r="E45" i="1"/>
  <c r="F45" i="1"/>
  <c r="G45" i="1"/>
  <c r="E44" i="1"/>
  <c r="F44" i="1"/>
  <c r="G44" i="1"/>
  <c r="E43" i="1"/>
  <c r="F43" i="1"/>
  <c r="G43" i="1"/>
  <c r="E42" i="1"/>
  <c r="F42" i="1"/>
  <c r="G42" i="1"/>
  <c r="E41" i="1"/>
  <c r="F41" i="1"/>
  <c r="G41" i="1"/>
  <c r="E40" i="1"/>
  <c r="F40" i="1"/>
  <c r="G40" i="1"/>
  <c r="E39" i="1"/>
  <c r="F39" i="1"/>
  <c r="G39" i="1"/>
  <c r="E38" i="1"/>
  <c r="F38" i="1"/>
  <c r="G38" i="1"/>
  <c r="E37" i="1"/>
  <c r="F37" i="1"/>
  <c r="G37" i="1"/>
  <c r="E36" i="1"/>
  <c r="F36" i="1"/>
  <c r="G36" i="1"/>
  <c r="E35" i="1"/>
  <c r="F35" i="1"/>
  <c r="G35" i="1"/>
  <c r="E34" i="1"/>
  <c r="F34" i="1"/>
  <c r="G34" i="1"/>
  <c r="E33" i="1"/>
  <c r="F33" i="1"/>
  <c r="G33" i="1"/>
  <c r="E32" i="1"/>
  <c r="F32" i="1"/>
  <c r="G32" i="1"/>
  <c r="E31" i="1"/>
  <c r="F31" i="1"/>
  <c r="G31" i="1"/>
  <c r="E30" i="1"/>
  <c r="F30" i="1"/>
  <c r="G30" i="1"/>
  <c r="E29" i="1"/>
  <c r="F29" i="1"/>
  <c r="G29" i="1"/>
  <c r="E28" i="1"/>
  <c r="F28" i="1"/>
  <c r="G28" i="1"/>
  <c r="B46" i="1"/>
  <c r="C46" i="1"/>
  <c r="D46" i="1"/>
  <c r="B45" i="1"/>
  <c r="C45" i="1"/>
  <c r="D45" i="1"/>
  <c r="B44" i="1"/>
  <c r="C44" i="1"/>
  <c r="D44" i="1"/>
  <c r="B43" i="1"/>
  <c r="C43" i="1"/>
  <c r="D43" i="1"/>
  <c r="B42" i="1"/>
  <c r="C42" i="1"/>
  <c r="D42" i="1"/>
  <c r="B41" i="1"/>
  <c r="C41" i="1"/>
  <c r="D41" i="1"/>
  <c r="B40" i="1"/>
  <c r="C40" i="1"/>
  <c r="D40" i="1"/>
  <c r="B39" i="1"/>
  <c r="C39" i="1"/>
  <c r="D39" i="1"/>
  <c r="B38" i="1"/>
  <c r="C38" i="1"/>
  <c r="D38" i="1"/>
  <c r="B37" i="1"/>
  <c r="C37" i="1"/>
  <c r="D37" i="1"/>
  <c r="B36" i="1"/>
  <c r="C36" i="1"/>
  <c r="D36" i="1"/>
  <c r="B35" i="1"/>
  <c r="C35" i="1"/>
  <c r="D35" i="1"/>
  <c r="B34" i="1"/>
  <c r="C34" i="1"/>
  <c r="D34" i="1"/>
  <c r="B33" i="1"/>
  <c r="C33" i="1"/>
  <c r="D33" i="1"/>
  <c r="B32" i="1"/>
  <c r="C32" i="1"/>
  <c r="D32" i="1"/>
  <c r="B31" i="1"/>
  <c r="C31" i="1"/>
  <c r="D31" i="1"/>
  <c r="B30" i="1"/>
  <c r="C30" i="1"/>
  <c r="D30" i="1"/>
  <c r="B29" i="1"/>
  <c r="C29" i="1"/>
  <c r="D29" i="1"/>
  <c r="B28" i="1"/>
  <c r="C28" i="1"/>
  <c r="D28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D8" i="1"/>
  <c r="D5" i="1"/>
  <c r="D6" i="1"/>
  <c r="D7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4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52" i="1"/>
  <c r="I52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28" i="1"/>
  <c r="I28" i="1"/>
  <c r="M70" i="1"/>
  <c r="O70" i="1"/>
  <c r="J70" i="1"/>
  <c r="L70" i="1"/>
  <c r="M69" i="1"/>
  <c r="O69" i="1"/>
  <c r="J69" i="1"/>
  <c r="L69" i="1"/>
  <c r="M68" i="1"/>
  <c r="O68" i="1"/>
  <c r="J68" i="1"/>
  <c r="L68" i="1"/>
  <c r="M67" i="1"/>
  <c r="O67" i="1"/>
  <c r="J67" i="1"/>
  <c r="L67" i="1"/>
  <c r="M66" i="1"/>
  <c r="O66" i="1"/>
  <c r="J66" i="1"/>
  <c r="L66" i="1"/>
  <c r="M65" i="1"/>
  <c r="O65" i="1"/>
  <c r="J65" i="1"/>
  <c r="L65" i="1"/>
  <c r="M64" i="1"/>
  <c r="O64" i="1"/>
  <c r="J64" i="1"/>
  <c r="L64" i="1"/>
  <c r="M63" i="1"/>
  <c r="O63" i="1"/>
  <c r="J63" i="1"/>
  <c r="L63" i="1"/>
  <c r="M62" i="1"/>
  <c r="O62" i="1"/>
  <c r="J62" i="1"/>
  <c r="L62" i="1"/>
  <c r="M61" i="1"/>
  <c r="O61" i="1"/>
  <c r="J61" i="1"/>
  <c r="L61" i="1"/>
  <c r="M60" i="1"/>
  <c r="O60" i="1"/>
  <c r="J60" i="1"/>
  <c r="L60" i="1"/>
  <c r="M59" i="1"/>
  <c r="O59" i="1"/>
  <c r="J59" i="1"/>
  <c r="L59" i="1"/>
  <c r="M58" i="1"/>
  <c r="O58" i="1"/>
  <c r="J58" i="1"/>
  <c r="L58" i="1"/>
  <c r="M57" i="1"/>
  <c r="O57" i="1"/>
  <c r="J57" i="1"/>
  <c r="L57" i="1"/>
  <c r="M56" i="1"/>
  <c r="O56" i="1"/>
  <c r="J56" i="1"/>
  <c r="L56" i="1"/>
  <c r="M55" i="1"/>
  <c r="O55" i="1"/>
  <c r="J55" i="1"/>
  <c r="L55" i="1"/>
  <c r="M54" i="1"/>
  <c r="O54" i="1"/>
  <c r="J54" i="1"/>
  <c r="L54" i="1"/>
  <c r="M53" i="1"/>
  <c r="O53" i="1"/>
  <c r="J53" i="1"/>
  <c r="L53" i="1"/>
  <c r="M52" i="1"/>
  <c r="O52" i="1"/>
  <c r="J52" i="1"/>
  <c r="L52" i="1"/>
  <c r="M46" i="1"/>
  <c r="O46" i="1"/>
  <c r="J46" i="1"/>
  <c r="L46" i="1"/>
  <c r="M45" i="1"/>
  <c r="O45" i="1"/>
  <c r="J45" i="1"/>
  <c r="L45" i="1"/>
  <c r="M44" i="1"/>
  <c r="O44" i="1"/>
  <c r="J44" i="1"/>
  <c r="L44" i="1"/>
  <c r="M43" i="1"/>
  <c r="O43" i="1"/>
  <c r="J43" i="1"/>
  <c r="L43" i="1"/>
  <c r="M42" i="1"/>
  <c r="O42" i="1"/>
  <c r="J42" i="1"/>
  <c r="L42" i="1"/>
  <c r="M41" i="1"/>
  <c r="O41" i="1"/>
  <c r="J41" i="1"/>
  <c r="L41" i="1"/>
  <c r="M40" i="1"/>
  <c r="O40" i="1"/>
  <c r="J40" i="1"/>
  <c r="L40" i="1"/>
  <c r="M39" i="1"/>
  <c r="O39" i="1"/>
  <c r="J39" i="1"/>
  <c r="L39" i="1"/>
  <c r="M38" i="1"/>
  <c r="O38" i="1"/>
  <c r="J38" i="1"/>
  <c r="L38" i="1"/>
  <c r="M37" i="1"/>
  <c r="O37" i="1"/>
  <c r="J37" i="1"/>
  <c r="L37" i="1"/>
  <c r="M36" i="1"/>
  <c r="O36" i="1"/>
  <c r="J36" i="1"/>
  <c r="L36" i="1"/>
  <c r="M35" i="1"/>
  <c r="O35" i="1"/>
  <c r="J35" i="1"/>
  <c r="L35" i="1"/>
  <c r="M34" i="1"/>
  <c r="O34" i="1"/>
  <c r="J34" i="1"/>
  <c r="L34" i="1"/>
  <c r="M33" i="1"/>
  <c r="O33" i="1"/>
  <c r="J33" i="1"/>
  <c r="L33" i="1"/>
  <c r="M32" i="1"/>
  <c r="O32" i="1"/>
  <c r="J32" i="1"/>
  <c r="L32" i="1"/>
  <c r="M31" i="1"/>
  <c r="O31" i="1"/>
  <c r="J31" i="1"/>
  <c r="L31" i="1"/>
  <c r="M30" i="1"/>
  <c r="O30" i="1"/>
  <c r="J30" i="1"/>
  <c r="L30" i="1"/>
  <c r="M29" i="1"/>
  <c r="O29" i="1"/>
  <c r="J29" i="1"/>
  <c r="L29" i="1"/>
  <c r="M28" i="1"/>
  <c r="O28" i="1"/>
  <c r="J28" i="1"/>
  <c r="L28" i="1"/>
</calcChain>
</file>

<file path=xl/sharedStrings.xml><?xml version="1.0" encoding="utf-8"?>
<sst xmlns="http://schemas.openxmlformats.org/spreadsheetml/2006/main" count="59" uniqueCount="22">
  <si>
    <t>Child support</t>
  </si>
  <si>
    <t>Income (NZ)</t>
  </si>
  <si>
    <t>SL income</t>
  </si>
  <si>
    <t>CS income</t>
  </si>
  <si>
    <t>Wage left</t>
  </si>
  <si>
    <t>Per week</t>
  </si>
  <si>
    <t>SL selfemp</t>
  </si>
  <si>
    <t>2018 tax</t>
  </si>
  <si>
    <t>SL wageREPAY</t>
  </si>
  <si>
    <t>SL selfREPAY</t>
  </si>
  <si>
    <t>Self employed</t>
  </si>
  <si>
    <t>Wages</t>
  </si>
  <si>
    <t>Changes</t>
  </si>
  <si>
    <t>Years to repay SL</t>
  </si>
  <si>
    <t>One under 12 (2025-2026)</t>
  </si>
  <si>
    <t>Over 12 (2026 - 2034)</t>
  </si>
  <si>
    <t>YR repay SL</t>
  </si>
  <si>
    <t>after tax</t>
  </si>
  <si>
    <t>Raw-tax</t>
  </si>
  <si>
    <t>Diff</t>
  </si>
  <si>
    <t>Loss per week</t>
  </si>
  <si>
    <t>All under 12 (2018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</si>
</sst>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2" fontId="2" fillId="0" borderId="0" xfId="0" applyNumberFormat="1" applyFont="1"/>
    <xf numFmtId="2" fontId="3" fillId="0" borderId="0" xfId="0" applyNumberFormat="1" applyFont="1"/>
    <xf numFmtId="40" fontId="2" fillId="0" borderId="0" xfId="0" applyNumberFormat="1" applyFont="1"/>
    <xf numFmtId="44" fontId="2" fillId="0" borderId="0" xfId="0" applyNumberFormat="1" applyFont="1"/>
    <xf numFmtId="10" fontId="2" fillId="0" borderId="0" xfId="0" applyNumberFormat="1" applyFont="1"/>
    <xf numFmtId="4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44" fontId="3" fillId="0" borderId="0" xfId="0" applyNumberFormat="1" applyFont="1"/>
    <xf numFmtId="44" fontId="4" fillId="0" borderId="0" xfId="0" applyNumberFormat="1" applyFont="1"/>
    <xf numFmtId="0" fontId="4" fillId="0" borderId="0" xfId="0" applyNumberFormat="1" applyFont="1"/>
    <xf numFmtId="2" fontId="4" fillId="0" borderId="0" xfId="0" applyNumberFormat="1" applyFont="1"/>
    <xf numFmtId="44" fontId="5" fillId="0" borderId="0" xfId="0" applyNumberFormat="1" applyFont="1" applyFill="1"/>
    <xf numFmtId="44" fontId="5" fillId="2" borderId="0" xfId="0" applyNumberFormat="1" applyFont="1" applyFill="1"/>
    <xf numFmtId="2" fontId="6" fillId="0" borderId="0" xfId="0" applyNumberFormat="1" applyFont="1"/>
    <xf numFmtId="2" fontId="6" fillId="4" borderId="0" xfId="0" applyNumberFormat="1" applyFont="1" applyFill="1"/>
    <xf numFmtId="44" fontId="2" fillId="3" borderId="1" xfId="0" applyNumberFormat="1" applyFont="1" applyFill="1" applyBorder="1"/>
    <xf numFmtId="44" fontId="3" fillId="3" borderId="2" xfId="0" applyNumberFormat="1" applyFont="1" applyFill="1" applyBorder="1"/>
    <xf numFmtId="44" fontId="4" fillId="3" borderId="2" xfId="0" applyNumberFormat="1" applyFont="1" applyFill="1" applyBorder="1"/>
    <xf numFmtId="0" fontId="4" fillId="3" borderId="2" xfId="0" applyNumberFormat="1" applyFont="1" applyFill="1" applyBorder="1"/>
    <xf numFmtId="2" fontId="4" fillId="3" borderId="2" xfId="0" applyNumberFormat="1" applyFont="1" applyFill="1" applyBorder="1"/>
    <xf numFmtId="44" fontId="5" fillId="3" borderId="2" xfId="0" applyNumberFormat="1" applyFont="1" applyFill="1" applyBorder="1"/>
    <xf numFmtId="2" fontId="6" fillId="3" borderId="2" xfId="0" applyNumberFormat="1" applyFont="1" applyFill="1" applyBorder="1"/>
    <xf numFmtId="2" fontId="3" fillId="3" borderId="2" xfId="0" applyNumberFormat="1" applyFont="1" applyFill="1" applyBorder="1"/>
    <xf numFmtId="2" fontId="3" fillId="3" borderId="3" xfId="0" applyNumberFormat="1" applyFont="1" applyFill="1" applyBorder="1"/>
    <xf numFmtId="44" fontId="2" fillId="3" borderId="4" xfId="0" applyNumberFormat="1" applyFont="1" applyFill="1" applyBorder="1"/>
    <xf numFmtId="44" fontId="3" fillId="3" borderId="0" xfId="0" applyNumberFormat="1" applyFont="1" applyFill="1" applyBorder="1"/>
    <xf numFmtId="44" fontId="4" fillId="3" borderId="0" xfId="0" applyNumberFormat="1" applyFont="1" applyFill="1" applyBorder="1"/>
    <xf numFmtId="0" fontId="4" fillId="3" borderId="0" xfId="0" applyNumberFormat="1" applyFont="1" applyFill="1" applyBorder="1"/>
    <xf numFmtId="2" fontId="4" fillId="3" borderId="0" xfId="0" applyNumberFormat="1" applyFont="1" applyFill="1" applyBorder="1"/>
    <xf numFmtId="44" fontId="5" fillId="3" borderId="0" xfId="0" applyNumberFormat="1" applyFont="1" applyFill="1" applyBorder="1"/>
    <xf numFmtId="2" fontId="6" fillId="3" borderId="0" xfId="0" applyNumberFormat="1" applyFont="1" applyFill="1" applyBorder="1"/>
    <xf numFmtId="2" fontId="3" fillId="3" borderId="0" xfId="0" applyNumberFormat="1" applyFont="1" applyFill="1" applyBorder="1"/>
    <xf numFmtId="2" fontId="3" fillId="3" borderId="5" xfId="0" applyNumberFormat="1" applyFont="1" applyFill="1" applyBorder="1"/>
    <xf numFmtId="44" fontId="2" fillId="3" borderId="6" xfId="0" applyNumberFormat="1" applyFont="1" applyFill="1" applyBorder="1"/>
    <xf numFmtId="44" fontId="3" fillId="3" borderId="7" xfId="0" applyNumberFormat="1" applyFont="1" applyFill="1" applyBorder="1"/>
    <xf numFmtId="44" fontId="4" fillId="3" borderId="7" xfId="0" applyNumberFormat="1" applyFont="1" applyFill="1" applyBorder="1"/>
    <xf numFmtId="0" fontId="4" fillId="3" borderId="7" xfId="0" applyNumberFormat="1" applyFont="1" applyFill="1" applyBorder="1"/>
    <xf numFmtId="2" fontId="4" fillId="3" borderId="7" xfId="0" applyNumberFormat="1" applyFont="1" applyFill="1" applyBorder="1"/>
    <xf numFmtId="44" fontId="5" fillId="3" borderId="7" xfId="0" applyNumberFormat="1" applyFont="1" applyFill="1" applyBorder="1"/>
    <xf numFmtId="2" fontId="6" fillId="3" borderId="7" xfId="0" applyNumberFormat="1" applyFont="1" applyFill="1" applyBorder="1"/>
    <xf numFmtId="2" fontId="3" fillId="3" borderId="7" xfId="0" applyNumberFormat="1" applyFont="1" applyFill="1" applyBorder="1"/>
    <xf numFmtId="2" fontId="3" fillId="3" borderId="8" xfId="0" applyNumberFormat="1" applyFont="1" applyFill="1" applyBorder="1"/>
    <xf numFmtId="40" fontId="6" fillId="0" borderId="0" xfId="0" applyNumberFormat="1" applyFont="1"/>
    <xf numFmtId="10" fontId="3" fillId="0" borderId="0" xfId="0" applyNumberFormat="1" applyFont="1"/>
    <xf numFmtId="4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44" fontId="2" fillId="0" borderId="1" xfId="0" applyNumberFormat="1" applyFont="1" applyBorder="1"/>
    <xf numFmtId="44" fontId="3" fillId="0" borderId="2" xfId="0" applyNumberFormat="1" applyFont="1" applyBorder="1"/>
    <xf numFmtId="44" fontId="4" fillId="0" borderId="2" xfId="0" applyNumberFormat="1" applyFont="1" applyBorder="1"/>
    <xf numFmtId="2" fontId="4" fillId="0" borderId="2" xfId="0" applyNumberFormat="1" applyFont="1" applyBorder="1"/>
    <xf numFmtId="44" fontId="5" fillId="2" borderId="2" xfId="0" applyNumberFormat="1" applyFont="1" applyFill="1" applyBorder="1"/>
    <xf numFmtId="2" fontId="6" fillId="0" borderId="2" xfId="0" applyNumberFormat="1" applyFont="1" applyBorder="1"/>
    <xf numFmtId="2" fontId="6" fillId="0" borderId="3" xfId="0" applyNumberFormat="1" applyFont="1" applyBorder="1"/>
    <xf numFmtId="44" fontId="2" fillId="0" borderId="4" xfId="0" applyNumberFormat="1" applyFont="1" applyBorder="1"/>
    <xf numFmtId="44" fontId="3" fillId="0" borderId="0" xfId="0" applyNumberFormat="1" applyFont="1" applyBorder="1"/>
    <xf numFmtId="44" fontId="4" fillId="0" borderId="0" xfId="0" applyNumberFormat="1" applyFont="1" applyBorder="1"/>
    <xf numFmtId="2" fontId="4" fillId="0" borderId="0" xfId="0" applyNumberFormat="1" applyFont="1" applyBorder="1"/>
    <xf numFmtId="44" fontId="5" fillId="2" borderId="0" xfId="0" applyNumberFormat="1" applyFont="1" applyFill="1" applyBorder="1"/>
    <xf numFmtId="2" fontId="6" fillId="0" borderId="0" xfId="0" applyNumberFormat="1" applyFont="1" applyBorder="1"/>
    <xf numFmtId="2" fontId="6" fillId="0" borderId="5" xfId="0" applyNumberFormat="1" applyFont="1" applyBorder="1"/>
    <xf numFmtId="44" fontId="2" fillId="0" borderId="6" xfId="0" applyNumberFormat="1" applyFont="1" applyBorder="1"/>
    <xf numFmtId="44" fontId="3" fillId="0" borderId="7" xfId="0" applyNumberFormat="1" applyFont="1" applyBorder="1"/>
    <xf numFmtId="44" fontId="4" fillId="0" borderId="7" xfId="0" applyNumberFormat="1" applyFont="1" applyBorder="1"/>
    <xf numFmtId="2" fontId="4" fillId="0" borderId="7" xfId="0" applyNumberFormat="1" applyFont="1" applyBorder="1"/>
    <xf numFmtId="44" fontId="5" fillId="2" borderId="7" xfId="0" applyNumberFormat="1" applyFont="1" applyFill="1" applyBorder="1"/>
    <xf numFmtId="2" fontId="6" fillId="0" borderId="7" xfId="0" applyNumberFormat="1" applyFont="1" applyBorder="1"/>
    <xf numFmtId="2" fontId="6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tabSelected="1" zoomScaleNormal="100" workbookViewId="0">
      <selection sqref="A1:U70"/>
    </sheetView>
  </sheetViews>
  <sheetFormatPr defaultRowHeight="14.6" x14ac:dyDescent="0.4"/>
  <cols>
    <col min="1" max="1" width="12.84375" style="1" bestFit="1" customWidth="1"/>
    <col min="2" max="2" width="12.07421875" style="1" hidden="1" customWidth="1"/>
    <col min="3" max="3" width="13.07421875" style="1" hidden="1" customWidth="1"/>
    <col min="4" max="4" width="15.07421875" style="1" hidden="1" customWidth="1"/>
    <col min="5" max="5" width="12.07421875" style="1" hidden="1" customWidth="1"/>
    <col min="6" max="6" width="11.4609375" style="1" hidden="1" customWidth="1"/>
    <col min="7" max="7" width="15.07421875" style="1" hidden="1" customWidth="1"/>
    <col min="8" max="8" width="12.07421875" style="1" hidden="1" customWidth="1"/>
    <col min="9" max="9" width="11.921875" style="1" hidden="1" customWidth="1"/>
    <col min="10" max="11" width="12.15234375" style="1" hidden="1" customWidth="1"/>
    <col min="12" max="12" width="9.23046875" style="1" hidden="1" customWidth="1"/>
    <col min="13" max="13" width="12.15234375" style="1" hidden="1" customWidth="1"/>
    <col min="14" max="14" width="12.15234375" style="1" customWidth="1"/>
    <col min="15" max="15" width="9.23046875" style="1"/>
    <col min="16" max="16" width="12.15234375" style="1" hidden="1" customWidth="1"/>
    <col min="17" max="17" width="9.23046875" style="1" hidden="1" customWidth="1"/>
    <col min="18" max="18" width="0" style="1" hidden="1" customWidth="1"/>
    <col min="19" max="16384" width="9.23046875" style="1"/>
  </cols>
  <sheetData>
    <row r="1" spans="1:21" x14ac:dyDescent="0.4">
      <c r="A1" s="2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</row>
    <row r="2" spans="1:21" x14ac:dyDescent="0.4">
      <c r="A2" s="5" t="s">
        <v>7</v>
      </c>
      <c r="B2" s="6">
        <v>19136</v>
      </c>
      <c r="C2" s="7">
        <v>0.12</v>
      </c>
      <c r="D2" s="6">
        <v>87968.04</v>
      </c>
      <c r="E2" s="6">
        <v>20636</v>
      </c>
      <c r="F2" s="7">
        <v>0.12</v>
      </c>
      <c r="G2" s="6">
        <v>87968.04</v>
      </c>
      <c r="H2" s="6">
        <v>19359</v>
      </c>
      <c r="I2" s="6" t="s">
        <v>12</v>
      </c>
      <c r="J2" s="8" t="s">
        <v>10</v>
      </c>
      <c r="K2" s="8"/>
      <c r="L2" s="8"/>
      <c r="M2" s="9" t="s">
        <v>11</v>
      </c>
      <c r="N2" s="9"/>
      <c r="O2" s="9"/>
      <c r="P2" s="4"/>
      <c r="Q2" s="4"/>
      <c r="R2" s="4"/>
      <c r="S2" s="4"/>
      <c r="T2" s="4"/>
      <c r="U2" s="4"/>
    </row>
    <row r="3" spans="1:21" x14ac:dyDescent="0.4">
      <c r="A3" s="2" t="s">
        <v>1</v>
      </c>
      <c r="B3" s="2" t="s">
        <v>2</v>
      </c>
      <c r="C3" s="2" t="s">
        <v>8</v>
      </c>
      <c r="D3" s="2" t="s">
        <v>16</v>
      </c>
      <c r="E3" s="2" t="s">
        <v>6</v>
      </c>
      <c r="F3" s="2" t="s">
        <v>9</v>
      </c>
      <c r="G3" s="2" t="s">
        <v>13</v>
      </c>
      <c r="H3" s="2" t="s">
        <v>3</v>
      </c>
      <c r="I3" s="2" t="s">
        <v>0</v>
      </c>
      <c r="J3" s="2" t="s">
        <v>4</v>
      </c>
      <c r="K3" s="2" t="s">
        <v>17</v>
      </c>
      <c r="L3" s="2" t="s">
        <v>5</v>
      </c>
      <c r="M3" s="2" t="s">
        <v>4</v>
      </c>
      <c r="N3" s="2" t="s">
        <v>17</v>
      </c>
      <c r="O3" s="2" t="s">
        <v>5</v>
      </c>
      <c r="P3" s="2" t="s">
        <v>18</v>
      </c>
      <c r="Q3" s="2" t="s">
        <v>19</v>
      </c>
      <c r="R3" s="2" t="s">
        <v>20</v>
      </c>
      <c r="S3" s="4"/>
      <c r="T3" s="4"/>
      <c r="U3" s="4"/>
    </row>
    <row r="4" spans="1:21" x14ac:dyDescent="0.4">
      <c r="A4" s="6">
        <v>15000.01</v>
      </c>
      <c r="B4" s="10">
        <f t="shared" ref="B4:B10" si="0">IF(B$2&gt;A4, 0, SUM($A4-B$2))</f>
        <v>0</v>
      </c>
      <c r="C4" s="11">
        <f t="shared" ref="C4:C10" si="1">SUM(B4*C$2)</f>
        <v>0</v>
      </c>
      <c r="D4" s="12" t="str">
        <f>IF(C4=0,"NA",ROUNDUP(NPER(0,C4/12,D$2),0))</f>
        <v>NA</v>
      </c>
      <c r="E4" s="10">
        <f>IF(E$2&gt;$A4, 0, SUM($A4-E$2))</f>
        <v>0</v>
      </c>
      <c r="F4" s="11">
        <f>SUM(E4*F$2)</f>
        <v>0</v>
      </c>
      <c r="G4" s="12" t="str">
        <f>IF(F4=0,"NA",ROUNDUP(NPER(0,F4/12,G$2),0))</f>
        <v>NA</v>
      </c>
      <c r="H4" s="10">
        <f>IF(H$2&gt;$A4, 0, SUM($A4-H$2))</f>
        <v>0</v>
      </c>
      <c r="I4" s="13">
        <f>IF(H4&lt;29095,904.8,IF(AND(H4&lt;29095,H4&lt;H$2),H4*0.17,IF(AND(H4&gt;29095,H4&lt;58190),6983+H4*0.23,IF(AND(H4&gt;58190,H4&lt;87284),13675+H4*0.2,IF(AND(H4&gt;87285,H4&lt;116379),19494+H4*0.18,IF(AND(H4&gt;116380,H4&lt;145473),24731+H4*0.1,27640))))))</f>
        <v>904.8</v>
      </c>
      <c r="J4" s="14">
        <f>SUM($A4-$I4-F4)</f>
        <v>14095.210000000001</v>
      </c>
      <c r="K4" s="15">
        <f>IF($J4&lt;14000,$J4-$J4*0.105,             IF(AND($J4&gt;14000,$J4&lt;48000),$J4-$J4*0.175,            IF(AND($J4&gt;48000,$J4&lt;70000),$J4-$J4*0.3,         IF($J4&gt;70000,$J4-$J4*0.33))))</f>
        <v>11628.54825</v>
      </c>
      <c r="L4" s="16">
        <f>SUM(K4/52)</f>
        <v>223.62592788461538</v>
      </c>
      <c r="M4" s="14">
        <f>SUM($A4-$I4-C4)</f>
        <v>14095.210000000001</v>
      </c>
      <c r="N4" s="15">
        <f>IF($M4&lt;14000,$M4-$M4*0.105,             IF(AND($M4&gt;14000,$M4&lt;48000),$M4-$M4*0.175,            IF(AND($M4&gt;48000,$M4&lt;70000),$M4-$M4*0.3,         IF($M4&gt;70000,$M4-$M4*0.33))))</f>
        <v>11628.54825</v>
      </c>
      <c r="O4" s="16">
        <f>SUM(N4/52)</f>
        <v>223.62592788461538</v>
      </c>
      <c r="P4" s="15">
        <f>IF($A4&lt;14000,$A4-$A4*0.105,             IF(AND($A4&gt;14000,$A4&lt;48000),$A4-$A4*0.175,            IF(AND($A4&gt;48000,$A4&lt;70000),$A4-$A4*0.3,         IF($A4&gt;70000,$A4-$A4*0.33))))</f>
        <v>12375.008250000001</v>
      </c>
      <c r="Q4" s="4">
        <f>SUM(P4-N4)</f>
        <v>746.46000000000095</v>
      </c>
      <c r="R4" s="4">
        <f t="shared" ref="R4:R8" si="2">SUM((P4-N4)/52)</f>
        <v>14.355000000000018</v>
      </c>
      <c r="S4" s="4"/>
      <c r="T4" s="4"/>
      <c r="U4" s="4"/>
    </row>
    <row r="5" spans="1:21" x14ac:dyDescent="0.4">
      <c r="A5" s="6">
        <v>20000.009999999998</v>
      </c>
      <c r="B5" s="10">
        <f t="shared" si="0"/>
        <v>864.0099999999984</v>
      </c>
      <c r="C5" s="11">
        <f t="shared" si="1"/>
        <v>103.68119999999981</v>
      </c>
      <c r="D5" s="12">
        <f>IF(C5=0,"NA",ROUNDUP(NPER(0,-C5,D$2,0),0))</f>
        <v>849</v>
      </c>
      <c r="E5" s="10">
        <f t="shared" ref="E5:E22" si="3">IF(E$2&gt;$A5, 0, SUM($A5-E$2))</f>
        <v>0</v>
      </c>
      <c r="F5" s="11">
        <f t="shared" ref="F5:F22" si="4">SUM(E5*F$2)</f>
        <v>0</v>
      </c>
      <c r="G5" s="12" t="str">
        <f>IF(F5=0,"NA",ROUNDUP(NPER(0,-F5,G$2,0),0))</f>
        <v>NA</v>
      </c>
      <c r="H5" s="10">
        <f t="shared" ref="H5:H22" si="5">IF(H$2&gt;$A5, 0, SUM($A5-H$2))</f>
        <v>641.0099999999984</v>
      </c>
      <c r="I5" s="13">
        <f>IF(H5&lt;29095,904.8,IF(AND(H5&lt;29095,H5&lt;H$2),H5*0.17,IF(AND(H5&gt;29095,H5&lt;58190),6983+H5*0.23,IF(AND(H5&gt;58190,H5&lt;87284),13675+H5*0.2,IF(AND(H5&gt;87285,H5&lt;116379),19494+H5*0.18,IF(AND(H5&gt;116380,H5&lt;145473),24731+H5*0.1,27640))))))</f>
        <v>904.8</v>
      </c>
      <c r="J5" s="14">
        <f t="shared" ref="J5:J22" si="6">SUM($A5-$I5-F5)</f>
        <v>19095.21</v>
      </c>
      <c r="K5" s="15">
        <f t="shared" ref="K5:K22" si="7">IF($J5&lt;14000,$J5-$J5*0.105,             IF(AND($J5&gt;14000,$J5&lt;48000),$J5-$J5*0.175,            IF(AND($J5&gt;48000,$J5&lt;70000),$J5-$J5*0.3,         IF($J5&gt;70000,$J5-$J5*0.33))))</f>
        <v>15753.54825</v>
      </c>
      <c r="L5" s="16">
        <f t="shared" ref="L5:L22" si="8">SUM(K5/52)</f>
        <v>302.95285096153845</v>
      </c>
      <c r="M5" s="14">
        <f t="shared" ref="M5:M22" si="9">SUM($A5-$I5-C5)</f>
        <v>18991.5288</v>
      </c>
      <c r="N5" s="15">
        <f t="shared" ref="N5:N22" si="10">IF($M5&lt;14000,$M5-$M5*0.105,             IF(AND($M5&gt;14000,$M5&lt;48000),$M5-$M5*0.175,            IF(AND($M5&gt;48000,$M5&lt;70000),$M5-$M5*0.3,         IF($M5&gt;70000,$M5-$M5*0.33))))</f>
        <v>15668.011259999999</v>
      </c>
      <c r="O5" s="16">
        <f t="shared" ref="O5:O22" si="11">SUM(N5/52)</f>
        <v>301.30790884615385</v>
      </c>
      <c r="P5" s="15">
        <f t="shared" ref="P5:P21" si="12">IF($A5&lt;14000,$A5-$A5*0.105,             IF(AND($A5&gt;14000,$A5&lt;48000),$A5-$A5*0.175,            IF(AND($A5&gt;48000,$A5&lt;70000),$A5-$A5*0.3,         IF($A5&gt;70000,$A5-$A5*0.33))))</f>
        <v>16500.008249999999</v>
      </c>
      <c r="Q5" s="4">
        <f t="shared" ref="Q5:Q22" si="13">SUM(P5-N5)</f>
        <v>831.99698999999964</v>
      </c>
      <c r="R5" s="4">
        <f t="shared" si="2"/>
        <v>15.999942115384609</v>
      </c>
      <c r="S5" s="4"/>
      <c r="T5" s="4"/>
      <c r="U5" s="4"/>
    </row>
    <row r="6" spans="1:21" x14ac:dyDescent="0.4">
      <c r="A6" s="6">
        <v>25000.01</v>
      </c>
      <c r="B6" s="10">
        <f t="shared" si="0"/>
        <v>5864.0099999999984</v>
      </c>
      <c r="C6" s="11">
        <f t="shared" si="1"/>
        <v>703.68119999999976</v>
      </c>
      <c r="D6" s="12">
        <f t="shared" ref="D6:D22" si="14">IF(C6=0,"NA",ROUNDUP(NPER(0,-C6,D$2,0),0))</f>
        <v>126</v>
      </c>
      <c r="E6" s="10">
        <f t="shared" si="3"/>
        <v>4364.0099999999984</v>
      </c>
      <c r="F6" s="11">
        <f t="shared" si="4"/>
        <v>523.68119999999976</v>
      </c>
      <c r="G6" s="12">
        <f t="shared" ref="G6:G22" si="15">IF(F6=0,"NA",ROUNDUP(NPER(0,-F6,G$2,0),0))</f>
        <v>168</v>
      </c>
      <c r="H6" s="10">
        <f t="shared" si="5"/>
        <v>5641.0099999999984</v>
      </c>
      <c r="I6" s="13">
        <f t="shared" ref="I6:I22" si="16">IF(H6&lt;29095,904.8,IF(AND(H6&lt;29095,H6&lt;H$2),H6*0.17,IF(AND(H6&gt;29095,H6&lt;58190),6983+H6*0.23,IF(AND(H6&gt;58190,H6&lt;87284),13675+H6*0.2,IF(AND(H6&gt;87285,H6&lt;116379),19494+H6*0.18,IF(AND(H6&gt;116380,H6&lt;145473),24731+H6*0.1,27640))))))</f>
        <v>904.8</v>
      </c>
      <c r="J6" s="14">
        <f t="shared" si="6"/>
        <v>23571.5288</v>
      </c>
      <c r="K6" s="15">
        <f t="shared" si="7"/>
        <v>19446.511259999999</v>
      </c>
      <c r="L6" s="16">
        <f t="shared" si="8"/>
        <v>373.9713703846154</v>
      </c>
      <c r="M6" s="14">
        <f t="shared" si="9"/>
        <v>23391.5288</v>
      </c>
      <c r="N6" s="15">
        <f t="shared" si="10"/>
        <v>19298.011259999999</v>
      </c>
      <c r="O6" s="16">
        <f t="shared" si="11"/>
        <v>371.11560115384611</v>
      </c>
      <c r="P6" s="15">
        <f t="shared" si="12"/>
        <v>20625.008249999999</v>
      </c>
      <c r="Q6" s="4">
        <f t="shared" si="13"/>
        <v>1326.9969899999996</v>
      </c>
      <c r="R6" s="4">
        <f t="shared" si="2"/>
        <v>25.519172884615379</v>
      </c>
      <c r="S6" s="4"/>
      <c r="T6" s="4"/>
      <c r="U6" s="4"/>
    </row>
    <row r="7" spans="1:21" x14ac:dyDescent="0.4">
      <c r="A7" s="6">
        <v>30000.01</v>
      </c>
      <c r="B7" s="10">
        <f t="shared" si="0"/>
        <v>10864.009999999998</v>
      </c>
      <c r="C7" s="11">
        <f t="shared" si="1"/>
        <v>1303.6811999999998</v>
      </c>
      <c r="D7" s="12">
        <f t="shared" si="14"/>
        <v>68</v>
      </c>
      <c r="E7" s="10">
        <f t="shared" si="3"/>
        <v>9364.0099999999984</v>
      </c>
      <c r="F7" s="11">
        <f t="shared" si="4"/>
        <v>1123.6811999999998</v>
      </c>
      <c r="G7" s="12">
        <f t="shared" si="15"/>
        <v>79</v>
      </c>
      <c r="H7" s="10">
        <f t="shared" si="5"/>
        <v>10641.009999999998</v>
      </c>
      <c r="I7" s="13">
        <f t="shared" si="16"/>
        <v>904.8</v>
      </c>
      <c r="J7" s="14">
        <f t="shared" si="6"/>
        <v>27971.5288</v>
      </c>
      <c r="K7" s="15">
        <f t="shared" si="7"/>
        <v>23076.511259999999</v>
      </c>
      <c r="L7" s="16">
        <f t="shared" si="8"/>
        <v>443.77906269230766</v>
      </c>
      <c r="M7" s="14">
        <f t="shared" si="9"/>
        <v>27791.5288</v>
      </c>
      <c r="N7" s="15">
        <f t="shared" si="10"/>
        <v>22928.011259999999</v>
      </c>
      <c r="O7" s="16">
        <f t="shared" si="11"/>
        <v>440.92329346153844</v>
      </c>
      <c r="P7" s="15">
        <f t="shared" si="12"/>
        <v>24750.008249999999</v>
      </c>
      <c r="Q7" s="4">
        <f t="shared" si="13"/>
        <v>1821.9969899999996</v>
      </c>
      <c r="R7" s="4">
        <f t="shared" si="2"/>
        <v>35.038403653846146</v>
      </c>
      <c r="S7" s="4"/>
      <c r="T7" s="4"/>
      <c r="U7" s="4"/>
    </row>
    <row r="8" spans="1:21" ht="15" thickBot="1" x14ac:dyDescent="0.45">
      <c r="A8" s="6">
        <v>40000.01</v>
      </c>
      <c r="B8" s="10">
        <f t="shared" si="0"/>
        <v>20864.010000000002</v>
      </c>
      <c r="C8" s="11">
        <f t="shared" si="1"/>
        <v>2503.6812</v>
      </c>
      <c r="D8" s="12">
        <f>IF(C8=0,"NA",ROUNDUP(NPER(0,-C8,D$2,0),0))</f>
        <v>36</v>
      </c>
      <c r="E8" s="10">
        <f t="shared" si="3"/>
        <v>19364.010000000002</v>
      </c>
      <c r="F8" s="11">
        <f t="shared" si="4"/>
        <v>2323.6812</v>
      </c>
      <c r="G8" s="12">
        <f>IF(F8=0,"NA",ROUNDUP(NPER(0,-F8,G$2,0),0))</f>
        <v>38</v>
      </c>
      <c r="H8" s="10">
        <f t="shared" si="5"/>
        <v>20641.010000000002</v>
      </c>
      <c r="I8" s="13">
        <f t="shared" si="16"/>
        <v>904.8</v>
      </c>
      <c r="J8" s="14">
        <f t="shared" si="6"/>
        <v>36771.5288</v>
      </c>
      <c r="K8" s="15">
        <f t="shared" si="7"/>
        <v>30336.511259999999</v>
      </c>
      <c r="L8" s="16">
        <f t="shared" si="8"/>
        <v>583.3944473076923</v>
      </c>
      <c r="M8" s="14">
        <f t="shared" si="9"/>
        <v>36591.5288</v>
      </c>
      <c r="N8" s="15">
        <f t="shared" si="10"/>
        <v>30188.011259999999</v>
      </c>
      <c r="O8" s="17">
        <f t="shared" si="11"/>
        <v>580.53867807692302</v>
      </c>
      <c r="P8" s="15">
        <f t="shared" si="12"/>
        <v>33000.008249999999</v>
      </c>
      <c r="Q8" s="4">
        <f t="shared" si="13"/>
        <v>2811.9969899999996</v>
      </c>
      <c r="R8" s="4">
        <f t="shared" si="2"/>
        <v>54.076865192307686</v>
      </c>
      <c r="S8" s="4"/>
      <c r="T8" s="4"/>
      <c r="U8" s="4"/>
    </row>
    <row r="9" spans="1:21" x14ac:dyDescent="0.4">
      <c r="A9" s="18">
        <v>50000.01</v>
      </c>
      <c r="B9" s="19">
        <f t="shared" si="0"/>
        <v>30864.010000000002</v>
      </c>
      <c r="C9" s="20">
        <f t="shared" si="1"/>
        <v>3703.6812</v>
      </c>
      <c r="D9" s="21">
        <f t="shared" si="14"/>
        <v>24</v>
      </c>
      <c r="E9" s="19">
        <f t="shared" si="3"/>
        <v>29364.010000000002</v>
      </c>
      <c r="F9" s="20">
        <f t="shared" si="4"/>
        <v>3523.6812</v>
      </c>
      <c r="G9" s="21">
        <f t="shared" si="15"/>
        <v>25</v>
      </c>
      <c r="H9" s="19">
        <f t="shared" si="5"/>
        <v>30641.010000000002</v>
      </c>
      <c r="I9" s="22">
        <f t="shared" si="16"/>
        <v>14030.4323</v>
      </c>
      <c r="J9" s="23">
        <f t="shared" si="6"/>
        <v>32445.896500000003</v>
      </c>
      <c r="K9" s="23">
        <f t="shared" si="7"/>
        <v>26767.864612500001</v>
      </c>
      <c r="L9" s="24">
        <f t="shared" si="8"/>
        <v>514.76662716346152</v>
      </c>
      <c r="M9" s="23">
        <f t="shared" si="9"/>
        <v>32265.896500000003</v>
      </c>
      <c r="N9" s="23">
        <f t="shared" si="10"/>
        <v>26619.364612500001</v>
      </c>
      <c r="O9" s="24">
        <f t="shared" si="11"/>
        <v>511.91085793269235</v>
      </c>
      <c r="P9" s="23">
        <f t="shared" si="12"/>
        <v>35000.006999999998</v>
      </c>
      <c r="Q9" s="25">
        <f t="shared" si="13"/>
        <v>8380.6423874999964</v>
      </c>
      <c r="R9" s="26">
        <f>SUM((P9-N9)/52)</f>
        <v>161.16619975961532</v>
      </c>
      <c r="S9" s="4"/>
      <c r="T9" s="4"/>
      <c r="U9" s="4"/>
    </row>
    <row r="10" spans="1:21" x14ac:dyDescent="0.4">
      <c r="A10" s="27">
        <v>60000.01</v>
      </c>
      <c r="B10" s="28">
        <f t="shared" si="0"/>
        <v>40864.01</v>
      </c>
      <c r="C10" s="29">
        <f t="shared" si="1"/>
        <v>4903.6812</v>
      </c>
      <c r="D10" s="30">
        <f t="shared" si="14"/>
        <v>18</v>
      </c>
      <c r="E10" s="28">
        <f t="shared" si="3"/>
        <v>39364.01</v>
      </c>
      <c r="F10" s="29">
        <f t="shared" si="4"/>
        <v>4723.6812</v>
      </c>
      <c r="G10" s="30">
        <f t="shared" si="15"/>
        <v>19</v>
      </c>
      <c r="H10" s="28">
        <f t="shared" si="5"/>
        <v>40641.01</v>
      </c>
      <c r="I10" s="31">
        <f t="shared" si="16"/>
        <v>16330.4323</v>
      </c>
      <c r="J10" s="32">
        <f t="shared" si="6"/>
        <v>38945.896500000003</v>
      </c>
      <c r="K10" s="32">
        <f t="shared" si="7"/>
        <v>32130.364612500001</v>
      </c>
      <c r="L10" s="33">
        <f t="shared" si="8"/>
        <v>617.89162716346152</v>
      </c>
      <c r="M10" s="32">
        <f t="shared" si="9"/>
        <v>38765.896500000003</v>
      </c>
      <c r="N10" s="32">
        <f t="shared" si="10"/>
        <v>31981.864612500001</v>
      </c>
      <c r="O10" s="33">
        <f t="shared" si="11"/>
        <v>615.03585793269235</v>
      </c>
      <c r="P10" s="32">
        <f t="shared" si="12"/>
        <v>42000.006999999998</v>
      </c>
      <c r="Q10" s="34">
        <f t="shared" si="13"/>
        <v>10018.142387499996</v>
      </c>
      <c r="R10" s="35">
        <f t="shared" ref="R10:R70" si="17">SUM((P10-N10)/52)</f>
        <v>192.65658437499994</v>
      </c>
      <c r="S10" s="4"/>
      <c r="T10" s="4"/>
      <c r="U10" s="4"/>
    </row>
    <row r="11" spans="1:21" ht="15" thickBot="1" x14ac:dyDescent="0.45">
      <c r="A11" s="36">
        <v>70000.009999999995</v>
      </c>
      <c r="B11" s="37">
        <f t="shared" ref="B11:B22" si="18">IF(B$2&gt;A11, 0, SUM($A11-B$2))</f>
        <v>50864.009999999995</v>
      </c>
      <c r="C11" s="38">
        <f t="shared" ref="C11:C22" si="19">SUM(B11*C$2)</f>
        <v>6103.6811999999991</v>
      </c>
      <c r="D11" s="39">
        <f t="shared" si="14"/>
        <v>15</v>
      </c>
      <c r="E11" s="37">
        <f t="shared" si="3"/>
        <v>49364.009999999995</v>
      </c>
      <c r="F11" s="38">
        <f t="shared" si="4"/>
        <v>5923.6811999999991</v>
      </c>
      <c r="G11" s="39">
        <f t="shared" si="15"/>
        <v>15</v>
      </c>
      <c r="H11" s="37">
        <f t="shared" si="5"/>
        <v>50641.009999999995</v>
      </c>
      <c r="I11" s="40">
        <f t="shared" si="16"/>
        <v>18630.4323</v>
      </c>
      <c r="J11" s="41">
        <f t="shared" si="6"/>
        <v>45445.896499999995</v>
      </c>
      <c r="K11" s="41">
        <f t="shared" si="7"/>
        <v>37492.864612499994</v>
      </c>
      <c r="L11" s="42">
        <f t="shared" si="8"/>
        <v>721.01662716346141</v>
      </c>
      <c r="M11" s="41">
        <f t="shared" si="9"/>
        <v>45265.896499999995</v>
      </c>
      <c r="N11" s="41">
        <f t="shared" si="10"/>
        <v>37344.364612499994</v>
      </c>
      <c r="O11" s="42">
        <f>SUM(N11/52)</f>
        <v>718.16085793269224</v>
      </c>
      <c r="P11" s="41">
        <f t="shared" si="12"/>
        <v>46900.006699999998</v>
      </c>
      <c r="Q11" s="43">
        <f>SUM(P11-N11)</f>
        <v>9555.642087500004</v>
      </c>
      <c r="R11" s="44">
        <f t="shared" si="17"/>
        <v>183.76234783653854</v>
      </c>
      <c r="S11" s="4"/>
      <c r="T11" s="4"/>
      <c r="U11" s="4"/>
    </row>
    <row r="12" spans="1:21" x14ac:dyDescent="0.4">
      <c r="A12" s="6">
        <v>80000.009999999995</v>
      </c>
      <c r="B12" s="10">
        <f t="shared" si="18"/>
        <v>60864.009999999995</v>
      </c>
      <c r="C12" s="11">
        <f t="shared" si="19"/>
        <v>7303.6811999999991</v>
      </c>
      <c r="D12" s="12">
        <f t="shared" si="14"/>
        <v>13</v>
      </c>
      <c r="E12" s="10">
        <f t="shared" si="3"/>
        <v>59364.009999999995</v>
      </c>
      <c r="F12" s="11">
        <f t="shared" si="4"/>
        <v>7123.6811999999991</v>
      </c>
      <c r="G12" s="12">
        <f t="shared" si="15"/>
        <v>13</v>
      </c>
      <c r="H12" s="10">
        <f t="shared" si="5"/>
        <v>60641.009999999995</v>
      </c>
      <c r="I12" s="13">
        <f t="shared" si="16"/>
        <v>25803.201999999997</v>
      </c>
      <c r="J12" s="14">
        <f t="shared" si="6"/>
        <v>47073.126799999998</v>
      </c>
      <c r="K12" s="15">
        <f t="shared" si="7"/>
        <v>38835.329610000001</v>
      </c>
      <c r="L12" s="16">
        <f t="shared" si="8"/>
        <v>746.83326173076921</v>
      </c>
      <c r="M12" s="14">
        <f t="shared" si="9"/>
        <v>46893.126799999998</v>
      </c>
      <c r="N12" s="15">
        <f t="shared" si="10"/>
        <v>38686.829610000001</v>
      </c>
      <c r="O12" s="16">
        <f t="shared" si="11"/>
        <v>743.97749250000004</v>
      </c>
      <c r="P12" s="15">
        <f t="shared" si="12"/>
        <v>53600.006699999998</v>
      </c>
      <c r="Q12" s="4">
        <f t="shared" si="13"/>
        <v>14913.177089999997</v>
      </c>
      <c r="R12" s="4">
        <f t="shared" si="17"/>
        <v>286.79186711538455</v>
      </c>
      <c r="S12" s="4"/>
      <c r="T12" s="4"/>
      <c r="U12" s="4"/>
    </row>
    <row r="13" spans="1:21" x14ac:dyDescent="0.4">
      <c r="A13" s="6">
        <v>90000.01</v>
      </c>
      <c r="B13" s="10">
        <f t="shared" si="18"/>
        <v>70864.009999999995</v>
      </c>
      <c r="C13" s="11">
        <f t="shared" si="19"/>
        <v>8503.6811999999991</v>
      </c>
      <c r="D13" s="12">
        <f t="shared" si="14"/>
        <v>11</v>
      </c>
      <c r="E13" s="10">
        <f t="shared" si="3"/>
        <v>69364.009999999995</v>
      </c>
      <c r="F13" s="11">
        <f t="shared" si="4"/>
        <v>8323.6811999999991</v>
      </c>
      <c r="G13" s="12">
        <f t="shared" si="15"/>
        <v>11</v>
      </c>
      <c r="H13" s="10">
        <f t="shared" si="5"/>
        <v>70641.009999999995</v>
      </c>
      <c r="I13" s="13">
        <f t="shared" si="16"/>
        <v>27803.201999999997</v>
      </c>
      <c r="J13" s="14">
        <f t="shared" si="6"/>
        <v>53873.126799999998</v>
      </c>
      <c r="K13" s="15">
        <f t="shared" si="7"/>
        <v>37711.188759999997</v>
      </c>
      <c r="L13" s="16">
        <f t="shared" si="8"/>
        <v>725.21516846153838</v>
      </c>
      <c r="M13" s="14">
        <f t="shared" si="9"/>
        <v>53693.126799999998</v>
      </c>
      <c r="N13" s="15">
        <f t="shared" si="10"/>
        <v>37585.188759999997</v>
      </c>
      <c r="O13" s="16">
        <f t="shared" si="11"/>
        <v>722.79209153846148</v>
      </c>
      <c r="P13" s="15">
        <f t="shared" si="12"/>
        <v>60300.006699999998</v>
      </c>
      <c r="Q13" s="4">
        <f t="shared" si="13"/>
        <v>22714.817940000001</v>
      </c>
      <c r="R13" s="4">
        <f t="shared" si="17"/>
        <v>436.82342192307692</v>
      </c>
      <c r="S13" s="4"/>
      <c r="T13" s="4"/>
      <c r="U13" s="4"/>
    </row>
    <row r="14" spans="1:21" x14ac:dyDescent="0.4">
      <c r="A14" s="6">
        <v>100000.01</v>
      </c>
      <c r="B14" s="10">
        <f t="shared" si="18"/>
        <v>80864.009999999995</v>
      </c>
      <c r="C14" s="11">
        <f t="shared" si="19"/>
        <v>9703.6811999999991</v>
      </c>
      <c r="D14" s="12">
        <f t="shared" si="14"/>
        <v>10</v>
      </c>
      <c r="E14" s="10">
        <f t="shared" si="3"/>
        <v>79364.009999999995</v>
      </c>
      <c r="F14" s="11">
        <f t="shared" si="4"/>
        <v>9523.6811999999991</v>
      </c>
      <c r="G14" s="12">
        <f t="shared" si="15"/>
        <v>10</v>
      </c>
      <c r="H14" s="10">
        <f t="shared" si="5"/>
        <v>80641.009999999995</v>
      </c>
      <c r="I14" s="13">
        <f t="shared" si="16"/>
        <v>29803.201999999997</v>
      </c>
      <c r="J14" s="14">
        <f t="shared" si="6"/>
        <v>60673.126799999991</v>
      </c>
      <c r="K14" s="15">
        <f t="shared" si="7"/>
        <v>42471.18875999999</v>
      </c>
      <c r="L14" s="16">
        <f t="shared" si="8"/>
        <v>816.75362999999982</v>
      </c>
      <c r="M14" s="14">
        <f t="shared" si="9"/>
        <v>60493.126799999991</v>
      </c>
      <c r="N14" s="15">
        <f t="shared" si="10"/>
        <v>42345.18875999999</v>
      </c>
      <c r="O14" s="16">
        <f t="shared" si="11"/>
        <v>814.33055307692291</v>
      </c>
      <c r="P14" s="15">
        <f t="shared" si="12"/>
        <v>67000.006699999998</v>
      </c>
      <c r="Q14" s="4">
        <f t="shared" si="13"/>
        <v>24654.817940000008</v>
      </c>
      <c r="R14" s="4">
        <f t="shared" si="17"/>
        <v>474.13111423076941</v>
      </c>
      <c r="S14" s="4"/>
      <c r="T14" s="4"/>
      <c r="U14" s="4"/>
    </row>
    <row r="15" spans="1:21" x14ac:dyDescent="0.4">
      <c r="A15" s="6">
        <v>110000.01</v>
      </c>
      <c r="B15" s="10">
        <f t="shared" si="18"/>
        <v>90864.01</v>
      </c>
      <c r="C15" s="11">
        <f t="shared" si="19"/>
        <v>10903.681199999999</v>
      </c>
      <c r="D15" s="12">
        <f t="shared" si="14"/>
        <v>9</v>
      </c>
      <c r="E15" s="10">
        <f t="shared" si="3"/>
        <v>89364.01</v>
      </c>
      <c r="F15" s="11">
        <f t="shared" si="4"/>
        <v>10723.681199999999</v>
      </c>
      <c r="G15" s="12">
        <f t="shared" si="15"/>
        <v>9</v>
      </c>
      <c r="H15" s="10">
        <f t="shared" si="5"/>
        <v>90641.01</v>
      </c>
      <c r="I15" s="13">
        <f t="shared" si="16"/>
        <v>35809.381800000003</v>
      </c>
      <c r="J15" s="14">
        <f t="shared" si="6"/>
        <v>63466.946999999993</v>
      </c>
      <c r="K15" s="15">
        <f t="shared" si="7"/>
        <v>44426.862899999993</v>
      </c>
      <c r="L15" s="16">
        <f t="shared" si="8"/>
        <v>854.36274807692291</v>
      </c>
      <c r="M15" s="14">
        <f t="shared" si="9"/>
        <v>63286.946999999993</v>
      </c>
      <c r="N15" s="15">
        <f t="shared" si="10"/>
        <v>44300.862899999993</v>
      </c>
      <c r="O15" s="16">
        <f t="shared" si="11"/>
        <v>851.93967115384601</v>
      </c>
      <c r="P15" s="15">
        <f t="shared" si="12"/>
        <v>73700.006699999998</v>
      </c>
      <c r="Q15" s="4">
        <f t="shared" si="13"/>
        <v>29399.143800000005</v>
      </c>
      <c r="R15" s="4">
        <f t="shared" si="17"/>
        <v>565.36815000000013</v>
      </c>
      <c r="S15" s="4"/>
      <c r="T15" s="4"/>
      <c r="U15" s="4"/>
    </row>
    <row r="16" spans="1:21" x14ac:dyDescent="0.4">
      <c r="A16" s="6">
        <v>120000.01</v>
      </c>
      <c r="B16" s="10">
        <f t="shared" si="18"/>
        <v>100864.01</v>
      </c>
      <c r="C16" s="11">
        <f t="shared" si="19"/>
        <v>12103.681199999999</v>
      </c>
      <c r="D16" s="12">
        <f t="shared" si="14"/>
        <v>8</v>
      </c>
      <c r="E16" s="10">
        <f t="shared" si="3"/>
        <v>99364.01</v>
      </c>
      <c r="F16" s="11">
        <f t="shared" si="4"/>
        <v>11923.681199999999</v>
      </c>
      <c r="G16" s="12">
        <f t="shared" si="15"/>
        <v>8</v>
      </c>
      <c r="H16" s="10">
        <f t="shared" si="5"/>
        <v>100641.01</v>
      </c>
      <c r="I16" s="13">
        <f t="shared" si="16"/>
        <v>37609.381800000003</v>
      </c>
      <c r="J16" s="14">
        <f t="shared" si="6"/>
        <v>70466.946999999986</v>
      </c>
      <c r="K16" s="15">
        <f t="shared" si="7"/>
        <v>47212.854489999991</v>
      </c>
      <c r="L16" s="16">
        <f t="shared" si="8"/>
        <v>907.93950942307674</v>
      </c>
      <c r="M16" s="14">
        <f t="shared" si="9"/>
        <v>70286.946999999986</v>
      </c>
      <c r="N16" s="15">
        <f t="shared" si="10"/>
        <v>47092.254489999992</v>
      </c>
      <c r="O16" s="16">
        <f t="shared" si="11"/>
        <v>905.62027865384596</v>
      </c>
      <c r="P16" s="15">
        <f t="shared" si="12"/>
        <v>80400.006699999998</v>
      </c>
      <c r="Q16" s="4">
        <f t="shared" si="13"/>
        <v>33307.752210000006</v>
      </c>
      <c r="R16" s="4">
        <f t="shared" si="17"/>
        <v>640.53369634615399</v>
      </c>
      <c r="S16" s="4"/>
      <c r="T16" s="4"/>
      <c r="U16" s="4"/>
    </row>
    <row r="17" spans="1:21" x14ac:dyDescent="0.4">
      <c r="A17" s="6">
        <v>130000.01</v>
      </c>
      <c r="B17" s="10">
        <f t="shared" si="18"/>
        <v>110864.01</v>
      </c>
      <c r="C17" s="11">
        <f t="shared" si="19"/>
        <v>13303.681199999999</v>
      </c>
      <c r="D17" s="12">
        <f t="shared" si="14"/>
        <v>7</v>
      </c>
      <c r="E17" s="10">
        <f t="shared" si="3"/>
        <v>109364.01</v>
      </c>
      <c r="F17" s="11">
        <f t="shared" si="4"/>
        <v>13123.681199999999</v>
      </c>
      <c r="G17" s="12">
        <f t="shared" si="15"/>
        <v>7</v>
      </c>
      <c r="H17" s="10">
        <f t="shared" si="5"/>
        <v>110641.01</v>
      </c>
      <c r="I17" s="13">
        <f t="shared" si="16"/>
        <v>39409.381800000003</v>
      </c>
      <c r="J17" s="14">
        <f t="shared" si="6"/>
        <v>77466.946999999986</v>
      </c>
      <c r="K17" s="15">
        <f t="shared" si="7"/>
        <v>51902.854489999991</v>
      </c>
      <c r="L17" s="16">
        <f t="shared" si="8"/>
        <v>998.13181711538448</v>
      </c>
      <c r="M17" s="14">
        <f t="shared" si="9"/>
        <v>77286.946999999986</v>
      </c>
      <c r="N17" s="15">
        <f t="shared" si="10"/>
        <v>51782.254489999992</v>
      </c>
      <c r="O17" s="16">
        <f t="shared" si="11"/>
        <v>995.81258634615369</v>
      </c>
      <c r="P17" s="15">
        <f t="shared" si="12"/>
        <v>87100.006699999998</v>
      </c>
      <c r="Q17" s="4">
        <f t="shared" si="13"/>
        <v>35317.752210000006</v>
      </c>
      <c r="R17" s="4">
        <f t="shared" si="17"/>
        <v>679.18754250000006</v>
      </c>
      <c r="S17" s="4"/>
      <c r="T17" s="4"/>
      <c r="U17" s="4"/>
    </row>
    <row r="18" spans="1:21" x14ac:dyDescent="0.4">
      <c r="A18" s="6">
        <v>140000.01</v>
      </c>
      <c r="B18" s="10">
        <f t="shared" si="18"/>
        <v>120864.01000000001</v>
      </c>
      <c r="C18" s="11">
        <f t="shared" si="19"/>
        <v>14503.681200000001</v>
      </c>
      <c r="D18" s="12">
        <f t="shared" si="14"/>
        <v>7</v>
      </c>
      <c r="E18" s="10">
        <f t="shared" si="3"/>
        <v>119364.01000000001</v>
      </c>
      <c r="F18" s="11">
        <f t="shared" si="4"/>
        <v>14323.681200000001</v>
      </c>
      <c r="G18" s="12">
        <f t="shared" si="15"/>
        <v>7</v>
      </c>
      <c r="H18" s="10">
        <f t="shared" si="5"/>
        <v>120641.01000000001</v>
      </c>
      <c r="I18" s="13">
        <f t="shared" si="16"/>
        <v>36795.101000000002</v>
      </c>
      <c r="J18" s="14">
        <f t="shared" si="6"/>
        <v>88881.227800000008</v>
      </c>
      <c r="K18" s="15">
        <f t="shared" si="7"/>
        <v>59550.422626</v>
      </c>
      <c r="L18" s="16">
        <f t="shared" si="8"/>
        <v>1145.2004351153846</v>
      </c>
      <c r="M18" s="14">
        <f t="shared" si="9"/>
        <v>88701.227800000008</v>
      </c>
      <c r="N18" s="15">
        <f t="shared" si="10"/>
        <v>59429.822626000008</v>
      </c>
      <c r="O18" s="16">
        <f t="shared" si="11"/>
        <v>1142.8812043461539</v>
      </c>
      <c r="P18" s="15">
        <f t="shared" si="12"/>
        <v>93800.006699999998</v>
      </c>
      <c r="Q18" s="4">
        <f t="shared" si="13"/>
        <v>34370.18407399999</v>
      </c>
      <c r="R18" s="4">
        <f t="shared" si="17"/>
        <v>660.96507834615363</v>
      </c>
      <c r="S18" s="4"/>
      <c r="T18" s="4"/>
      <c r="U18" s="4"/>
    </row>
    <row r="19" spans="1:21" x14ac:dyDescent="0.4">
      <c r="A19" s="6">
        <v>150000.01</v>
      </c>
      <c r="B19" s="10">
        <f t="shared" si="18"/>
        <v>130864.01000000001</v>
      </c>
      <c r="C19" s="11">
        <f t="shared" si="19"/>
        <v>15703.681200000001</v>
      </c>
      <c r="D19" s="12">
        <f t="shared" si="14"/>
        <v>6</v>
      </c>
      <c r="E19" s="10">
        <f t="shared" si="3"/>
        <v>129364.01000000001</v>
      </c>
      <c r="F19" s="11">
        <f t="shared" si="4"/>
        <v>15523.681200000001</v>
      </c>
      <c r="G19" s="12">
        <f t="shared" si="15"/>
        <v>6</v>
      </c>
      <c r="H19" s="10">
        <f t="shared" si="5"/>
        <v>130641.01000000001</v>
      </c>
      <c r="I19" s="13">
        <f t="shared" si="16"/>
        <v>37795.101000000002</v>
      </c>
      <c r="J19" s="14">
        <f t="shared" si="6"/>
        <v>96681.227800000008</v>
      </c>
      <c r="K19" s="15">
        <f t="shared" si="7"/>
        <v>64776.422626</v>
      </c>
      <c r="L19" s="16">
        <f t="shared" si="8"/>
        <v>1245.7004351153846</v>
      </c>
      <c r="M19" s="14">
        <f t="shared" si="9"/>
        <v>96501.227800000008</v>
      </c>
      <c r="N19" s="15">
        <f t="shared" si="10"/>
        <v>64655.822626000008</v>
      </c>
      <c r="O19" s="16">
        <f t="shared" si="11"/>
        <v>1243.3812043461539</v>
      </c>
      <c r="P19" s="15">
        <f t="shared" si="12"/>
        <v>100500.0067</v>
      </c>
      <c r="Q19" s="4">
        <f t="shared" si="13"/>
        <v>35844.18407399999</v>
      </c>
      <c r="R19" s="4">
        <f t="shared" si="17"/>
        <v>689.31123219230744</v>
      </c>
      <c r="S19" s="4"/>
      <c r="T19" s="4"/>
      <c r="U19" s="4"/>
    </row>
    <row r="20" spans="1:21" x14ac:dyDescent="0.4">
      <c r="A20" s="6">
        <v>160000.01</v>
      </c>
      <c r="B20" s="10">
        <f t="shared" si="18"/>
        <v>140864.01</v>
      </c>
      <c r="C20" s="11">
        <f t="shared" si="19"/>
        <v>16903.681199999999</v>
      </c>
      <c r="D20" s="12">
        <f t="shared" si="14"/>
        <v>6</v>
      </c>
      <c r="E20" s="10">
        <f t="shared" si="3"/>
        <v>139364.01</v>
      </c>
      <c r="F20" s="11">
        <f t="shared" si="4"/>
        <v>16723.681199999999</v>
      </c>
      <c r="G20" s="12">
        <f t="shared" si="15"/>
        <v>6</v>
      </c>
      <c r="H20" s="10">
        <f t="shared" si="5"/>
        <v>140641.01</v>
      </c>
      <c r="I20" s="13">
        <f t="shared" si="16"/>
        <v>38795.101000000002</v>
      </c>
      <c r="J20" s="14">
        <f t="shared" si="6"/>
        <v>104481.22780000002</v>
      </c>
      <c r="K20" s="15">
        <f t="shared" si="7"/>
        <v>70002.422626000014</v>
      </c>
      <c r="L20" s="16">
        <f t="shared" si="8"/>
        <v>1346.2004351153848</v>
      </c>
      <c r="M20" s="14">
        <f t="shared" si="9"/>
        <v>104301.22780000002</v>
      </c>
      <c r="N20" s="15">
        <f t="shared" si="10"/>
        <v>69881.822626000008</v>
      </c>
      <c r="O20" s="16">
        <f t="shared" si="11"/>
        <v>1343.8812043461539</v>
      </c>
      <c r="P20" s="15">
        <f t="shared" si="12"/>
        <v>107200.0067</v>
      </c>
      <c r="Q20" s="4">
        <f t="shared" si="13"/>
        <v>37318.18407399999</v>
      </c>
      <c r="R20" s="4">
        <f t="shared" si="17"/>
        <v>717.65738603846137</v>
      </c>
      <c r="S20" s="4"/>
      <c r="T20" s="4"/>
      <c r="U20" s="4"/>
    </row>
    <row r="21" spans="1:21" x14ac:dyDescent="0.4">
      <c r="A21" s="6">
        <v>170000.01</v>
      </c>
      <c r="B21" s="10">
        <f t="shared" si="18"/>
        <v>150864.01</v>
      </c>
      <c r="C21" s="11">
        <f t="shared" si="19"/>
        <v>18103.681199999999</v>
      </c>
      <c r="D21" s="12">
        <f t="shared" si="14"/>
        <v>5</v>
      </c>
      <c r="E21" s="10">
        <f t="shared" si="3"/>
        <v>149364.01</v>
      </c>
      <c r="F21" s="11">
        <f t="shared" si="4"/>
        <v>17923.681199999999</v>
      </c>
      <c r="G21" s="12">
        <f t="shared" si="15"/>
        <v>5</v>
      </c>
      <c r="H21" s="10">
        <f t="shared" si="5"/>
        <v>150641.01</v>
      </c>
      <c r="I21" s="13">
        <f t="shared" si="16"/>
        <v>27640</v>
      </c>
      <c r="J21" s="14">
        <f t="shared" si="6"/>
        <v>124436.32880000002</v>
      </c>
      <c r="K21" s="15">
        <f t="shared" si="7"/>
        <v>83372.340296000009</v>
      </c>
      <c r="L21" s="16">
        <f t="shared" si="8"/>
        <v>1603.3142364615387</v>
      </c>
      <c r="M21" s="14">
        <f t="shared" si="9"/>
        <v>124256.32880000002</v>
      </c>
      <c r="N21" s="15">
        <f t="shared" si="10"/>
        <v>83251.740296000004</v>
      </c>
      <c r="O21" s="16">
        <f t="shared" si="11"/>
        <v>1600.9950056923078</v>
      </c>
      <c r="P21" s="15">
        <f t="shared" si="12"/>
        <v>113900.0067</v>
      </c>
      <c r="Q21" s="4">
        <f t="shared" si="13"/>
        <v>30648.266403999995</v>
      </c>
      <c r="R21" s="4">
        <f t="shared" si="17"/>
        <v>589.38973853846142</v>
      </c>
      <c r="S21" s="4"/>
      <c r="T21" s="4"/>
      <c r="U21" s="4"/>
    </row>
    <row r="22" spans="1:21" x14ac:dyDescent="0.4">
      <c r="A22" s="6">
        <v>180000.01</v>
      </c>
      <c r="B22" s="10">
        <f t="shared" si="18"/>
        <v>160864.01</v>
      </c>
      <c r="C22" s="11">
        <f t="shared" si="19"/>
        <v>19303.681199999999</v>
      </c>
      <c r="D22" s="12">
        <f t="shared" si="14"/>
        <v>5</v>
      </c>
      <c r="E22" s="10">
        <f t="shared" si="3"/>
        <v>159364.01</v>
      </c>
      <c r="F22" s="11">
        <f t="shared" si="4"/>
        <v>19123.681199999999</v>
      </c>
      <c r="G22" s="12">
        <f t="shared" si="15"/>
        <v>5</v>
      </c>
      <c r="H22" s="10">
        <f t="shared" si="5"/>
        <v>160641.01</v>
      </c>
      <c r="I22" s="13">
        <f t="shared" si="16"/>
        <v>27640</v>
      </c>
      <c r="J22" s="14">
        <f t="shared" si="6"/>
        <v>133236.32880000002</v>
      </c>
      <c r="K22" s="15">
        <f t="shared" si="7"/>
        <v>89268.340296000009</v>
      </c>
      <c r="L22" s="16">
        <f t="shared" si="8"/>
        <v>1716.698851846154</v>
      </c>
      <c r="M22" s="14">
        <f t="shared" si="9"/>
        <v>133056.32880000002</v>
      </c>
      <c r="N22" s="15">
        <f t="shared" si="10"/>
        <v>89147.740296000004</v>
      </c>
      <c r="O22" s="16">
        <f t="shared" si="11"/>
        <v>1714.3796210769231</v>
      </c>
      <c r="P22" s="15">
        <f>IF($A22&lt;14000,$A22-$A22*0.105,             IF(AND($A22&gt;14000,$A22&lt;48000),$A22-$A22*0.175,            IF(AND($A22&gt;48000,$A22&lt;70000),$A22-$A22*0.3,         IF($A22&gt;70000,$A22-$A22*0.33))))</f>
        <v>120600.0067</v>
      </c>
      <c r="Q22" s="4">
        <f t="shared" si="13"/>
        <v>31452.266403999995</v>
      </c>
      <c r="R22" s="4">
        <f t="shared" si="17"/>
        <v>604.85127699999987</v>
      </c>
      <c r="S22" s="4"/>
      <c r="T22" s="4"/>
      <c r="U22" s="4"/>
    </row>
    <row r="23" spans="1:21" hidden="1" x14ac:dyDescent="0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>
        <f t="shared" si="17"/>
        <v>0</v>
      </c>
      <c r="S23" s="4"/>
      <c r="T23" s="4"/>
      <c r="U23" s="4"/>
    </row>
    <row r="24" spans="1:21" hidden="1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>
        <f t="shared" si="17"/>
        <v>0</v>
      </c>
      <c r="S24" s="4"/>
      <c r="T24" s="4"/>
      <c r="U24" s="4"/>
    </row>
    <row r="25" spans="1:21" hidden="1" x14ac:dyDescent="0.4">
      <c r="A25" s="16" t="s">
        <v>14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>
        <f t="shared" si="17"/>
        <v>0</v>
      </c>
      <c r="S25" s="4"/>
      <c r="T25" s="4"/>
      <c r="U25" s="4"/>
    </row>
    <row r="26" spans="1:21" hidden="1" x14ac:dyDescent="0.4">
      <c r="A26" s="45" t="s">
        <v>7</v>
      </c>
      <c r="B26" s="6">
        <v>19136</v>
      </c>
      <c r="C26" s="46">
        <v>0.12</v>
      </c>
      <c r="D26" s="6">
        <v>87968.04</v>
      </c>
      <c r="E26" s="10">
        <v>20636</v>
      </c>
      <c r="F26" s="46">
        <v>0.12</v>
      </c>
      <c r="G26" s="6">
        <v>87968.04</v>
      </c>
      <c r="H26" s="6">
        <v>19359</v>
      </c>
      <c r="I26" s="10" t="s">
        <v>12</v>
      </c>
      <c r="J26" s="47" t="s">
        <v>10</v>
      </c>
      <c r="K26" s="47"/>
      <c r="L26" s="47"/>
      <c r="M26" s="48" t="s">
        <v>11</v>
      </c>
      <c r="N26" s="48"/>
      <c r="O26" s="48"/>
      <c r="P26" s="4"/>
      <c r="Q26" s="4"/>
      <c r="R26" s="4">
        <f t="shared" si="17"/>
        <v>0</v>
      </c>
      <c r="S26" s="4"/>
      <c r="T26" s="4"/>
      <c r="U26" s="4"/>
    </row>
    <row r="27" spans="1:21" hidden="1" x14ac:dyDescent="0.4">
      <c r="A27" s="16" t="s">
        <v>1</v>
      </c>
      <c r="B27" s="16" t="s">
        <v>2</v>
      </c>
      <c r="C27" s="16" t="s">
        <v>8</v>
      </c>
      <c r="D27" s="16" t="s">
        <v>13</v>
      </c>
      <c r="E27" s="16" t="s">
        <v>6</v>
      </c>
      <c r="F27" s="16" t="s">
        <v>9</v>
      </c>
      <c r="G27" s="16" t="s">
        <v>13</v>
      </c>
      <c r="H27" s="16" t="s">
        <v>3</v>
      </c>
      <c r="I27" s="16" t="s">
        <v>0</v>
      </c>
      <c r="J27" s="16" t="s">
        <v>4</v>
      </c>
      <c r="K27" s="16"/>
      <c r="L27" s="16" t="s">
        <v>5</v>
      </c>
      <c r="M27" s="16" t="s">
        <v>4</v>
      </c>
      <c r="N27" s="16"/>
      <c r="O27" s="16" t="s">
        <v>5</v>
      </c>
      <c r="P27" s="4"/>
      <c r="Q27" s="4"/>
      <c r="R27" s="4">
        <f t="shared" si="17"/>
        <v>0</v>
      </c>
      <c r="S27" s="4"/>
      <c r="T27" s="4"/>
      <c r="U27" s="4"/>
    </row>
    <row r="28" spans="1:21" hidden="1" x14ac:dyDescent="0.4">
      <c r="A28" s="6">
        <v>15000</v>
      </c>
      <c r="B28" s="10">
        <f t="shared" ref="B28:B34" si="20">IF(B$2&gt;A28, 0, SUM($A28-B$2))</f>
        <v>0</v>
      </c>
      <c r="C28" s="11">
        <f t="shared" ref="C28:C34" si="21">SUM(B28*C$2)</f>
        <v>0</v>
      </c>
      <c r="D28" s="12" t="str">
        <f>IF(C28=0,"NA",ROUNDUP(NPER(0,C28/12,D$2),0))</f>
        <v>NA</v>
      </c>
      <c r="E28" s="10">
        <f>IF(E$2&gt;$A28, 0, SUM($A28-E$2))</f>
        <v>0</v>
      </c>
      <c r="F28" s="11">
        <f>SUM(E28*F$2)</f>
        <v>0</v>
      </c>
      <c r="G28" s="12" t="str">
        <f>IF(F28=0,"NA",ROUNDUP(NPER(0,F28/12,G$2),0))</f>
        <v>NA</v>
      </c>
      <c r="H28" s="10">
        <f>IF(H$2&gt;$A28, 0, SUM($A28-H$2))</f>
        <v>0</v>
      </c>
      <c r="I28" s="13">
        <f>IF(H28&lt;29095,904.8,IF(AND(H28&lt;29095,H28&lt;H$2),H28*0.265,IF(AND(H28&gt;29095,H28&lt;58190),7710+H28*0.255,IF(AND(H28&gt;58190,H28&lt;87284),15129+H28*0.225,IF(AND(H28&gt;87285,H28&lt;116379),21675+H28*0.19,IF(AND(H28&gt;116380,H28&lt;145473),27203+H28*0.115,30549))))))</f>
        <v>904.8</v>
      </c>
      <c r="J28" s="15">
        <f t="shared" ref="J28:J34" si="22">SUM($A28-$I28-C28)</f>
        <v>14095.2</v>
      </c>
      <c r="K28" s="15"/>
      <c r="L28" s="16">
        <f>SUM(J28/52)</f>
        <v>271.06153846153848</v>
      </c>
      <c r="M28" s="15">
        <f t="shared" ref="M28:M34" si="23">SUM($A28-$I28-F28)</f>
        <v>14095.2</v>
      </c>
      <c r="N28" s="15"/>
      <c r="O28" s="16">
        <f>SUM(M28/52)</f>
        <v>271.06153846153848</v>
      </c>
      <c r="P28" s="4"/>
      <c r="Q28" s="4"/>
      <c r="R28" s="4">
        <f t="shared" si="17"/>
        <v>0</v>
      </c>
      <c r="S28" s="4"/>
      <c r="T28" s="4"/>
      <c r="U28" s="4"/>
    </row>
    <row r="29" spans="1:21" hidden="1" x14ac:dyDescent="0.4">
      <c r="A29" s="6">
        <v>20000</v>
      </c>
      <c r="B29" s="10">
        <f t="shared" si="20"/>
        <v>864</v>
      </c>
      <c r="C29" s="11">
        <f t="shared" si="21"/>
        <v>103.67999999999999</v>
      </c>
      <c r="D29" s="12">
        <f>IF(C29=0,"NA",ROUNDUP(NPER(0,-C29,D$2,0),0))</f>
        <v>849</v>
      </c>
      <c r="E29" s="10">
        <f t="shared" ref="E29:E46" si="24">IF(E$2&gt;$A29, 0, SUM($A29-E$2))</f>
        <v>0</v>
      </c>
      <c r="F29" s="11">
        <f t="shared" ref="F29:F46" si="25">SUM(E29*F$2)</f>
        <v>0</v>
      </c>
      <c r="G29" s="12" t="str">
        <f>IF(F29=0,"NA",ROUNDUP(NPER(0,-F29,G$2,0),0))</f>
        <v>NA</v>
      </c>
      <c r="H29" s="10">
        <f t="shared" ref="H29:H46" si="26">IF(H$2&gt;$A29, 0, SUM($A29-H$2))</f>
        <v>641</v>
      </c>
      <c r="I29" s="13">
        <f t="shared" ref="I29:I46" si="27">IF(H29&lt;29095,904.8,IF(AND(H29&lt;29095,H29&lt;H$2),H29*0.265,IF(AND(H29&gt;29095,H29&lt;58190),7710+H29*0.255,IF(AND(H29&gt;58190,H29&lt;87284),15129+H29*0.225,IF(AND(H29&gt;87285,H29&lt;116379),21675+H29*0.19,IF(AND(H29&gt;116380,H29&lt;145473),27203+H29*0.115,30549))))))</f>
        <v>904.8</v>
      </c>
      <c r="J29" s="15">
        <f t="shared" si="22"/>
        <v>18991.52</v>
      </c>
      <c r="K29" s="15"/>
      <c r="L29" s="16">
        <f t="shared" ref="L29:L34" si="28">SUM(J29/52)</f>
        <v>365.22153846153844</v>
      </c>
      <c r="M29" s="15">
        <f t="shared" si="23"/>
        <v>19095.2</v>
      </c>
      <c r="N29" s="15"/>
      <c r="O29" s="16">
        <f t="shared" ref="O29:O46" si="29">SUM(M29/52)</f>
        <v>367.21538461538461</v>
      </c>
      <c r="P29" s="4"/>
      <c r="Q29" s="4"/>
      <c r="R29" s="4">
        <f t="shared" si="17"/>
        <v>0</v>
      </c>
      <c r="S29" s="4"/>
      <c r="T29" s="4"/>
      <c r="U29" s="4"/>
    </row>
    <row r="30" spans="1:21" hidden="1" x14ac:dyDescent="0.4">
      <c r="A30" s="6">
        <v>25000</v>
      </c>
      <c r="B30" s="10">
        <f t="shared" si="20"/>
        <v>5864</v>
      </c>
      <c r="C30" s="11">
        <f t="shared" si="21"/>
        <v>703.68</v>
      </c>
      <c r="D30" s="12">
        <f t="shared" ref="D30:D46" si="30">IF(C30=0,"NA",ROUNDUP(NPER(0,-C30,D$2,0),0))</f>
        <v>126</v>
      </c>
      <c r="E30" s="10">
        <f t="shared" si="24"/>
        <v>4364</v>
      </c>
      <c r="F30" s="11">
        <f t="shared" si="25"/>
        <v>523.67999999999995</v>
      </c>
      <c r="G30" s="12">
        <f t="shared" ref="G30:G46" si="31">IF(F30=0,"NA",ROUNDUP(NPER(0,-F30,G$2,0),0))</f>
        <v>168</v>
      </c>
      <c r="H30" s="10">
        <f t="shared" si="26"/>
        <v>5641</v>
      </c>
      <c r="I30" s="13">
        <f t="shared" si="27"/>
        <v>904.8</v>
      </c>
      <c r="J30" s="15">
        <f t="shared" si="22"/>
        <v>23391.52</v>
      </c>
      <c r="K30" s="15"/>
      <c r="L30" s="16">
        <f t="shared" si="28"/>
        <v>449.83692307692309</v>
      </c>
      <c r="M30" s="15">
        <f t="shared" si="23"/>
        <v>23571.52</v>
      </c>
      <c r="N30" s="15"/>
      <c r="O30" s="16">
        <f t="shared" si="29"/>
        <v>453.29846153846154</v>
      </c>
      <c r="P30" s="4"/>
      <c r="Q30" s="4"/>
      <c r="R30" s="4">
        <f t="shared" si="17"/>
        <v>0</v>
      </c>
      <c r="S30" s="4"/>
      <c r="T30" s="4"/>
      <c r="U30" s="4"/>
    </row>
    <row r="31" spans="1:21" hidden="1" x14ac:dyDescent="0.4">
      <c r="A31" s="6">
        <v>30000</v>
      </c>
      <c r="B31" s="10">
        <f t="shared" si="20"/>
        <v>10864</v>
      </c>
      <c r="C31" s="11">
        <f t="shared" si="21"/>
        <v>1303.68</v>
      </c>
      <c r="D31" s="12">
        <f t="shared" si="30"/>
        <v>68</v>
      </c>
      <c r="E31" s="10">
        <f t="shared" si="24"/>
        <v>9364</v>
      </c>
      <c r="F31" s="11">
        <f t="shared" si="25"/>
        <v>1123.68</v>
      </c>
      <c r="G31" s="12">
        <f t="shared" si="31"/>
        <v>79</v>
      </c>
      <c r="H31" s="10">
        <f t="shared" si="26"/>
        <v>10641</v>
      </c>
      <c r="I31" s="13">
        <f t="shared" si="27"/>
        <v>904.8</v>
      </c>
      <c r="J31" s="15">
        <f t="shared" si="22"/>
        <v>27791.52</v>
      </c>
      <c r="K31" s="15"/>
      <c r="L31" s="16">
        <f t="shared" si="28"/>
        <v>534.45230769230773</v>
      </c>
      <c r="M31" s="15">
        <f t="shared" si="23"/>
        <v>27971.52</v>
      </c>
      <c r="N31" s="15"/>
      <c r="O31" s="16">
        <f t="shared" si="29"/>
        <v>537.91384615384618</v>
      </c>
      <c r="P31" s="4"/>
      <c r="Q31" s="4"/>
      <c r="R31" s="4">
        <f t="shared" si="17"/>
        <v>0</v>
      </c>
      <c r="S31" s="4"/>
      <c r="T31" s="4"/>
      <c r="U31" s="4"/>
    </row>
    <row r="32" spans="1:21" hidden="1" x14ac:dyDescent="0.4">
      <c r="A32" s="6">
        <v>40000</v>
      </c>
      <c r="B32" s="10">
        <f t="shared" si="20"/>
        <v>20864</v>
      </c>
      <c r="C32" s="11">
        <f t="shared" si="21"/>
        <v>2503.6799999999998</v>
      </c>
      <c r="D32" s="12">
        <f>IF(C32=0,"NA",ROUNDUP(NPER(0,-C32,D$2,0),0))</f>
        <v>36</v>
      </c>
      <c r="E32" s="10">
        <f t="shared" si="24"/>
        <v>19364</v>
      </c>
      <c r="F32" s="11">
        <f t="shared" si="25"/>
        <v>2323.6799999999998</v>
      </c>
      <c r="G32" s="12">
        <f>IF(F32=0,"NA",ROUNDUP(NPER(0,-F32,G$2,0),0))</f>
        <v>38</v>
      </c>
      <c r="H32" s="10">
        <f t="shared" si="26"/>
        <v>20641</v>
      </c>
      <c r="I32" s="13">
        <f t="shared" si="27"/>
        <v>904.8</v>
      </c>
      <c r="J32" s="15">
        <f t="shared" si="22"/>
        <v>36591.519999999997</v>
      </c>
      <c r="K32" s="15"/>
      <c r="L32" s="16">
        <f t="shared" si="28"/>
        <v>703.6830769230769</v>
      </c>
      <c r="M32" s="15">
        <f t="shared" si="23"/>
        <v>36771.519999999997</v>
      </c>
      <c r="N32" s="15"/>
      <c r="O32" s="16">
        <f t="shared" si="29"/>
        <v>707.14461538461535</v>
      </c>
      <c r="P32" s="4"/>
      <c r="Q32" s="4"/>
      <c r="R32" s="4">
        <f t="shared" si="17"/>
        <v>0</v>
      </c>
      <c r="S32" s="4"/>
      <c r="T32" s="4"/>
      <c r="U32" s="4"/>
    </row>
    <row r="33" spans="1:21" hidden="1" x14ac:dyDescent="0.4">
      <c r="A33" s="49">
        <v>50000</v>
      </c>
      <c r="B33" s="50">
        <f t="shared" si="20"/>
        <v>30864</v>
      </c>
      <c r="C33" s="51">
        <f t="shared" si="21"/>
        <v>3703.68</v>
      </c>
      <c r="D33" s="12">
        <f t="shared" si="30"/>
        <v>24</v>
      </c>
      <c r="E33" s="50">
        <f t="shared" si="24"/>
        <v>29364</v>
      </c>
      <c r="F33" s="51">
        <f t="shared" si="25"/>
        <v>3523.68</v>
      </c>
      <c r="G33" s="12">
        <f t="shared" si="31"/>
        <v>25</v>
      </c>
      <c r="H33" s="50">
        <f t="shared" si="26"/>
        <v>30641</v>
      </c>
      <c r="I33" s="52">
        <f t="shared" si="27"/>
        <v>15523.455</v>
      </c>
      <c r="J33" s="53">
        <f t="shared" si="22"/>
        <v>30772.864999999998</v>
      </c>
      <c r="K33" s="53"/>
      <c r="L33" s="54">
        <f t="shared" si="28"/>
        <v>591.78586538461536</v>
      </c>
      <c r="M33" s="53">
        <f t="shared" si="23"/>
        <v>30952.864999999998</v>
      </c>
      <c r="N33" s="53"/>
      <c r="O33" s="55">
        <f t="shared" si="29"/>
        <v>595.24740384615382</v>
      </c>
      <c r="P33" s="4"/>
      <c r="Q33" s="4"/>
      <c r="R33" s="4">
        <f t="shared" si="17"/>
        <v>0</v>
      </c>
      <c r="S33" s="4"/>
      <c r="T33" s="4"/>
      <c r="U33" s="4"/>
    </row>
    <row r="34" spans="1:21" hidden="1" x14ac:dyDescent="0.4">
      <c r="A34" s="56">
        <v>60000</v>
      </c>
      <c r="B34" s="57">
        <f t="shared" si="20"/>
        <v>40864</v>
      </c>
      <c r="C34" s="58">
        <f t="shared" si="21"/>
        <v>4903.6799999999994</v>
      </c>
      <c r="D34" s="12">
        <f t="shared" si="30"/>
        <v>18</v>
      </c>
      <c r="E34" s="57">
        <f t="shared" si="24"/>
        <v>39364</v>
      </c>
      <c r="F34" s="58">
        <f t="shared" si="25"/>
        <v>4723.6799999999994</v>
      </c>
      <c r="G34" s="12">
        <f t="shared" si="31"/>
        <v>19</v>
      </c>
      <c r="H34" s="57">
        <f t="shared" si="26"/>
        <v>40641</v>
      </c>
      <c r="I34" s="59">
        <f t="shared" si="27"/>
        <v>18073.455000000002</v>
      </c>
      <c r="J34" s="60">
        <f t="shared" si="22"/>
        <v>37022.864999999998</v>
      </c>
      <c r="K34" s="60"/>
      <c r="L34" s="61">
        <f t="shared" si="28"/>
        <v>711.97817307692299</v>
      </c>
      <c r="M34" s="60">
        <f t="shared" si="23"/>
        <v>37202.864999999998</v>
      </c>
      <c r="N34" s="60"/>
      <c r="O34" s="62">
        <f t="shared" si="29"/>
        <v>715.43971153846155</v>
      </c>
      <c r="P34" s="4"/>
      <c r="Q34" s="4"/>
      <c r="R34" s="4">
        <f t="shared" si="17"/>
        <v>0</v>
      </c>
      <c r="S34" s="4"/>
      <c r="T34" s="4"/>
      <c r="U34" s="4"/>
    </row>
    <row r="35" spans="1:21" ht="15" hidden="1" thickBot="1" x14ac:dyDescent="0.45">
      <c r="A35" s="63">
        <v>70000</v>
      </c>
      <c r="B35" s="64">
        <f t="shared" ref="B35:B46" si="32">IF(B$2&gt;A35, 0, SUM($A35-B$2))</f>
        <v>50864</v>
      </c>
      <c r="C35" s="65">
        <f t="shared" ref="C35:C46" si="33">SUM(B35*C$2)</f>
        <v>6103.6799999999994</v>
      </c>
      <c r="D35" s="12">
        <f t="shared" si="30"/>
        <v>15</v>
      </c>
      <c r="E35" s="64">
        <f t="shared" si="24"/>
        <v>49364</v>
      </c>
      <c r="F35" s="65">
        <f t="shared" si="25"/>
        <v>5923.6799999999994</v>
      </c>
      <c r="G35" s="12">
        <f t="shared" si="31"/>
        <v>15</v>
      </c>
      <c r="H35" s="64">
        <f t="shared" si="26"/>
        <v>50641</v>
      </c>
      <c r="I35" s="66">
        <f t="shared" si="27"/>
        <v>20623.455000000002</v>
      </c>
      <c r="J35" s="67">
        <f t="shared" ref="J35:J46" si="34">SUM($A35-$I35-C35)</f>
        <v>43272.864999999998</v>
      </c>
      <c r="K35" s="67"/>
      <c r="L35" s="68">
        <f t="shared" ref="L35" si="35">SUM(J35/52)</f>
        <v>832.17048076923072</v>
      </c>
      <c r="M35" s="67">
        <f t="shared" ref="M35:M46" si="36">SUM($A35-$I35-F35)</f>
        <v>43452.864999999998</v>
      </c>
      <c r="N35" s="67"/>
      <c r="O35" s="69">
        <f t="shared" si="29"/>
        <v>835.63201923076917</v>
      </c>
      <c r="P35" s="4"/>
      <c r="Q35" s="4"/>
      <c r="R35" s="4">
        <f t="shared" si="17"/>
        <v>0</v>
      </c>
      <c r="S35" s="4"/>
      <c r="T35" s="4"/>
      <c r="U35" s="4"/>
    </row>
    <row r="36" spans="1:21" hidden="1" x14ac:dyDescent="0.4">
      <c r="A36" s="6">
        <v>80000</v>
      </c>
      <c r="B36" s="10">
        <f t="shared" si="32"/>
        <v>60864</v>
      </c>
      <c r="C36" s="11">
        <f t="shared" si="33"/>
        <v>7303.6799999999994</v>
      </c>
      <c r="D36" s="12">
        <f t="shared" si="30"/>
        <v>13</v>
      </c>
      <c r="E36" s="10">
        <f t="shared" si="24"/>
        <v>59364</v>
      </c>
      <c r="F36" s="11">
        <f t="shared" si="25"/>
        <v>7123.6799999999994</v>
      </c>
      <c r="G36" s="12">
        <f t="shared" si="31"/>
        <v>13</v>
      </c>
      <c r="H36" s="10">
        <f t="shared" si="26"/>
        <v>60641</v>
      </c>
      <c r="I36" s="13">
        <f t="shared" si="27"/>
        <v>28773.224999999999</v>
      </c>
      <c r="J36" s="15">
        <f t="shared" si="34"/>
        <v>43923.095000000001</v>
      </c>
      <c r="K36" s="15"/>
      <c r="L36" s="16">
        <f t="shared" ref="L36" si="37">SUM(J36/52)</f>
        <v>844.67490384615382</v>
      </c>
      <c r="M36" s="15">
        <f t="shared" si="36"/>
        <v>44103.095000000001</v>
      </c>
      <c r="N36" s="15"/>
      <c r="O36" s="16">
        <f t="shared" si="29"/>
        <v>848.13644230769228</v>
      </c>
      <c r="P36" s="4"/>
      <c r="Q36" s="4"/>
      <c r="R36" s="4">
        <f t="shared" si="17"/>
        <v>0</v>
      </c>
      <c r="S36" s="4"/>
      <c r="T36" s="4"/>
      <c r="U36" s="4"/>
    </row>
    <row r="37" spans="1:21" hidden="1" x14ac:dyDescent="0.4">
      <c r="A37" s="6">
        <v>90000</v>
      </c>
      <c r="B37" s="10">
        <f t="shared" si="32"/>
        <v>70864</v>
      </c>
      <c r="C37" s="11">
        <f t="shared" si="33"/>
        <v>8503.68</v>
      </c>
      <c r="D37" s="12">
        <f t="shared" si="30"/>
        <v>11</v>
      </c>
      <c r="E37" s="10">
        <f t="shared" si="24"/>
        <v>69364</v>
      </c>
      <c r="F37" s="11">
        <f t="shared" si="25"/>
        <v>8323.68</v>
      </c>
      <c r="G37" s="12">
        <f t="shared" si="31"/>
        <v>11</v>
      </c>
      <c r="H37" s="10">
        <f t="shared" si="26"/>
        <v>70641</v>
      </c>
      <c r="I37" s="13">
        <f t="shared" si="27"/>
        <v>31023.224999999999</v>
      </c>
      <c r="J37" s="15">
        <f t="shared" si="34"/>
        <v>50473.095000000001</v>
      </c>
      <c r="K37" s="15"/>
      <c r="L37" s="16">
        <f t="shared" ref="L37" si="38">SUM(J37/52)</f>
        <v>970.63644230769228</v>
      </c>
      <c r="M37" s="15">
        <f t="shared" si="36"/>
        <v>50653.095000000001</v>
      </c>
      <c r="N37" s="15"/>
      <c r="O37" s="16">
        <f t="shared" si="29"/>
        <v>974.09798076923084</v>
      </c>
      <c r="P37" s="4"/>
      <c r="Q37" s="4"/>
      <c r="R37" s="4">
        <f t="shared" si="17"/>
        <v>0</v>
      </c>
      <c r="S37" s="4"/>
      <c r="T37" s="4"/>
      <c r="U37" s="4"/>
    </row>
    <row r="38" spans="1:21" hidden="1" x14ac:dyDescent="0.4">
      <c r="A38" s="6">
        <v>100000</v>
      </c>
      <c r="B38" s="10">
        <f t="shared" si="32"/>
        <v>80864</v>
      </c>
      <c r="C38" s="11">
        <f t="shared" si="33"/>
        <v>9703.68</v>
      </c>
      <c r="D38" s="12">
        <f t="shared" si="30"/>
        <v>10</v>
      </c>
      <c r="E38" s="10">
        <f t="shared" si="24"/>
        <v>79364</v>
      </c>
      <c r="F38" s="11">
        <f t="shared" si="25"/>
        <v>9523.68</v>
      </c>
      <c r="G38" s="12">
        <f t="shared" si="31"/>
        <v>10</v>
      </c>
      <c r="H38" s="10">
        <f t="shared" si="26"/>
        <v>80641</v>
      </c>
      <c r="I38" s="13">
        <f t="shared" si="27"/>
        <v>33273.225000000006</v>
      </c>
      <c r="J38" s="15">
        <f t="shared" si="34"/>
        <v>57023.094999999994</v>
      </c>
      <c r="K38" s="15"/>
      <c r="L38" s="16">
        <f t="shared" ref="L38" si="39">SUM(J38/52)</f>
        <v>1096.5979807692306</v>
      </c>
      <c r="M38" s="15">
        <f t="shared" si="36"/>
        <v>57203.094999999994</v>
      </c>
      <c r="N38" s="15"/>
      <c r="O38" s="16">
        <f t="shared" si="29"/>
        <v>1100.0595192307692</v>
      </c>
      <c r="P38" s="4"/>
      <c r="Q38" s="4"/>
      <c r="R38" s="4">
        <f t="shared" si="17"/>
        <v>0</v>
      </c>
      <c r="S38" s="4"/>
      <c r="T38" s="4"/>
      <c r="U38" s="4"/>
    </row>
    <row r="39" spans="1:21" hidden="1" x14ac:dyDescent="0.4">
      <c r="A39" s="6">
        <v>110000</v>
      </c>
      <c r="B39" s="10">
        <f t="shared" si="32"/>
        <v>90864</v>
      </c>
      <c r="C39" s="11">
        <f t="shared" si="33"/>
        <v>10903.68</v>
      </c>
      <c r="D39" s="12">
        <f t="shared" si="30"/>
        <v>9</v>
      </c>
      <c r="E39" s="10">
        <f t="shared" si="24"/>
        <v>89364</v>
      </c>
      <c r="F39" s="11">
        <f t="shared" si="25"/>
        <v>10723.68</v>
      </c>
      <c r="G39" s="12">
        <f t="shared" si="31"/>
        <v>9</v>
      </c>
      <c r="H39" s="10">
        <f t="shared" si="26"/>
        <v>90641</v>
      </c>
      <c r="I39" s="13">
        <f t="shared" si="27"/>
        <v>38896.79</v>
      </c>
      <c r="J39" s="15">
        <f t="shared" si="34"/>
        <v>60199.529999999992</v>
      </c>
      <c r="K39" s="15"/>
      <c r="L39" s="16">
        <f t="shared" ref="L39" si="40">SUM(J39/52)</f>
        <v>1157.6832692307692</v>
      </c>
      <c r="M39" s="15">
        <f t="shared" si="36"/>
        <v>60379.529999999992</v>
      </c>
      <c r="N39" s="15"/>
      <c r="O39" s="16">
        <f t="shared" si="29"/>
        <v>1161.1448076923075</v>
      </c>
      <c r="P39" s="4"/>
      <c r="Q39" s="4"/>
      <c r="R39" s="4">
        <f t="shared" si="17"/>
        <v>0</v>
      </c>
      <c r="S39" s="4"/>
      <c r="T39" s="4"/>
      <c r="U39" s="4"/>
    </row>
    <row r="40" spans="1:21" hidden="1" x14ac:dyDescent="0.4">
      <c r="A40" s="6">
        <v>120000</v>
      </c>
      <c r="B40" s="10">
        <f t="shared" si="32"/>
        <v>100864</v>
      </c>
      <c r="C40" s="11">
        <f t="shared" si="33"/>
        <v>12103.68</v>
      </c>
      <c r="D40" s="12">
        <f t="shared" si="30"/>
        <v>8</v>
      </c>
      <c r="E40" s="10">
        <f t="shared" si="24"/>
        <v>99364</v>
      </c>
      <c r="F40" s="11">
        <f t="shared" si="25"/>
        <v>11923.68</v>
      </c>
      <c r="G40" s="12">
        <f t="shared" si="31"/>
        <v>8</v>
      </c>
      <c r="H40" s="10">
        <f t="shared" si="26"/>
        <v>100641</v>
      </c>
      <c r="I40" s="13">
        <f t="shared" si="27"/>
        <v>40796.79</v>
      </c>
      <c r="J40" s="15">
        <f t="shared" si="34"/>
        <v>67099.53</v>
      </c>
      <c r="K40" s="15"/>
      <c r="L40" s="16">
        <f t="shared" ref="L40" si="41">SUM(J40/52)</f>
        <v>1290.375576923077</v>
      </c>
      <c r="M40" s="15">
        <f t="shared" si="36"/>
        <v>67279.53</v>
      </c>
      <c r="N40" s="15"/>
      <c r="O40" s="16">
        <f t="shared" si="29"/>
        <v>1293.8371153846153</v>
      </c>
      <c r="P40" s="4"/>
      <c r="Q40" s="4"/>
      <c r="R40" s="4">
        <f t="shared" si="17"/>
        <v>0</v>
      </c>
      <c r="S40" s="4"/>
      <c r="T40" s="4"/>
      <c r="U40" s="4"/>
    </row>
    <row r="41" spans="1:21" hidden="1" x14ac:dyDescent="0.4">
      <c r="A41" s="6">
        <v>130000</v>
      </c>
      <c r="B41" s="10">
        <f t="shared" si="32"/>
        <v>110864</v>
      </c>
      <c r="C41" s="11">
        <f t="shared" si="33"/>
        <v>13303.68</v>
      </c>
      <c r="D41" s="12">
        <f t="shared" si="30"/>
        <v>7</v>
      </c>
      <c r="E41" s="10">
        <f t="shared" si="24"/>
        <v>109364</v>
      </c>
      <c r="F41" s="11">
        <f t="shared" si="25"/>
        <v>13123.68</v>
      </c>
      <c r="G41" s="12">
        <f t="shared" si="31"/>
        <v>7</v>
      </c>
      <c r="H41" s="10">
        <f t="shared" si="26"/>
        <v>110641</v>
      </c>
      <c r="I41" s="13">
        <f t="shared" si="27"/>
        <v>42696.79</v>
      </c>
      <c r="J41" s="15">
        <f t="shared" si="34"/>
        <v>73999.53</v>
      </c>
      <c r="K41" s="15"/>
      <c r="L41" s="16">
        <f t="shared" ref="L41" si="42">SUM(J41/52)</f>
        <v>1423.0678846153846</v>
      </c>
      <c r="M41" s="15">
        <f t="shared" si="36"/>
        <v>74179.53</v>
      </c>
      <c r="N41" s="15"/>
      <c r="O41" s="16">
        <f t="shared" si="29"/>
        <v>1426.529423076923</v>
      </c>
      <c r="P41" s="4"/>
      <c r="Q41" s="4"/>
      <c r="R41" s="4">
        <f t="shared" si="17"/>
        <v>0</v>
      </c>
      <c r="S41" s="4"/>
      <c r="T41" s="4"/>
      <c r="U41" s="4"/>
    </row>
    <row r="42" spans="1:21" hidden="1" x14ac:dyDescent="0.4">
      <c r="A42" s="6">
        <v>140000</v>
      </c>
      <c r="B42" s="10">
        <f t="shared" si="32"/>
        <v>120864</v>
      </c>
      <c r="C42" s="11">
        <f t="shared" si="33"/>
        <v>14503.68</v>
      </c>
      <c r="D42" s="12">
        <f t="shared" si="30"/>
        <v>7</v>
      </c>
      <c r="E42" s="10">
        <f t="shared" si="24"/>
        <v>119364</v>
      </c>
      <c r="F42" s="11">
        <f t="shared" si="25"/>
        <v>14323.68</v>
      </c>
      <c r="G42" s="12">
        <f t="shared" si="31"/>
        <v>7</v>
      </c>
      <c r="H42" s="10">
        <f t="shared" si="26"/>
        <v>120641</v>
      </c>
      <c r="I42" s="13">
        <f t="shared" si="27"/>
        <v>41076.714999999997</v>
      </c>
      <c r="J42" s="15">
        <f t="shared" si="34"/>
        <v>84419.60500000001</v>
      </c>
      <c r="K42" s="15"/>
      <c r="L42" s="16">
        <f t="shared" ref="L42" si="43">SUM(J42/52)</f>
        <v>1623.4539423076926</v>
      </c>
      <c r="M42" s="15">
        <f t="shared" si="36"/>
        <v>84599.60500000001</v>
      </c>
      <c r="N42" s="15"/>
      <c r="O42" s="16">
        <f t="shared" si="29"/>
        <v>1626.915480769231</v>
      </c>
      <c r="P42" s="4"/>
      <c r="Q42" s="4"/>
      <c r="R42" s="4">
        <f t="shared" si="17"/>
        <v>0</v>
      </c>
      <c r="S42" s="4"/>
      <c r="T42" s="4"/>
      <c r="U42" s="4"/>
    </row>
    <row r="43" spans="1:21" hidden="1" x14ac:dyDescent="0.4">
      <c r="A43" s="6">
        <v>150000</v>
      </c>
      <c r="B43" s="10">
        <f t="shared" si="32"/>
        <v>130864</v>
      </c>
      <c r="C43" s="11">
        <f t="shared" si="33"/>
        <v>15703.68</v>
      </c>
      <c r="D43" s="12">
        <f t="shared" si="30"/>
        <v>6</v>
      </c>
      <c r="E43" s="10">
        <f t="shared" si="24"/>
        <v>129364</v>
      </c>
      <c r="F43" s="11">
        <f t="shared" si="25"/>
        <v>15523.68</v>
      </c>
      <c r="G43" s="12">
        <f t="shared" si="31"/>
        <v>6</v>
      </c>
      <c r="H43" s="10">
        <f t="shared" si="26"/>
        <v>130641</v>
      </c>
      <c r="I43" s="13">
        <f t="shared" si="27"/>
        <v>42226.714999999997</v>
      </c>
      <c r="J43" s="15">
        <f t="shared" si="34"/>
        <v>92069.60500000001</v>
      </c>
      <c r="K43" s="15"/>
      <c r="L43" s="16">
        <f t="shared" ref="L43" si="44">SUM(J43/52)</f>
        <v>1770.5693269230771</v>
      </c>
      <c r="M43" s="15">
        <f t="shared" si="36"/>
        <v>92249.60500000001</v>
      </c>
      <c r="N43" s="15"/>
      <c r="O43" s="16">
        <f t="shared" si="29"/>
        <v>1774.0308653846155</v>
      </c>
      <c r="P43" s="4"/>
      <c r="Q43" s="4"/>
      <c r="R43" s="4">
        <f t="shared" si="17"/>
        <v>0</v>
      </c>
      <c r="S43" s="4"/>
      <c r="T43" s="4"/>
      <c r="U43" s="4"/>
    </row>
    <row r="44" spans="1:21" hidden="1" x14ac:dyDescent="0.4">
      <c r="A44" s="6">
        <v>160000</v>
      </c>
      <c r="B44" s="10">
        <f t="shared" si="32"/>
        <v>140864</v>
      </c>
      <c r="C44" s="11">
        <f t="shared" si="33"/>
        <v>16903.68</v>
      </c>
      <c r="D44" s="12">
        <f t="shared" si="30"/>
        <v>6</v>
      </c>
      <c r="E44" s="10">
        <f t="shared" si="24"/>
        <v>139364</v>
      </c>
      <c r="F44" s="11">
        <f t="shared" si="25"/>
        <v>16723.68</v>
      </c>
      <c r="G44" s="12">
        <f t="shared" si="31"/>
        <v>6</v>
      </c>
      <c r="H44" s="10">
        <f t="shared" si="26"/>
        <v>140641</v>
      </c>
      <c r="I44" s="13">
        <f t="shared" si="27"/>
        <v>43376.714999999997</v>
      </c>
      <c r="J44" s="15">
        <f t="shared" si="34"/>
        <v>99719.60500000001</v>
      </c>
      <c r="K44" s="15"/>
      <c r="L44" s="16">
        <f t="shared" ref="L44" si="45">SUM(J44/52)</f>
        <v>1917.6847115384617</v>
      </c>
      <c r="M44" s="15">
        <f t="shared" si="36"/>
        <v>99899.60500000001</v>
      </c>
      <c r="N44" s="15"/>
      <c r="O44" s="16">
        <f t="shared" si="29"/>
        <v>1921.1462500000002</v>
      </c>
      <c r="P44" s="4"/>
      <c r="Q44" s="4"/>
      <c r="R44" s="4">
        <f t="shared" si="17"/>
        <v>0</v>
      </c>
      <c r="S44" s="4"/>
      <c r="T44" s="4"/>
      <c r="U44" s="4"/>
    </row>
    <row r="45" spans="1:21" hidden="1" x14ac:dyDescent="0.4">
      <c r="A45" s="6">
        <v>170000</v>
      </c>
      <c r="B45" s="10">
        <f t="shared" si="32"/>
        <v>150864</v>
      </c>
      <c r="C45" s="11">
        <f t="shared" si="33"/>
        <v>18103.68</v>
      </c>
      <c r="D45" s="12">
        <f t="shared" si="30"/>
        <v>5</v>
      </c>
      <c r="E45" s="10">
        <f t="shared" si="24"/>
        <v>149364</v>
      </c>
      <c r="F45" s="11">
        <f t="shared" si="25"/>
        <v>17923.68</v>
      </c>
      <c r="G45" s="12">
        <f t="shared" si="31"/>
        <v>5</v>
      </c>
      <c r="H45" s="10">
        <f t="shared" si="26"/>
        <v>150641</v>
      </c>
      <c r="I45" s="13">
        <f t="shared" si="27"/>
        <v>30549</v>
      </c>
      <c r="J45" s="15">
        <f t="shared" si="34"/>
        <v>121347.32</v>
      </c>
      <c r="K45" s="15"/>
      <c r="L45" s="16">
        <f t="shared" ref="L45" si="46">SUM(J45/52)</f>
        <v>2333.6023076923079</v>
      </c>
      <c r="M45" s="15">
        <f t="shared" si="36"/>
        <v>121527.32</v>
      </c>
      <c r="N45" s="15"/>
      <c r="O45" s="16">
        <f t="shared" si="29"/>
        <v>2337.0638461538465</v>
      </c>
      <c r="P45" s="4"/>
      <c r="Q45" s="4"/>
      <c r="R45" s="4">
        <f t="shared" si="17"/>
        <v>0</v>
      </c>
      <c r="S45" s="4"/>
      <c r="T45" s="4"/>
      <c r="U45" s="4"/>
    </row>
    <row r="46" spans="1:21" hidden="1" x14ac:dyDescent="0.4">
      <c r="A46" s="6">
        <v>180000</v>
      </c>
      <c r="B46" s="10">
        <f t="shared" si="32"/>
        <v>160864</v>
      </c>
      <c r="C46" s="11">
        <f t="shared" si="33"/>
        <v>19303.68</v>
      </c>
      <c r="D46" s="12">
        <f t="shared" si="30"/>
        <v>5</v>
      </c>
      <c r="E46" s="10">
        <f t="shared" si="24"/>
        <v>159364</v>
      </c>
      <c r="F46" s="11">
        <f t="shared" si="25"/>
        <v>19123.68</v>
      </c>
      <c r="G46" s="12">
        <f t="shared" si="31"/>
        <v>5</v>
      </c>
      <c r="H46" s="10">
        <f t="shared" si="26"/>
        <v>160641</v>
      </c>
      <c r="I46" s="13">
        <f t="shared" si="27"/>
        <v>30549</v>
      </c>
      <c r="J46" s="15">
        <f t="shared" si="34"/>
        <v>130147.32</v>
      </c>
      <c r="K46" s="15"/>
      <c r="L46" s="16">
        <f t="shared" ref="L46" si="47">SUM(J46/52)</f>
        <v>2502.833076923077</v>
      </c>
      <c r="M46" s="15">
        <f t="shared" si="36"/>
        <v>130327.32</v>
      </c>
      <c r="N46" s="15"/>
      <c r="O46" s="16">
        <f t="shared" si="29"/>
        <v>2506.2946153846156</v>
      </c>
      <c r="P46" s="4"/>
      <c r="Q46" s="4"/>
      <c r="R46" s="4">
        <f t="shared" si="17"/>
        <v>0</v>
      </c>
      <c r="S46" s="4"/>
      <c r="T46" s="4"/>
      <c r="U46" s="4"/>
    </row>
    <row r="47" spans="1:21" hidden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>
        <f t="shared" si="17"/>
        <v>0</v>
      </c>
      <c r="S47" s="4"/>
      <c r="T47" s="4"/>
      <c r="U47" s="4"/>
    </row>
    <row r="48" spans="1:21" hidden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>
        <f t="shared" si="17"/>
        <v>0</v>
      </c>
      <c r="S48" s="4"/>
      <c r="T48" s="4"/>
      <c r="U48" s="4"/>
    </row>
    <row r="49" spans="1:21" hidden="1" x14ac:dyDescent="0.4">
      <c r="A49" s="16" t="s">
        <v>15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>
        <f t="shared" si="17"/>
        <v>0</v>
      </c>
      <c r="S49" s="4"/>
      <c r="T49" s="4"/>
      <c r="U49" s="4"/>
    </row>
    <row r="50" spans="1:21" hidden="1" x14ac:dyDescent="0.4">
      <c r="A50" s="45" t="s">
        <v>7</v>
      </c>
      <c r="B50" s="6">
        <v>19136</v>
      </c>
      <c r="C50" s="46">
        <v>0.12</v>
      </c>
      <c r="D50" s="6">
        <v>87968.04</v>
      </c>
      <c r="E50" s="10">
        <v>20636</v>
      </c>
      <c r="F50" s="46">
        <v>0.12</v>
      </c>
      <c r="G50" s="6">
        <v>87968.04</v>
      </c>
      <c r="H50" s="6">
        <v>19359</v>
      </c>
      <c r="I50" s="10" t="s">
        <v>12</v>
      </c>
      <c r="J50" s="47" t="s">
        <v>10</v>
      </c>
      <c r="K50" s="47"/>
      <c r="L50" s="47"/>
      <c r="M50" s="48" t="s">
        <v>11</v>
      </c>
      <c r="N50" s="48"/>
      <c r="O50" s="48"/>
      <c r="P50" s="4"/>
      <c r="Q50" s="4"/>
      <c r="R50" s="4">
        <f t="shared" si="17"/>
        <v>0</v>
      </c>
      <c r="S50" s="4"/>
      <c r="T50" s="4"/>
      <c r="U50" s="4"/>
    </row>
    <row r="51" spans="1:21" hidden="1" x14ac:dyDescent="0.4">
      <c r="A51" s="16" t="s">
        <v>1</v>
      </c>
      <c r="B51" s="16" t="s">
        <v>2</v>
      </c>
      <c r="C51" s="16" t="s">
        <v>8</v>
      </c>
      <c r="D51" s="16" t="s">
        <v>13</v>
      </c>
      <c r="E51" s="16" t="s">
        <v>6</v>
      </c>
      <c r="F51" s="16" t="s">
        <v>9</v>
      </c>
      <c r="G51" s="16" t="s">
        <v>13</v>
      </c>
      <c r="H51" s="16" t="s">
        <v>3</v>
      </c>
      <c r="I51" s="16" t="s">
        <v>0</v>
      </c>
      <c r="J51" s="16" t="s">
        <v>4</v>
      </c>
      <c r="K51" s="16"/>
      <c r="L51" s="16" t="s">
        <v>5</v>
      </c>
      <c r="M51" s="16" t="s">
        <v>4</v>
      </c>
      <c r="N51" s="16"/>
      <c r="O51" s="16" t="s">
        <v>5</v>
      </c>
      <c r="P51" s="4"/>
      <c r="Q51" s="4"/>
      <c r="R51" s="4">
        <f t="shared" si="17"/>
        <v>0</v>
      </c>
      <c r="S51" s="4"/>
      <c r="T51" s="4"/>
      <c r="U51" s="4"/>
    </row>
    <row r="52" spans="1:21" hidden="1" x14ac:dyDescent="0.4">
      <c r="A52" s="6">
        <v>15000</v>
      </c>
      <c r="B52" s="10">
        <f t="shared" ref="B52:B58" si="48">IF(B$2&gt;A52, 0, SUM($A52-B$2))</f>
        <v>0</v>
      </c>
      <c r="C52" s="11">
        <f t="shared" ref="C52:C58" si="49">SUM(B52*C$2)</f>
        <v>0</v>
      </c>
      <c r="D52" s="12" t="str">
        <f>IF(C52=0,"NA",ROUNDUP(NPER(0,C52/12,D$2),0))</f>
        <v>NA</v>
      </c>
      <c r="E52" s="10">
        <f>IF(E$2&gt;$A52, 0, SUM($A52-E$2))</f>
        <v>0</v>
      </c>
      <c r="F52" s="11">
        <f>SUM(E52*F$2)</f>
        <v>0</v>
      </c>
      <c r="G52" s="12" t="str">
        <f>IF(F52=0,"NA",ROUNDUP(NPER(0,F52/12,G$2),0))</f>
        <v>NA</v>
      </c>
      <c r="H52" s="10">
        <f>IF(H$2&gt;$A52, 0, SUM($A52-H$2))</f>
        <v>0</v>
      </c>
      <c r="I52" s="13">
        <f>IF(H52&lt;29095,904.8,IF(AND(H52&lt;29095,H52&lt;H$2),H52*0.29,IF(AND(H52&gt;29095,H52&lt;58190),8438+H52*0.28,IF(AND(H52&gt;58190,H52&lt;87284),16584+H52*0.25,IF(AND(H52&gt;87285,H52&lt;116379),29677+H52*0.2,IF(AND(H52&gt;116380,H52&lt;145473),29677+H52*0.13,33459))))))</f>
        <v>904.8</v>
      </c>
      <c r="J52" s="15">
        <f t="shared" ref="J52:J58" si="50">SUM($A52-$I52-C52)</f>
        <v>14095.2</v>
      </c>
      <c r="K52" s="15"/>
      <c r="L52" s="16">
        <f>SUM(J52/52)</f>
        <v>271.06153846153848</v>
      </c>
      <c r="M52" s="15">
        <f t="shared" ref="M52:M58" si="51">SUM($A52-$I52-F52)</f>
        <v>14095.2</v>
      </c>
      <c r="N52" s="15"/>
      <c r="O52" s="16">
        <f>SUM(M52/52)</f>
        <v>271.06153846153848</v>
      </c>
      <c r="P52" s="4"/>
      <c r="Q52" s="4"/>
      <c r="R52" s="4">
        <f t="shared" si="17"/>
        <v>0</v>
      </c>
      <c r="S52" s="4"/>
      <c r="T52" s="4"/>
      <c r="U52" s="4"/>
    </row>
    <row r="53" spans="1:21" hidden="1" x14ac:dyDescent="0.4">
      <c r="A53" s="6">
        <v>20000</v>
      </c>
      <c r="B53" s="10">
        <f t="shared" si="48"/>
        <v>864</v>
      </c>
      <c r="C53" s="11">
        <f t="shared" si="49"/>
        <v>103.67999999999999</v>
      </c>
      <c r="D53" s="12">
        <f>IF(C53=0,"NA",ROUNDUP(NPER(0,-C53,D$2,0),0))</f>
        <v>849</v>
      </c>
      <c r="E53" s="10">
        <f t="shared" ref="E53:E70" si="52">IF(E$2&gt;$A53, 0, SUM($A53-E$2))</f>
        <v>0</v>
      </c>
      <c r="F53" s="11">
        <f t="shared" ref="F53:F70" si="53">SUM(E53*F$2)</f>
        <v>0</v>
      </c>
      <c r="G53" s="12" t="str">
        <f>IF(F53=0,"NA",ROUNDUP(NPER(0,-F53,G$2,0),0))</f>
        <v>NA</v>
      </c>
      <c r="H53" s="10">
        <f t="shared" ref="H53:H70" si="54">IF(H$2&gt;$A53, 0, SUM($A53-H$2))</f>
        <v>641</v>
      </c>
      <c r="I53" s="13">
        <f t="shared" ref="I53:I70" si="55">IF(H53&lt;29095,904.8,IF(AND(H53&lt;29095,H53&lt;H$2),H53*0.29,IF(AND(H53&gt;29095,H53&lt;58190),8438+H53*0.28,IF(AND(H53&gt;58190,H53&lt;87284),16584+H53*0.25,IF(AND(H53&gt;87285,H53&lt;116379),29677+H53*0.2,IF(AND(H53&gt;116380,H53&lt;145473),29677+H53*0.13,33459))))))</f>
        <v>904.8</v>
      </c>
      <c r="J53" s="15">
        <f t="shared" si="50"/>
        <v>18991.52</v>
      </c>
      <c r="K53" s="15"/>
      <c r="L53" s="16">
        <f t="shared" ref="L53:L58" si="56">SUM(J53/52)</f>
        <v>365.22153846153844</v>
      </c>
      <c r="M53" s="15">
        <f t="shared" si="51"/>
        <v>19095.2</v>
      </c>
      <c r="N53" s="15"/>
      <c r="O53" s="16">
        <f t="shared" ref="O53:O70" si="57">SUM(M53/52)</f>
        <v>367.21538461538461</v>
      </c>
      <c r="P53" s="4"/>
      <c r="Q53" s="4"/>
      <c r="R53" s="4">
        <f t="shared" si="17"/>
        <v>0</v>
      </c>
      <c r="S53" s="4"/>
      <c r="T53" s="4"/>
      <c r="U53" s="4"/>
    </row>
    <row r="54" spans="1:21" hidden="1" x14ac:dyDescent="0.4">
      <c r="A54" s="6">
        <v>25000</v>
      </c>
      <c r="B54" s="10">
        <f t="shared" si="48"/>
        <v>5864</v>
      </c>
      <c r="C54" s="11">
        <f t="shared" si="49"/>
        <v>703.68</v>
      </c>
      <c r="D54" s="12">
        <f t="shared" ref="D54:D70" si="58">IF(C54=0,"NA",ROUNDUP(NPER(0,-C54,D$2,0),0))</f>
        <v>126</v>
      </c>
      <c r="E54" s="10">
        <f t="shared" si="52"/>
        <v>4364</v>
      </c>
      <c r="F54" s="11">
        <f t="shared" si="53"/>
        <v>523.67999999999995</v>
      </c>
      <c r="G54" s="12">
        <f t="shared" ref="G54:G70" si="59">IF(F54=0,"NA",ROUNDUP(NPER(0,-F54,G$2,0),0))</f>
        <v>168</v>
      </c>
      <c r="H54" s="10">
        <f t="shared" si="54"/>
        <v>5641</v>
      </c>
      <c r="I54" s="13">
        <f t="shared" si="55"/>
        <v>904.8</v>
      </c>
      <c r="J54" s="15">
        <f t="shared" si="50"/>
        <v>23391.52</v>
      </c>
      <c r="K54" s="15"/>
      <c r="L54" s="16">
        <f t="shared" si="56"/>
        <v>449.83692307692309</v>
      </c>
      <c r="M54" s="15">
        <f t="shared" si="51"/>
        <v>23571.52</v>
      </c>
      <c r="N54" s="15"/>
      <c r="O54" s="16">
        <f t="shared" si="57"/>
        <v>453.29846153846154</v>
      </c>
      <c r="P54" s="4"/>
      <c r="Q54" s="4"/>
      <c r="R54" s="4">
        <f t="shared" si="17"/>
        <v>0</v>
      </c>
      <c r="S54" s="4"/>
      <c r="T54" s="4"/>
      <c r="U54" s="4"/>
    </row>
    <row r="55" spans="1:21" hidden="1" x14ac:dyDescent="0.4">
      <c r="A55" s="6">
        <v>30000</v>
      </c>
      <c r="B55" s="10">
        <f t="shared" si="48"/>
        <v>10864</v>
      </c>
      <c r="C55" s="11">
        <f t="shared" si="49"/>
        <v>1303.68</v>
      </c>
      <c r="D55" s="12">
        <f t="shared" si="58"/>
        <v>68</v>
      </c>
      <c r="E55" s="10">
        <f t="shared" si="52"/>
        <v>9364</v>
      </c>
      <c r="F55" s="11">
        <f t="shared" si="53"/>
        <v>1123.68</v>
      </c>
      <c r="G55" s="12">
        <f t="shared" si="59"/>
        <v>79</v>
      </c>
      <c r="H55" s="10">
        <f t="shared" si="54"/>
        <v>10641</v>
      </c>
      <c r="I55" s="13">
        <f t="shared" si="55"/>
        <v>904.8</v>
      </c>
      <c r="J55" s="15">
        <f t="shared" si="50"/>
        <v>27791.52</v>
      </c>
      <c r="K55" s="15"/>
      <c r="L55" s="16">
        <f t="shared" si="56"/>
        <v>534.45230769230773</v>
      </c>
      <c r="M55" s="15">
        <f t="shared" si="51"/>
        <v>27971.52</v>
      </c>
      <c r="N55" s="15"/>
      <c r="O55" s="16">
        <f t="shared" si="57"/>
        <v>537.91384615384618</v>
      </c>
      <c r="P55" s="4"/>
      <c r="Q55" s="4"/>
      <c r="R55" s="4">
        <f t="shared" si="17"/>
        <v>0</v>
      </c>
      <c r="S55" s="4"/>
      <c r="T55" s="4"/>
      <c r="U55" s="4"/>
    </row>
    <row r="56" spans="1:21" hidden="1" x14ac:dyDescent="0.4">
      <c r="A56" s="6">
        <v>40000</v>
      </c>
      <c r="B56" s="10">
        <f t="shared" si="48"/>
        <v>20864</v>
      </c>
      <c r="C56" s="11">
        <f t="shared" si="49"/>
        <v>2503.6799999999998</v>
      </c>
      <c r="D56" s="12">
        <f>IF(C56=0,"NA",ROUNDUP(NPER(0,-C56,D$2,0),0))</f>
        <v>36</v>
      </c>
      <c r="E56" s="10">
        <f t="shared" si="52"/>
        <v>19364</v>
      </c>
      <c r="F56" s="11">
        <f t="shared" si="53"/>
        <v>2323.6799999999998</v>
      </c>
      <c r="G56" s="12">
        <f>IF(F56=0,"NA",ROUNDUP(NPER(0,-F56,G$2,0),0))</f>
        <v>38</v>
      </c>
      <c r="H56" s="10">
        <f t="shared" si="54"/>
        <v>20641</v>
      </c>
      <c r="I56" s="13">
        <f t="shared" si="55"/>
        <v>904.8</v>
      </c>
      <c r="J56" s="15">
        <f t="shared" si="50"/>
        <v>36591.519999999997</v>
      </c>
      <c r="K56" s="15"/>
      <c r="L56" s="16">
        <f t="shared" si="56"/>
        <v>703.6830769230769</v>
      </c>
      <c r="M56" s="15">
        <f t="shared" si="51"/>
        <v>36771.519999999997</v>
      </c>
      <c r="N56" s="15"/>
      <c r="O56" s="16">
        <f t="shared" si="57"/>
        <v>707.14461538461535</v>
      </c>
      <c r="P56" s="4"/>
      <c r="Q56" s="4"/>
      <c r="R56" s="4">
        <f t="shared" si="17"/>
        <v>0</v>
      </c>
      <c r="S56" s="4"/>
      <c r="T56" s="4"/>
      <c r="U56" s="4"/>
    </row>
    <row r="57" spans="1:21" hidden="1" x14ac:dyDescent="0.4">
      <c r="A57" s="49">
        <v>50000</v>
      </c>
      <c r="B57" s="50">
        <f t="shared" si="48"/>
        <v>30864</v>
      </c>
      <c r="C57" s="51">
        <f t="shared" si="49"/>
        <v>3703.68</v>
      </c>
      <c r="D57" s="12">
        <f t="shared" si="58"/>
        <v>24</v>
      </c>
      <c r="E57" s="50">
        <f t="shared" si="52"/>
        <v>29364</v>
      </c>
      <c r="F57" s="51">
        <f t="shared" si="53"/>
        <v>3523.68</v>
      </c>
      <c r="G57" s="12">
        <f t="shared" si="59"/>
        <v>25</v>
      </c>
      <c r="H57" s="50">
        <f t="shared" si="54"/>
        <v>30641</v>
      </c>
      <c r="I57" s="52">
        <f t="shared" si="55"/>
        <v>17017.480000000003</v>
      </c>
      <c r="J57" s="53">
        <f t="shared" si="50"/>
        <v>29278.839999999997</v>
      </c>
      <c r="K57" s="53"/>
      <c r="L57" s="54">
        <f t="shared" si="56"/>
        <v>563.05461538461532</v>
      </c>
      <c r="M57" s="53">
        <f t="shared" si="51"/>
        <v>29458.839999999997</v>
      </c>
      <c r="N57" s="53"/>
      <c r="O57" s="55">
        <f t="shared" si="57"/>
        <v>566.51615384615377</v>
      </c>
      <c r="P57" s="4"/>
      <c r="Q57" s="4"/>
      <c r="R57" s="4">
        <f t="shared" si="17"/>
        <v>0</v>
      </c>
      <c r="S57" s="4"/>
      <c r="T57" s="4"/>
      <c r="U57" s="4"/>
    </row>
    <row r="58" spans="1:21" hidden="1" x14ac:dyDescent="0.4">
      <c r="A58" s="56">
        <v>60000</v>
      </c>
      <c r="B58" s="57">
        <f t="shared" si="48"/>
        <v>40864</v>
      </c>
      <c r="C58" s="58">
        <f t="shared" si="49"/>
        <v>4903.6799999999994</v>
      </c>
      <c r="D58" s="12">
        <f t="shared" si="58"/>
        <v>18</v>
      </c>
      <c r="E58" s="57">
        <f t="shared" si="52"/>
        <v>39364</v>
      </c>
      <c r="F58" s="58">
        <f t="shared" si="53"/>
        <v>4723.6799999999994</v>
      </c>
      <c r="G58" s="12">
        <f t="shared" si="59"/>
        <v>19</v>
      </c>
      <c r="H58" s="57">
        <f t="shared" si="54"/>
        <v>40641</v>
      </c>
      <c r="I58" s="59">
        <f t="shared" si="55"/>
        <v>19817.480000000003</v>
      </c>
      <c r="J58" s="60">
        <f t="shared" si="50"/>
        <v>35278.839999999997</v>
      </c>
      <c r="K58" s="60"/>
      <c r="L58" s="61">
        <f t="shared" si="56"/>
        <v>678.43923076923068</v>
      </c>
      <c r="M58" s="60">
        <f t="shared" si="51"/>
        <v>35458.839999999997</v>
      </c>
      <c r="N58" s="60"/>
      <c r="O58" s="62">
        <f t="shared" si="57"/>
        <v>681.90076923076913</v>
      </c>
      <c r="P58" s="4"/>
      <c r="Q58" s="4"/>
      <c r="R58" s="4">
        <f t="shared" si="17"/>
        <v>0</v>
      </c>
      <c r="S58" s="4"/>
      <c r="T58" s="4"/>
      <c r="U58" s="4"/>
    </row>
    <row r="59" spans="1:21" ht="15" hidden="1" thickBot="1" x14ac:dyDescent="0.45">
      <c r="A59" s="63">
        <v>70000</v>
      </c>
      <c r="B59" s="64">
        <f t="shared" ref="B59:B70" si="60">IF(B$2&gt;A59, 0, SUM($A59-B$2))</f>
        <v>50864</v>
      </c>
      <c r="C59" s="65">
        <f t="shared" ref="C59:C70" si="61">SUM(B59*C$2)</f>
        <v>6103.6799999999994</v>
      </c>
      <c r="D59" s="12">
        <f t="shared" si="58"/>
        <v>15</v>
      </c>
      <c r="E59" s="64">
        <f t="shared" si="52"/>
        <v>49364</v>
      </c>
      <c r="F59" s="65">
        <f t="shared" si="53"/>
        <v>5923.6799999999994</v>
      </c>
      <c r="G59" s="12">
        <f t="shared" si="59"/>
        <v>15</v>
      </c>
      <c r="H59" s="64">
        <f t="shared" si="54"/>
        <v>50641</v>
      </c>
      <c r="I59" s="66">
        <f t="shared" si="55"/>
        <v>22617.480000000003</v>
      </c>
      <c r="J59" s="67">
        <f t="shared" ref="J59:J70" si="62">SUM($A59-$I59-C59)</f>
        <v>41278.839999999997</v>
      </c>
      <c r="K59" s="67"/>
      <c r="L59" s="68">
        <f t="shared" ref="L59" si="63">SUM(J59/52)</f>
        <v>793.82384615384603</v>
      </c>
      <c r="M59" s="67">
        <f t="shared" ref="M59:M70" si="64">SUM($A59-$I59-F59)</f>
        <v>41458.839999999997</v>
      </c>
      <c r="N59" s="67"/>
      <c r="O59" s="69">
        <f t="shared" si="57"/>
        <v>797.2853846153846</v>
      </c>
      <c r="P59" s="4"/>
      <c r="Q59" s="4"/>
      <c r="R59" s="4">
        <f t="shared" si="17"/>
        <v>0</v>
      </c>
      <c r="S59" s="4"/>
      <c r="T59" s="4"/>
      <c r="U59" s="4"/>
    </row>
    <row r="60" spans="1:21" hidden="1" x14ac:dyDescent="0.4">
      <c r="A60" s="6">
        <v>80000</v>
      </c>
      <c r="B60" s="10">
        <f t="shared" si="60"/>
        <v>60864</v>
      </c>
      <c r="C60" s="11">
        <f t="shared" si="61"/>
        <v>7303.6799999999994</v>
      </c>
      <c r="D60" s="12">
        <f t="shared" si="58"/>
        <v>13</v>
      </c>
      <c r="E60" s="10">
        <f t="shared" si="52"/>
        <v>59364</v>
      </c>
      <c r="F60" s="11">
        <f t="shared" si="53"/>
        <v>7123.6799999999994</v>
      </c>
      <c r="G60" s="12">
        <f t="shared" si="59"/>
        <v>13</v>
      </c>
      <c r="H60" s="10">
        <f t="shared" si="54"/>
        <v>60641</v>
      </c>
      <c r="I60" s="13">
        <f t="shared" si="55"/>
        <v>31744.25</v>
      </c>
      <c r="J60" s="15">
        <f t="shared" si="62"/>
        <v>40952.07</v>
      </c>
      <c r="K60" s="15"/>
      <c r="L60" s="16">
        <f t="shared" ref="L60" si="65">SUM(J60/52)</f>
        <v>787.5398076923077</v>
      </c>
      <c r="M60" s="15">
        <f t="shared" si="64"/>
        <v>41132.07</v>
      </c>
      <c r="N60" s="15"/>
      <c r="O60" s="16">
        <f t="shared" si="57"/>
        <v>791.00134615384616</v>
      </c>
      <c r="P60" s="4"/>
      <c r="Q60" s="4"/>
      <c r="R60" s="4">
        <f t="shared" si="17"/>
        <v>0</v>
      </c>
      <c r="S60" s="4"/>
      <c r="T60" s="4"/>
      <c r="U60" s="4"/>
    </row>
    <row r="61" spans="1:21" hidden="1" x14ac:dyDescent="0.4">
      <c r="A61" s="6">
        <v>90000</v>
      </c>
      <c r="B61" s="10">
        <f t="shared" si="60"/>
        <v>70864</v>
      </c>
      <c r="C61" s="11">
        <f t="shared" si="61"/>
        <v>8503.68</v>
      </c>
      <c r="D61" s="12">
        <f t="shared" si="58"/>
        <v>11</v>
      </c>
      <c r="E61" s="10">
        <f t="shared" si="52"/>
        <v>69364</v>
      </c>
      <c r="F61" s="11">
        <f t="shared" si="53"/>
        <v>8323.68</v>
      </c>
      <c r="G61" s="12">
        <f t="shared" si="59"/>
        <v>11</v>
      </c>
      <c r="H61" s="10">
        <f t="shared" si="54"/>
        <v>70641</v>
      </c>
      <c r="I61" s="13">
        <f t="shared" si="55"/>
        <v>34244.25</v>
      </c>
      <c r="J61" s="15">
        <f t="shared" si="62"/>
        <v>47252.07</v>
      </c>
      <c r="K61" s="15"/>
      <c r="L61" s="16">
        <f t="shared" ref="L61" si="66">SUM(J61/52)</f>
        <v>908.69365384615389</v>
      </c>
      <c r="M61" s="15">
        <f t="shared" si="64"/>
        <v>47432.07</v>
      </c>
      <c r="N61" s="15"/>
      <c r="O61" s="16">
        <f t="shared" si="57"/>
        <v>912.15519230769235</v>
      </c>
      <c r="P61" s="4"/>
      <c r="Q61" s="4"/>
      <c r="R61" s="4">
        <f t="shared" si="17"/>
        <v>0</v>
      </c>
      <c r="S61" s="4"/>
      <c r="T61" s="4"/>
      <c r="U61" s="4"/>
    </row>
    <row r="62" spans="1:21" hidden="1" x14ac:dyDescent="0.4">
      <c r="A62" s="6">
        <v>100000</v>
      </c>
      <c r="B62" s="10">
        <f t="shared" si="60"/>
        <v>80864</v>
      </c>
      <c r="C62" s="11">
        <f t="shared" si="61"/>
        <v>9703.68</v>
      </c>
      <c r="D62" s="12">
        <f t="shared" si="58"/>
        <v>10</v>
      </c>
      <c r="E62" s="10">
        <f t="shared" si="52"/>
        <v>79364</v>
      </c>
      <c r="F62" s="11">
        <f t="shared" si="53"/>
        <v>9523.68</v>
      </c>
      <c r="G62" s="12">
        <f t="shared" si="59"/>
        <v>10</v>
      </c>
      <c r="H62" s="10">
        <f t="shared" si="54"/>
        <v>80641</v>
      </c>
      <c r="I62" s="13">
        <f t="shared" si="55"/>
        <v>36744.25</v>
      </c>
      <c r="J62" s="15">
        <f t="shared" si="62"/>
        <v>53552.07</v>
      </c>
      <c r="K62" s="15"/>
      <c r="L62" s="16">
        <f t="shared" ref="L62" si="67">SUM(J62/52)</f>
        <v>1029.8475000000001</v>
      </c>
      <c r="M62" s="15">
        <f t="shared" si="64"/>
        <v>53732.07</v>
      </c>
      <c r="N62" s="15"/>
      <c r="O62" s="16">
        <f t="shared" si="57"/>
        <v>1033.3090384615384</v>
      </c>
      <c r="P62" s="4"/>
      <c r="Q62" s="4"/>
      <c r="R62" s="4">
        <f t="shared" si="17"/>
        <v>0</v>
      </c>
      <c r="S62" s="4"/>
      <c r="T62" s="4"/>
      <c r="U62" s="4"/>
    </row>
    <row r="63" spans="1:21" hidden="1" x14ac:dyDescent="0.4">
      <c r="A63" s="6">
        <v>110000</v>
      </c>
      <c r="B63" s="10">
        <f t="shared" si="60"/>
        <v>90864</v>
      </c>
      <c r="C63" s="11">
        <f t="shared" si="61"/>
        <v>10903.68</v>
      </c>
      <c r="D63" s="12">
        <f t="shared" si="58"/>
        <v>9</v>
      </c>
      <c r="E63" s="10">
        <f t="shared" si="52"/>
        <v>89364</v>
      </c>
      <c r="F63" s="11">
        <f t="shared" si="53"/>
        <v>10723.68</v>
      </c>
      <c r="G63" s="12">
        <f t="shared" si="59"/>
        <v>9</v>
      </c>
      <c r="H63" s="10">
        <f t="shared" si="54"/>
        <v>90641</v>
      </c>
      <c r="I63" s="13">
        <f t="shared" si="55"/>
        <v>47805.2</v>
      </c>
      <c r="J63" s="15">
        <f t="shared" si="62"/>
        <v>51291.12</v>
      </c>
      <c r="K63" s="15"/>
      <c r="L63" s="16">
        <f t="shared" ref="L63" si="68">SUM(J63/52)</f>
        <v>986.36769230769232</v>
      </c>
      <c r="M63" s="15">
        <f t="shared" si="64"/>
        <v>51471.12</v>
      </c>
      <c r="N63" s="15"/>
      <c r="O63" s="16">
        <f t="shared" si="57"/>
        <v>989.82923076923078</v>
      </c>
      <c r="P63" s="4"/>
      <c r="Q63" s="4"/>
      <c r="R63" s="4">
        <f t="shared" si="17"/>
        <v>0</v>
      </c>
      <c r="S63" s="4"/>
      <c r="T63" s="4"/>
      <c r="U63" s="4"/>
    </row>
    <row r="64" spans="1:21" hidden="1" x14ac:dyDescent="0.4">
      <c r="A64" s="6">
        <v>120000</v>
      </c>
      <c r="B64" s="10">
        <f t="shared" si="60"/>
        <v>100864</v>
      </c>
      <c r="C64" s="11">
        <f t="shared" si="61"/>
        <v>12103.68</v>
      </c>
      <c r="D64" s="12">
        <f t="shared" si="58"/>
        <v>8</v>
      </c>
      <c r="E64" s="10">
        <f t="shared" si="52"/>
        <v>99364</v>
      </c>
      <c r="F64" s="11">
        <f t="shared" si="53"/>
        <v>11923.68</v>
      </c>
      <c r="G64" s="12">
        <f t="shared" si="59"/>
        <v>8</v>
      </c>
      <c r="H64" s="10">
        <f t="shared" si="54"/>
        <v>100641</v>
      </c>
      <c r="I64" s="13">
        <f t="shared" si="55"/>
        <v>49805.2</v>
      </c>
      <c r="J64" s="15">
        <f t="shared" si="62"/>
        <v>58091.12</v>
      </c>
      <c r="K64" s="15"/>
      <c r="L64" s="16">
        <f t="shared" ref="L64" si="69">SUM(J64/52)</f>
        <v>1117.136923076923</v>
      </c>
      <c r="M64" s="15">
        <f t="shared" si="64"/>
        <v>58271.12</v>
      </c>
      <c r="N64" s="15"/>
      <c r="O64" s="16">
        <f t="shared" si="57"/>
        <v>1120.5984615384616</v>
      </c>
      <c r="P64" s="4"/>
      <c r="Q64" s="4"/>
      <c r="R64" s="4">
        <f t="shared" si="17"/>
        <v>0</v>
      </c>
      <c r="S64" s="4"/>
      <c r="T64" s="4"/>
      <c r="U64" s="4"/>
    </row>
    <row r="65" spans="1:21" hidden="1" x14ac:dyDescent="0.4">
      <c r="A65" s="6">
        <v>130000</v>
      </c>
      <c r="B65" s="10">
        <f t="shared" si="60"/>
        <v>110864</v>
      </c>
      <c r="C65" s="11">
        <f t="shared" si="61"/>
        <v>13303.68</v>
      </c>
      <c r="D65" s="12">
        <f t="shared" si="58"/>
        <v>7</v>
      </c>
      <c r="E65" s="10">
        <f t="shared" si="52"/>
        <v>109364</v>
      </c>
      <c r="F65" s="11">
        <f t="shared" si="53"/>
        <v>13123.68</v>
      </c>
      <c r="G65" s="12">
        <f t="shared" si="59"/>
        <v>7</v>
      </c>
      <c r="H65" s="10">
        <f t="shared" si="54"/>
        <v>110641</v>
      </c>
      <c r="I65" s="13">
        <f t="shared" si="55"/>
        <v>51805.2</v>
      </c>
      <c r="J65" s="15">
        <f t="shared" si="62"/>
        <v>64891.12</v>
      </c>
      <c r="K65" s="15"/>
      <c r="L65" s="16">
        <f t="shared" ref="L65" si="70">SUM(J65/52)</f>
        <v>1247.906153846154</v>
      </c>
      <c r="M65" s="15">
        <f t="shared" si="64"/>
        <v>65071.12</v>
      </c>
      <c r="N65" s="15"/>
      <c r="O65" s="16">
        <f t="shared" si="57"/>
        <v>1251.3676923076923</v>
      </c>
      <c r="P65" s="4"/>
      <c r="Q65" s="4"/>
      <c r="R65" s="4">
        <f t="shared" si="17"/>
        <v>0</v>
      </c>
      <c r="S65" s="4"/>
      <c r="T65" s="4"/>
      <c r="U65" s="4"/>
    </row>
    <row r="66" spans="1:21" hidden="1" x14ac:dyDescent="0.4">
      <c r="A66" s="6">
        <v>140000</v>
      </c>
      <c r="B66" s="10">
        <f t="shared" si="60"/>
        <v>120864</v>
      </c>
      <c r="C66" s="11">
        <f t="shared" si="61"/>
        <v>14503.68</v>
      </c>
      <c r="D66" s="12">
        <f t="shared" si="58"/>
        <v>7</v>
      </c>
      <c r="E66" s="10">
        <f t="shared" si="52"/>
        <v>119364</v>
      </c>
      <c r="F66" s="11">
        <f t="shared" si="53"/>
        <v>14323.68</v>
      </c>
      <c r="G66" s="12">
        <f t="shared" si="59"/>
        <v>7</v>
      </c>
      <c r="H66" s="10">
        <f t="shared" si="54"/>
        <v>120641</v>
      </c>
      <c r="I66" s="13">
        <f t="shared" si="55"/>
        <v>45360.33</v>
      </c>
      <c r="J66" s="15">
        <f t="shared" si="62"/>
        <v>80135.989999999991</v>
      </c>
      <c r="K66" s="15"/>
      <c r="L66" s="16">
        <f t="shared" ref="L66" si="71">SUM(J66/52)</f>
        <v>1541.0767307692306</v>
      </c>
      <c r="M66" s="15">
        <f t="shared" si="64"/>
        <v>80315.989999999991</v>
      </c>
      <c r="N66" s="15"/>
      <c r="O66" s="16">
        <f t="shared" si="57"/>
        <v>1544.5382692307689</v>
      </c>
      <c r="P66" s="4"/>
      <c r="Q66" s="4"/>
      <c r="R66" s="4">
        <f t="shared" si="17"/>
        <v>0</v>
      </c>
      <c r="S66" s="4"/>
      <c r="T66" s="4"/>
      <c r="U66" s="4"/>
    </row>
    <row r="67" spans="1:21" hidden="1" x14ac:dyDescent="0.4">
      <c r="A67" s="6">
        <v>150000</v>
      </c>
      <c r="B67" s="10">
        <f t="shared" si="60"/>
        <v>130864</v>
      </c>
      <c r="C67" s="11">
        <f t="shared" si="61"/>
        <v>15703.68</v>
      </c>
      <c r="D67" s="12">
        <f t="shared" si="58"/>
        <v>6</v>
      </c>
      <c r="E67" s="10">
        <f t="shared" si="52"/>
        <v>129364</v>
      </c>
      <c r="F67" s="11">
        <f t="shared" si="53"/>
        <v>15523.68</v>
      </c>
      <c r="G67" s="12">
        <f t="shared" si="59"/>
        <v>6</v>
      </c>
      <c r="H67" s="10">
        <f t="shared" si="54"/>
        <v>130641</v>
      </c>
      <c r="I67" s="13">
        <f t="shared" si="55"/>
        <v>46660.33</v>
      </c>
      <c r="J67" s="15">
        <f t="shared" si="62"/>
        <v>87635.989999999991</v>
      </c>
      <c r="K67" s="15"/>
      <c r="L67" s="16">
        <f t="shared" ref="L67" si="72">SUM(J67/52)</f>
        <v>1685.3074999999999</v>
      </c>
      <c r="M67" s="15">
        <f t="shared" si="64"/>
        <v>87815.989999999991</v>
      </c>
      <c r="N67" s="15"/>
      <c r="O67" s="16">
        <f t="shared" si="57"/>
        <v>1688.7690384615382</v>
      </c>
      <c r="P67" s="4"/>
      <c r="Q67" s="4"/>
      <c r="R67" s="4">
        <f t="shared" si="17"/>
        <v>0</v>
      </c>
      <c r="S67" s="4"/>
      <c r="T67" s="4"/>
      <c r="U67" s="4"/>
    </row>
    <row r="68" spans="1:21" hidden="1" x14ac:dyDescent="0.4">
      <c r="A68" s="6">
        <v>160000</v>
      </c>
      <c r="B68" s="10">
        <f t="shared" si="60"/>
        <v>140864</v>
      </c>
      <c r="C68" s="11">
        <f t="shared" si="61"/>
        <v>16903.68</v>
      </c>
      <c r="D68" s="12">
        <f t="shared" si="58"/>
        <v>6</v>
      </c>
      <c r="E68" s="10">
        <f t="shared" si="52"/>
        <v>139364</v>
      </c>
      <c r="F68" s="11">
        <f t="shared" si="53"/>
        <v>16723.68</v>
      </c>
      <c r="G68" s="12">
        <f t="shared" si="59"/>
        <v>6</v>
      </c>
      <c r="H68" s="10">
        <f t="shared" si="54"/>
        <v>140641</v>
      </c>
      <c r="I68" s="13">
        <f t="shared" si="55"/>
        <v>47960.33</v>
      </c>
      <c r="J68" s="15">
        <f t="shared" si="62"/>
        <v>95135.989999999991</v>
      </c>
      <c r="K68" s="15"/>
      <c r="L68" s="16">
        <f t="shared" ref="L68" si="73">SUM(J68/52)</f>
        <v>1829.5382692307689</v>
      </c>
      <c r="M68" s="15">
        <f t="shared" si="64"/>
        <v>95315.989999999991</v>
      </c>
      <c r="N68" s="15"/>
      <c r="O68" s="16">
        <f t="shared" si="57"/>
        <v>1832.9998076923075</v>
      </c>
      <c r="P68" s="4"/>
      <c r="Q68" s="4"/>
      <c r="R68" s="4">
        <f t="shared" si="17"/>
        <v>0</v>
      </c>
      <c r="S68" s="4"/>
      <c r="T68" s="4"/>
      <c r="U68" s="4"/>
    </row>
    <row r="69" spans="1:21" hidden="1" x14ac:dyDescent="0.4">
      <c r="A69" s="6">
        <v>170000</v>
      </c>
      <c r="B69" s="10">
        <f t="shared" si="60"/>
        <v>150864</v>
      </c>
      <c r="C69" s="11">
        <f t="shared" si="61"/>
        <v>18103.68</v>
      </c>
      <c r="D69" s="12">
        <f t="shared" si="58"/>
        <v>5</v>
      </c>
      <c r="E69" s="10">
        <f t="shared" si="52"/>
        <v>149364</v>
      </c>
      <c r="F69" s="11">
        <f t="shared" si="53"/>
        <v>17923.68</v>
      </c>
      <c r="G69" s="12">
        <f t="shared" si="59"/>
        <v>5</v>
      </c>
      <c r="H69" s="10">
        <f t="shared" si="54"/>
        <v>150641</v>
      </c>
      <c r="I69" s="13">
        <f t="shared" si="55"/>
        <v>33459</v>
      </c>
      <c r="J69" s="15">
        <f t="shared" si="62"/>
        <v>118437.32</v>
      </c>
      <c r="K69" s="15"/>
      <c r="L69" s="16">
        <f t="shared" ref="L69" si="74">SUM(J69/52)</f>
        <v>2277.6407692307694</v>
      </c>
      <c r="M69" s="15">
        <f t="shared" si="64"/>
        <v>118617.32</v>
      </c>
      <c r="N69" s="15"/>
      <c r="O69" s="16">
        <f t="shared" si="57"/>
        <v>2281.1023076923079</v>
      </c>
      <c r="P69" s="4"/>
      <c r="Q69" s="4"/>
      <c r="R69" s="4">
        <f t="shared" si="17"/>
        <v>0</v>
      </c>
      <c r="S69" s="4"/>
      <c r="T69" s="4"/>
      <c r="U69" s="4"/>
    </row>
    <row r="70" spans="1:21" hidden="1" x14ac:dyDescent="0.4">
      <c r="A70" s="6">
        <v>180000</v>
      </c>
      <c r="B70" s="10">
        <f t="shared" si="60"/>
        <v>160864</v>
      </c>
      <c r="C70" s="11">
        <f t="shared" si="61"/>
        <v>19303.68</v>
      </c>
      <c r="D70" s="12">
        <f t="shared" si="58"/>
        <v>5</v>
      </c>
      <c r="E70" s="10">
        <f t="shared" si="52"/>
        <v>159364</v>
      </c>
      <c r="F70" s="11">
        <f t="shared" si="53"/>
        <v>19123.68</v>
      </c>
      <c r="G70" s="12">
        <f t="shared" si="59"/>
        <v>5</v>
      </c>
      <c r="H70" s="10">
        <f t="shared" si="54"/>
        <v>160641</v>
      </c>
      <c r="I70" s="13">
        <f t="shared" si="55"/>
        <v>33459</v>
      </c>
      <c r="J70" s="15">
        <f t="shared" si="62"/>
        <v>127237.32</v>
      </c>
      <c r="K70" s="15"/>
      <c r="L70" s="16">
        <f t="shared" ref="L70" si="75">SUM(J70/52)</f>
        <v>2446.8715384615384</v>
      </c>
      <c r="M70" s="15">
        <f t="shared" si="64"/>
        <v>127417.32</v>
      </c>
      <c r="N70" s="15"/>
      <c r="O70" s="16">
        <f t="shared" si="57"/>
        <v>2450.333076923077</v>
      </c>
      <c r="P70" s="4"/>
      <c r="Q70" s="4"/>
      <c r="R70" s="4">
        <f t="shared" si="17"/>
        <v>0</v>
      </c>
      <c r="S70" s="4"/>
      <c r="T70" s="4"/>
      <c r="U70" s="4"/>
    </row>
  </sheetData>
  <mergeCells count="6">
    <mergeCell ref="J2:L2"/>
    <mergeCell ref="M2:O2"/>
    <mergeCell ref="J26:L26"/>
    <mergeCell ref="M26:O26"/>
    <mergeCell ref="J50:L50"/>
    <mergeCell ref="M50:O5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Canberra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 Davidson</dc:creator>
  <cp:lastModifiedBy>Anthony R Davidson</cp:lastModifiedBy>
  <dcterms:created xsi:type="dcterms:W3CDTF">2018-01-26T11:55:01Z</dcterms:created>
  <dcterms:modified xsi:type="dcterms:W3CDTF">2018-02-02T13:04:51Z</dcterms:modified>
</cp:coreProperties>
</file>