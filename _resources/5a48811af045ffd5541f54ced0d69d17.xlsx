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\Desktop\"/>
    </mc:Choice>
  </mc:AlternateContent>
  <xr:revisionPtr revIDLastSave="0" documentId="8_{517588AD-5270-4D69-A523-7781D3BF3B53}" xr6:coauthVersionLast="31" xr6:coauthVersionMax="31" xr10:uidLastSave="{00000000-0000-0000-0000-000000000000}"/>
  <bookViews>
    <workbookView xWindow="0" yWindow="0" windowWidth="17720" windowHeight="5910" xr2:uid="{737084EE-1D1B-41C7-8AEA-36E4D2232A39}"/>
  </bookViews>
  <sheets>
    <sheet name="Summary_Payments_vs dates" sheetId="2" r:id="rId1"/>
    <sheet name="W10-W19" sheetId="5" r:id="rId2"/>
    <sheet name="W20-W32" sheetId="3" r:id="rId3"/>
    <sheet name="Angelica_hist" sheetId="6" r:id="rId4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6" l="1"/>
  <c r="G54" i="6"/>
  <c r="I54" i="6"/>
  <c r="L38" i="2"/>
  <c r="Q22" i="2"/>
  <c r="C22" i="2"/>
  <c r="E14" i="2"/>
  <c r="V6" i="2"/>
  <c r="E87" i="3"/>
  <c r="E75" i="3"/>
  <c r="E65" i="3"/>
  <c r="E54" i="3"/>
  <c r="E43" i="3"/>
  <c r="E32" i="3"/>
  <c r="E21" i="3"/>
  <c r="E10" i="3"/>
  <c r="AB30" i="2"/>
  <c r="N30" i="2"/>
  <c r="AE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Lopez</author>
  </authors>
  <commentList>
    <comment ref="AG21" authorId="0" shapeId="0" xr:uid="{DA8CB639-FEA0-4433-8BE4-986D2C09C12E}">
      <text>
        <r>
          <rPr>
            <b/>
            <sz val="9"/>
            <color indexed="81"/>
            <rFont val="Tahoma"/>
            <family val="2"/>
          </rPr>
          <t>Angelica Lopez:</t>
        </r>
        <r>
          <rPr>
            <sz val="9"/>
            <color indexed="81"/>
            <rFont val="Tahoma"/>
            <family val="2"/>
          </rPr>
          <t xml:space="preserve">
This payment has the 30 hours of the new contract plus 22.5 hras payment correction of the payment - Wednesday 16 of May (Changing the rate type).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Lopez</author>
  </authors>
  <commentList>
    <comment ref="G27" authorId="0" shapeId="0" xr:uid="{B8E336E2-5E76-4126-8429-08D14EB914E8}">
      <text>
        <r>
          <rPr>
            <b/>
            <sz val="9"/>
            <color indexed="81"/>
            <rFont val="Tahoma"/>
            <family val="2"/>
          </rPr>
          <t>Angelica Lopez:</t>
        </r>
        <r>
          <rPr>
            <sz val="9"/>
            <color indexed="81"/>
            <rFont val="Tahoma"/>
            <family val="2"/>
          </rPr>
          <t xml:space="preserve">
Did you notice this is negative, cause they corrected last payment. Maybe you are counting double?</t>
        </r>
      </text>
    </comment>
  </commentList>
</comments>
</file>

<file path=xl/sharedStrings.xml><?xml version="1.0" encoding="utf-8"?>
<sst xmlns="http://schemas.openxmlformats.org/spreadsheetml/2006/main" count="833" uniqueCount="169">
  <si>
    <t>M</t>
  </si>
  <si>
    <t>T</t>
  </si>
  <si>
    <t>W</t>
  </si>
  <si>
    <t>F</t>
  </si>
  <si>
    <t>S</t>
  </si>
  <si>
    <t>March (03)</t>
  </si>
  <si>
    <t>April (04)</t>
  </si>
  <si>
    <t>May (05)</t>
  </si>
  <si>
    <t>June (06)</t>
  </si>
  <si>
    <t>July (07)</t>
  </si>
  <si>
    <t>August (08)</t>
  </si>
  <si>
    <t>Working_hours</t>
  </si>
  <si>
    <t>Hours_Payment</t>
  </si>
  <si>
    <t>Week of 14/05/2018</t>
  </si>
  <si>
    <t>Start</t>
  </si>
  <si>
    <t>Finish</t>
  </si>
  <si>
    <t>Hrs worked</t>
  </si>
  <si>
    <t xml:space="preserve"> Total Pay </t>
  </si>
  <si>
    <t>Monday</t>
  </si>
  <si>
    <t>Tuesday</t>
  </si>
  <si>
    <t>Wednesday</t>
  </si>
  <si>
    <t>Office consultation</t>
  </si>
  <si>
    <t>Thursday</t>
  </si>
  <si>
    <t>Drop in session</t>
  </si>
  <si>
    <t>Friday</t>
  </si>
  <si>
    <t xml:space="preserve"> Reading information for Petrarki consultation</t>
  </si>
  <si>
    <t>Saturday</t>
  </si>
  <si>
    <t xml:space="preserve">Answering email and sending references </t>
  </si>
  <si>
    <t>Sunday</t>
  </si>
  <si>
    <t>Week of 21/05/2018</t>
  </si>
  <si>
    <t>Meeting preparation for Rebecca data management data</t>
  </si>
  <si>
    <t>Preparation, meeting and data exploration Mohammed.</t>
  </si>
  <si>
    <t>Week of 28/05/2018</t>
  </si>
  <si>
    <t xml:space="preserve">Consultation Sam Kosari (at university) and meeting Reihaneh </t>
  </si>
  <si>
    <t>Week of 4/06/2018</t>
  </si>
  <si>
    <t>Office consultation (Florence)</t>
  </si>
  <si>
    <t>Finishing consultation for E. Petraki/ Mohammed</t>
  </si>
  <si>
    <t>Answer mails and sending documentation.</t>
  </si>
  <si>
    <t>W18</t>
  </si>
  <si>
    <t>Week of 11/06/2018</t>
  </si>
  <si>
    <t>Preparing and sending plots (Sam and Robert)</t>
  </si>
  <si>
    <t>Answering mails and consultations</t>
  </si>
  <si>
    <t>W25</t>
  </si>
  <si>
    <t>Week of 18/06/2018</t>
  </si>
  <si>
    <t xml:space="preserve">Preparing consulation Jonathon </t>
  </si>
  <si>
    <t>Answer email and consultations</t>
  </si>
  <si>
    <t>Week of 25/06/2018</t>
  </si>
  <si>
    <t>END CONTRACT START A NEW ONE</t>
  </si>
  <si>
    <t>W26</t>
  </si>
  <si>
    <t>Week of 02/07/2018</t>
  </si>
  <si>
    <t>Cleaning database, sending invitation email</t>
  </si>
  <si>
    <t>Answering mails</t>
  </si>
  <si>
    <t>Week of 09/07/2018</t>
  </si>
  <si>
    <t>Answering Sam Kusori consultation</t>
  </si>
  <si>
    <t>Week of 16/07/2018</t>
  </si>
  <si>
    <t>W 20</t>
  </si>
  <si>
    <t>W 21</t>
  </si>
  <si>
    <t>W22</t>
  </si>
  <si>
    <t>W23</t>
  </si>
  <si>
    <t>W24</t>
  </si>
  <si>
    <t>W27</t>
  </si>
  <si>
    <t>W28</t>
  </si>
  <si>
    <t>W29</t>
  </si>
  <si>
    <t>W30</t>
  </si>
  <si>
    <t>Week of 23/07/2018</t>
  </si>
  <si>
    <t>W31</t>
  </si>
  <si>
    <t>Week of 30/07/2018</t>
  </si>
  <si>
    <t>W32</t>
  </si>
  <si>
    <t>consultation</t>
  </si>
  <si>
    <t>Week_20</t>
  </si>
  <si>
    <t>Week_21</t>
  </si>
  <si>
    <t>Week_28</t>
  </si>
  <si>
    <t>Week_30</t>
  </si>
  <si>
    <t>Week_29</t>
  </si>
  <si>
    <t>Week_22</t>
  </si>
  <si>
    <t>Week_23</t>
  </si>
  <si>
    <t>Week_24</t>
  </si>
  <si>
    <t>Week_25</t>
  </si>
  <si>
    <t>Week_26</t>
  </si>
  <si>
    <t>Week_27</t>
  </si>
  <si>
    <t>Week_31</t>
  </si>
  <si>
    <t>Week_32</t>
  </si>
  <si>
    <t>Today</t>
  </si>
  <si>
    <t>Week_19</t>
  </si>
  <si>
    <t>Week_18</t>
  </si>
  <si>
    <t>Week_17</t>
  </si>
  <si>
    <t>Week_16</t>
  </si>
  <si>
    <t>Week_15</t>
  </si>
  <si>
    <t>Week_14</t>
  </si>
  <si>
    <t>Week_13</t>
  </si>
  <si>
    <t>Week_12</t>
  </si>
  <si>
    <t>Week_11</t>
  </si>
  <si>
    <t>Week_10</t>
  </si>
  <si>
    <t>W11</t>
  </si>
  <si>
    <t>Week of 12/03/2018</t>
  </si>
  <si>
    <t>Seaching by courses using different terminology to list the list of statistical courses offered at UC. The whole dataset is complete it</t>
  </si>
  <si>
    <t>Regular Drop in</t>
  </si>
  <si>
    <t>organized files. In dropbox. Reading and organized the whole files and build a dataset of files. Check face history for discussion</t>
  </si>
  <si>
    <t>W12</t>
  </si>
  <si>
    <t>Week of 19/03/2018</t>
  </si>
  <si>
    <t>organized files. In dropbox. Reading and organized the whole files and build a dataset of files.</t>
  </si>
  <si>
    <t>w13</t>
  </si>
  <si>
    <t>Week of 26/03/2018</t>
  </si>
  <si>
    <t>Description</t>
  </si>
  <si>
    <t>Meeting with Anthony. Check face history</t>
  </si>
  <si>
    <t>Writing Process document</t>
  </si>
  <si>
    <t>TOTAL</t>
  </si>
  <si>
    <t>w14</t>
  </si>
  <si>
    <t>Week of 02/04/2018</t>
  </si>
  <si>
    <t>Easter monday</t>
  </si>
  <si>
    <t>meeting Anthony, set up email and tasks</t>
  </si>
  <si>
    <t>Coding Anna meta analysis</t>
  </si>
  <si>
    <t>Emails and fixing plots for Anna</t>
  </si>
  <si>
    <t>Emails, follow up (Abel Zhou, conversation with Anna)</t>
  </si>
  <si>
    <t>w15</t>
  </si>
  <si>
    <t>Week of 09/04/2018</t>
  </si>
  <si>
    <t>Individual consultation Anna</t>
  </si>
  <si>
    <t>Admin, answering and writing emails (Sam Kosari and Sucholana)</t>
  </si>
  <si>
    <t>Meeting Anthony</t>
  </si>
  <si>
    <t>w16</t>
  </si>
  <si>
    <t>Week of 16/04/2018</t>
  </si>
  <si>
    <t>11.30 am</t>
  </si>
  <si>
    <t>Response emails, references to Anna and ackwoledgement</t>
  </si>
  <si>
    <t>w17</t>
  </si>
  <si>
    <t>Week of 23/04/2018</t>
  </si>
  <si>
    <t>Update dataset of drop-in sessions and emails.</t>
  </si>
  <si>
    <t>4:30pm</t>
  </si>
  <si>
    <t>Response to Michelle Montgomery about her Logistic regression problem</t>
  </si>
  <si>
    <t>Second response to kym, analysis of survey II part</t>
  </si>
  <si>
    <t>ANZAC DAY</t>
  </si>
  <si>
    <t>planned please check after</t>
  </si>
  <si>
    <t>Meeting Kym</t>
  </si>
  <si>
    <t>Week of 30/04/2018</t>
  </si>
  <si>
    <t xml:space="preserve">Follow up researchers /students  Nicole and Amanda </t>
  </si>
  <si>
    <t>Check, write and response email</t>
  </si>
  <si>
    <t>W19</t>
  </si>
  <si>
    <t>Week of 07/05/2018</t>
  </si>
  <si>
    <t>Preparing and meeting Sam (professor health)/ update history drop in and answer emails.</t>
  </si>
  <si>
    <t>Answer/Sending Emails</t>
  </si>
  <si>
    <t>Preparing Rebecca's meeting</t>
  </si>
  <si>
    <t>Fixing timetable</t>
  </si>
  <si>
    <t>Answeing email and preparing documentation</t>
  </si>
  <si>
    <t>Answering email and documenting Sam's research</t>
  </si>
  <si>
    <t xml:space="preserve">Cleaning Sam's data and checking possible methods. </t>
  </si>
  <si>
    <t>W33</t>
  </si>
  <si>
    <t>Week of 06/08/2018</t>
  </si>
  <si>
    <t>Week of 13/08/2018</t>
  </si>
  <si>
    <t>Period End Date</t>
  </si>
  <si>
    <t>Surname</t>
  </si>
  <si>
    <t>Preferred Name</t>
  </si>
  <si>
    <t>GL Record Type Description</t>
  </si>
  <si>
    <t>Account Number Prefix</t>
  </si>
  <si>
    <t>Paycode</t>
  </si>
  <si>
    <t>Salary Hours</t>
  </si>
  <si>
    <t>Amt$</t>
  </si>
  <si>
    <t>LOPEZ</t>
  </si>
  <si>
    <t>Angelica</t>
  </si>
  <si>
    <t>Earnings</t>
  </si>
  <si>
    <t>50002</t>
  </si>
  <si>
    <t>Rate P - Other</t>
  </si>
  <si>
    <t>Oncosts</t>
  </si>
  <si>
    <t>50018</t>
  </si>
  <si>
    <t>50020</t>
  </si>
  <si>
    <t>50021</t>
  </si>
  <si>
    <t>Subsidies</t>
  </si>
  <si>
    <t>50016</t>
  </si>
  <si>
    <t>Super</t>
  </si>
  <si>
    <t>Rate O - Marking</t>
  </si>
  <si>
    <t>Rate Q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</si>
</sst>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d\/mm\/yyyy"/>
    <numFmt numFmtId="166" formatCode="\$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175B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/>
      <top style="thin">
        <color rgb="FFCAC9D9"/>
      </top>
      <bottom style="thin">
        <color rgb="FFCAC9D9"/>
      </bottom>
      <diagonal/>
    </border>
    <border>
      <left/>
      <right/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2">
    <xf numFmtId="0" fontId="0" fillId="0" borderId="0"/>
    <xf numFmtId="0" fontId="7" fillId="0" borderId="0"/>
  </cellStyleXfs>
  <cellXfs count="79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3" xfId="0" applyFont="1" applyFill="1" applyBorder="1"/>
    <xf numFmtId="0" fontId="2" fillId="5" borderId="4" xfId="0" applyFont="1" applyFill="1" applyBorder="1"/>
    <xf numFmtId="0" fontId="0" fillId="6" borderId="0" xfId="0" applyFill="1"/>
    <xf numFmtId="0" fontId="2" fillId="6" borderId="3" xfId="0" applyFont="1" applyFill="1" applyBorder="1"/>
    <xf numFmtId="0" fontId="2" fillId="6" borderId="4" xfId="0" applyFont="1" applyFill="1" applyBorder="1"/>
    <xf numFmtId="0" fontId="2" fillId="5" borderId="0" xfId="0" applyFont="1" applyFill="1"/>
    <xf numFmtId="0" fontId="2" fillId="6" borderId="2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7" borderId="0" xfId="0" applyFill="1"/>
    <xf numFmtId="0" fontId="0" fillId="9" borderId="0" xfId="0" applyFill="1"/>
    <xf numFmtId="0" fontId="0" fillId="0" borderId="0" xfId="0" applyFill="1"/>
    <xf numFmtId="0" fontId="0" fillId="2" borderId="0" xfId="0" applyFill="1"/>
    <xf numFmtId="0" fontId="0" fillId="11" borderId="0" xfId="0" applyFill="1"/>
    <xf numFmtId="0" fontId="0" fillId="12" borderId="0" xfId="0" applyFill="1"/>
    <xf numFmtId="0" fontId="2" fillId="9" borderId="2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0" fillId="9" borderId="1" xfId="0" applyFill="1" applyBorder="1"/>
    <xf numFmtId="0" fontId="0" fillId="13" borderId="0" xfId="0" applyFill="1"/>
    <xf numFmtId="0" fontId="2" fillId="13" borderId="0" xfId="0" applyFont="1" applyFill="1"/>
    <xf numFmtId="0" fontId="1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8" fontId="0" fillId="0" borderId="0" xfId="0" applyNumberFormat="1" applyFill="1" applyProtection="1">
      <protection locked="0"/>
    </xf>
    <xf numFmtId="0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18" fontId="0" fillId="0" borderId="0" xfId="0" applyNumberFormat="1" applyFill="1"/>
    <xf numFmtId="20" fontId="0" fillId="0" borderId="0" xfId="0" applyNumberFormat="1" applyFill="1"/>
    <xf numFmtId="20" fontId="5" fillId="0" borderId="0" xfId="0" applyNumberFormat="1" applyFont="1" applyFill="1" applyProtection="1">
      <protection locked="0"/>
    </xf>
    <xf numFmtId="0" fontId="5" fillId="0" borderId="0" xfId="0" applyNumberFormat="1" applyFont="1" applyFill="1" applyProtection="1">
      <protection locked="0"/>
    </xf>
    <xf numFmtId="164" fontId="5" fillId="0" borderId="0" xfId="0" applyNumberFormat="1" applyFont="1" applyFill="1" applyProtection="1">
      <protection locked="0"/>
    </xf>
    <xf numFmtId="0" fontId="5" fillId="0" borderId="0" xfId="0" applyFont="1" applyFill="1" applyProtection="1">
      <protection locked="0"/>
    </xf>
    <xf numFmtId="0" fontId="0" fillId="8" borderId="0" xfId="0" applyFill="1"/>
    <xf numFmtId="0" fontId="6" fillId="13" borderId="0" xfId="0" applyFont="1" applyFill="1"/>
    <xf numFmtId="0" fontId="6" fillId="11" borderId="0" xfId="0" applyFont="1" applyFill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8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18" fontId="6" fillId="0" borderId="0" xfId="0" applyNumberFormat="1" applyFont="1"/>
    <xf numFmtId="18" fontId="6" fillId="0" borderId="0" xfId="0" applyNumberFormat="1" applyFont="1" applyProtection="1">
      <protection locked="0"/>
    </xf>
    <xf numFmtId="0" fontId="6" fillId="0" borderId="0" xfId="0" applyNumberFormat="1" applyFont="1" applyProtection="1">
      <protection locked="0"/>
    </xf>
    <xf numFmtId="0" fontId="6" fillId="0" borderId="0" xfId="0" applyFont="1"/>
    <xf numFmtId="20" fontId="6" fillId="0" borderId="0" xfId="0" applyNumberFormat="1" applyFont="1"/>
    <xf numFmtId="0" fontId="1" fillId="0" borderId="0" xfId="0" applyFont="1"/>
    <xf numFmtId="0" fontId="1" fillId="0" borderId="0" xfId="0" applyNumberFormat="1" applyFont="1"/>
    <xf numFmtId="18" fontId="0" fillId="0" borderId="0" xfId="0" applyNumberFormat="1"/>
    <xf numFmtId="20" fontId="0" fillId="0" borderId="0" xfId="0" applyNumberFormat="1"/>
    <xf numFmtId="20" fontId="6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20" fontId="5" fillId="0" borderId="0" xfId="0" applyNumberFormat="1" applyFont="1" applyProtection="1">
      <protection locked="0"/>
    </xf>
    <xf numFmtId="0" fontId="5" fillId="0" borderId="0" xfId="0" applyNumberFormat="1" applyFont="1" applyProtection="1">
      <protection locked="0"/>
    </xf>
    <xf numFmtId="0" fontId="5" fillId="0" borderId="0" xfId="0" applyFont="1" applyFill="1"/>
    <xf numFmtId="20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0" fontId="6" fillId="0" borderId="0" xfId="0" applyNumberFormat="1" applyFont="1" applyFill="1" applyProtection="1">
      <protection locked="0"/>
    </xf>
    <xf numFmtId="20" fontId="6" fillId="0" borderId="0" xfId="0" applyNumberFormat="1" applyFont="1" applyFill="1" applyProtection="1">
      <protection locked="0"/>
    </xf>
    <xf numFmtId="0" fontId="6" fillId="0" borderId="0" xfId="0" applyFont="1" applyFill="1" applyProtection="1">
      <protection locked="0"/>
    </xf>
    <xf numFmtId="20" fontId="0" fillId="0" borderId="0" xfId="0" applyNumberFormat="1" applyFill="1" applyProtection="1">
      <protection locked="0"/>
    </xf>
    <xf numFmtId="164" fontId="6" fillId="0" borderId="0" xfId="0" applyNumberFormat="1" applyFont="1" applyFill="1" applyProtection="1">
      <protection locked="0"/>
    </xf>
    <xf numFmtId="49" fontId="8" fillId="14" borderId="5" xfId="1" applyNumberFormat="1" applyFont="1" applyFill="1" applyBorder="1" applyAlignment="1">
      <alignment horizontal="center" vertical="center" wrapText="1"/>
    </xf>
    <xf numFmtId="165" fontId="9" fillId="15" borderId="6" xfId="1" applyNumberFormat="1" applyFont="1" applyFill="1" applyBorder="1" applyAlignment="1">
      <alignment horizontal="center" vertical="top"/>
    </xf>
    <xf numFmtId="165" fontId="9" fillId="15" borderId="7" xfId="1" applyNumberFormat="1" applyFont="1" applyFill="1" applyBorder="1" applyAlignment="1">
      <alignment horizontal="center" vertical="top"/>
    </xf>
    <xf numFmtId="165" fontId="9" fillId="15" borderId="8" xfId="1" applyNumberFormat="1" applyFont="1" applyFill="1" applyBorder="1" applyAlignment="1">
      <alignment horizontal="center" vertical="top"/>
    </xf>
    <xf numFmtId="165" fontId="10" fillId="15" borderId="9" xfId="1" applyNumberFormat="1" applyFont="1" applyFill="1" applyBorder="1" applyAlignment="1">
      <alignment horizontal="center" vertical="top"/>
    </xf>
    <xf numFmtId="49" fontId="10" fillId="15" borderId="9" xfId="1" applyNumberFormat="1" applyFont="1" applyFill="1" applyBorder="1" applyAlignment="1">
      <alignment horizontal="left" vertical="center"/>
    </xf>
    <xf numFmtId="49" fontId="10" fillId="15" borderId="9" xfId="1" applyNumberFormat="1" applyFont="1" applyFill="1" applyBorder="1" applyAlignment="1">
      <alignment horizontal="left" wrapText="1"/>
    </xf>
    <xf numFmtId="2" fontId="10" fillId="15" borderId="9" xfId="1" applyNumberFormat="1" applyFont="1" applyFill="1" applyBorder="1" applyAlignment="1">
      <alignment horizontal="center"/>
    </xf>
    <xf numFmtId="166" fontId="10" fillId="15" borderId="9" xfId="1" applyNumberFormat="1" applyFont="1" applyFill="1" applyBorder="1" applyAlignment="1">
      <alignment horizontal="right"/>
    </xf>
    <xf numFmtId="2" fontId="10" fillId="16" borderId="9" xfId="1" applyNumberFormat="1" applyFont="1" applyFill="1" applyBorder="1" applyAlignment="1">
      <alignment horizontal="center"/>
    </xf>
    <xf numFmtId="0" fontId="1" fillId="10" borderId="1" xfId="0" applyFont="1" applyFill="1" applyBorder="1"/>
    <xf numFmtId="0" fontId="11" fillId="0" borderId="0" xfId="0" applyFont="1" applyFill="1" applyBorder="1"/>
    <xf numFmtId="2" fontId="1" fillId="10" borderId="1" xfId="0" applyNumberFormat="1" applyFont="1" applyFill="1" applyBorder="1"/>
  </cellXfs>
  <cellStyles count="2">
    <cellStyle name="Normal" xfId="0" builtinId="0"/>
    <cellStyle name="Normal 2" xfId="1" xr:uid="{5450FB92-AB99-450E-8CF9-B80A22F58BE4}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1C54-874F-4E47-836A-64393CD26451}">
  <dimension ref="A1:AG47"/>
  <sheetViews>
    <sheetView tabSelected="1" workbookViewId="0">
      <selection activeCell="P16" sqref="P15:P16"/>
    </sheetView>
  </sheetViews>
  <sheetFormatPr defaultRowHeight="14.5" x14ac:dyDescent="0.35"/>
  <cols>
    <col min="1" max="1" width="13.7265625" bestFit="1" customWidth="1"/>
    <col min="2" max="2" width="4.26953125" customWidth="1"/>
    <col min="3" max="3" width="4.453125" customWidth="1"/>
    <col min="4" max="4" width="4.26953125" customWidth="1"/>
    <col min="5" max="5" width="2.6328125" bestFit="1" customWidth="1"/>
    <col min="6" max="6" width="2.54296875" customWidth="1"/>
    <col min="7" max="7" width="3.81640625" customWidth="1"/>
    <col min="8" max="8" width="3.6328125" customWidth="1"/>
    <col min="9" max="9" width="2.6328125" bestFit="1" customWidth="1"/>
    <col min="10" max="10" width="3.7265625" customWidth="1"/>
    <col min="11" max="13" width="2.81640625" bestFit="1" customWidth="1"/>
    <col min="14" max="14" width="4.453125" customWidth="1"/>
    <col min="15" max="16" width="2.81640625" bestFit="1" customWidth="1"/>
    <col min="17" max="17" width="4.81640625" bestFit="1" customWidth="1"/>
    <col min="18" max="19" width="2.81640625" customWidth="1"/>
    <col min="20" max="20" width="3.81640625" bestFit="1" customWidth="1"/>
    <col min="21" max="21" width="4" customWidth="1"/>
    <col min="22" max="23" width="2.81640625" bestFit="1" customWidth="1"/>
    <col min="24" max="24" width="5.36328125" customWidth="1"/>
    <col min="25" max="26" width="2.81640625" bestFit="1" customWidth="1"/>
    <col min="27" max="27" width="4.26953125" customWidth="1"/>
    <col min="28" max="28" width="4.36328125" customWidth="1"/>
    <col min="29" max="30" width="2.81640625" bestFit="1" customWidth="1"/>
    <col min="31" max="31" width="3.6328125" customWidth="1"/>
    <col min="32" max="32" width="2.81640625" customWidth="1"/>
    <col min="33" max="33" width="4.81640625" bestFit="1" customWidth="1"/>
  </cols>
  <sheetData>
    <row r="1" spans="1:32" x14ac:dyDescent="0.35">
      <c r="F1" t="s">
        <v>92</v>
      </c>
      <c r="M1" t="s">
        <v>91</v>
      </c>
      <c r="T1" t="s">
        <v>90</v>
      </c>
      <c r="AA1" t="s">
        <v>89</v>
      </c>
    </row>
    <row r="2" spans="1:32" x14ac:dyDescent="0.35">
      <c r="B2" t="s">
        <v>1</v>
      </c>
      <c r="C2" t="s">
        <v>3</v>
      </c>
      <c r="D2" t="s">
        <v>4</v>
      </c>
      <c r="E2" t="s">
        <v>4</v>
      </c>
      <c r="F2" t="s">
        <v>0</v>
      </c>
      <c r="G2" t="s">
        <v>1</v>
      </c>
      <c r="H2" t="s">
        <v>2</v>
      </c>
      <c r="I2" t="s">
        <v>1</v>
      </c>
      <c r="J2" t="s">
        <v>3</v>
      </c>
      <c r="K2" t="s">
        <v>4</v>
      </c>
      <c r="L2" t="s">
        <v>4</v>
      </c>
      <c r="M2" t="s">
        <v>0</v>
      </c>
      <c r="N2" t="s">
        <v>1</v>
      </c>
      <c r="O2" t="s">
        <v>2</v>
      </c>
      <c r="P2" t="s">
        <v>1</v>
      </c>
      <c r="Q2" t="s">
        <v>3</v>
      </c>
      <c r="R2" t="s">
        <v>4</v>
      </c>
      <c r="S2" t="s">
        <v>4</v>
      </c>
      <c r="T2" t="s">
        <v>0</v>
      </c>
      <c r="U2" t="s">
        <v>1</v>
      </c>
      <c r="V2" t="s">
        <v>2</v>
      </c>
      <c r="W2" t="s">
        <v>1</v>
      </c>
      <c r="X2" t="s">
        <v>3</v>
      </c>
      <c r="Y2" t="s">
        <v>4</v>
      </c>
      <c r="Z2" t="s">
        <v>4</v>
      </c>
      <c r="AA2" t="s">
        <v>0</v>
      </c>
      <c r="AB2" t="s">
        <v>1</v>
      </c>
      <c r="AC2" t="s">
        <v>2</v>
      </c>
      <c r="AD2" t="s">
        <v>1</v>
      </c>
      <c r="AE2" t="s">
        <v>3</v>
      </c>
      <c r="AF2" t="s">
        <v>4</v>
      </c>
    </row>
    <row r="3" spans="1:32" x14ac:dyDescent="0.35">
      <c r="A3" s="48" t="s">
        <v>5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</row>
    <row r="4" spans="1:32" x14ac:dyDescent="0.35">
      <c r="A4" s="1"/>
      <c r="B4" s="1"/>
      <c r="C4" s="1"/>
      <c r="D4" s="1"/>
      <c r="E4" s="1"/>
      <c r="F4" s="26"/>
      <c r="G4" s="39"/>
      <c r="H4" s="39"/>
      <c r="I4" s="39"/>
      <c r="J4" s="39"/>
      <c r="K4" s="39"/>
      <c r="L4" s="39"/>
      <c r="M4" s="39"/>
      <c r="N4" s="39">
        <v>2</v>
      </c>
      <c r="O4" s="39"/>
      <c r="P4" s="39">
        <v>2</v>
      </c>
      <c r="Q4" s="39">
        <v>2</v>
      </c>
      <c r="R4" s="39"/>
      <c r="S4" s="39"/>
      <c r="T4" s="40"/>
      <c r="U4" s="40"/>
      <c r="V4" s="40"/>
      <c r="W4" s="40">
        <v>2</v>
      </c>
      <c r="X4" s="40">
        <v>2</v>
      </c>
      <c r="Y4" s="40"/>
      <c r="Z4" s="40"/>
      <c r="AA4" s="40">
        <v>1</v>
      </c>
      <c r="AB4" s="40"/>
      <c r="AC4" s="40"/>
      <c r="AD4" s="40">
        <v>4</v>
      </c>
      <c r="AE4" s="40"/>
      <c r="AF4" s="40"/>
    </row>
    <row r="5" spans="1:32" x14ac:dyDescent="0.35">
      <c r="A5" t="s">
        <v>12</v>
      </c>
      <c r="V5" s="7">
        <v>5</v>
      </c>
    </row>
    <row r="6" spans="1:32" x14ac:dyDescent="0.35">
      <c r="A6" t="s">
        <v>11</v>
      </c>
      <c r="V6">
        <f>+SUM(F4:S4)</f>
        <v>6</v>
      </c>
    </row>
    <row r="9" spans="1:32" x14ac:dyDescent="0.35">
      <c r="C9" t="s">
        <v>88</v>
      </c>
      <c r="J9" t="s">
        <v>87</v>
      </c>
      <c r="Q9" t="s">
        <v>86</v>
      </c>
      <c r="X9" t="s">
        <v>85</v>
      </c>
      <c r="AE9" t="s">
        <v>84</v>
      </c>
    </row>
    <row r="10" spans="1:32" x14ac:dyDescent="0.35">
      <c r="B10" t="s">
        <v>4</v>
      </c>
      <c r="C10" t="s">
        <v>0</v>
      </c>
      <c r="D10" t="s">
        <v>1</v>
      </c>
      <c r="E10" t="s">
        <v>2</v>
      </c>
      <c r="F10" t="s">
        <v>1</v>
      </c>
      <c r="G10" t="s">
        <v>3</v>
      </c>
      <c r="H10" t="s">
        <v>4</v>
      </c>
      <c r="I10" t="s">
        <v>4</v>
      </c>
      <c r="J10" t="s">
        <v>0</v>
      </c>
      <c r="K10" t="s">
        <v>1</v>
      </c>
      <c r="L10" t="s">
        <v>2</v>
      </c>
      <c r="M10" t="s">
        <v>1</v>
      </c>
      <c r="N10" t="s">
        <v>3</v>
      </c>
      <c r="O10" t="s">
        <v>4</v>
      </c>
      <c r="P10" t="s">
        <v>4</v>
      </c>
      <c r="Q10" t="s">
        <v>0</v>
      </c>
      <c r="R10" t="s">
        <v>1</v>
      </c>
      <c r="S10" t="s">
        <v>2</v>
      </c>
      <c r="T10" t="s">
        <v>1</v>
      </c>
      <c r="U10" t="s">
        <v>3</v>
      </c>
      <c r="V10" t="s">
        <v>4</v>
      </c>
      <c r="W10" t="s">
        <v>4</v>
      </c>
      <c r="X10" t="s">
        <v>0</v>
      </c>
      <c r="Y10" t="s">
        <v>1</v>
      </c>
      <c r="Z10" t="s">
        <v>2</v>
      </c>
      <c r="AA10" t="s">
        <v>1</v>
      </c>
      <c r="AB10" t="s">
        <v>3</v>
      </c>
      <c r="AC10" t="s">
        <v>4</v>
      </c>
      <c r="AD10" t="s">
        <v>4</v>
      </c>
      <c r="AE10" t="s">
        <v>0</v>
      </c>
    </row>
    <row r="11" spans="1:32" x14ac:dyDescent="0.35">
      <c r="A11" t="s">
        <v>6</v>
      </c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  <c r="N11" s="1">
        <v>13</v>
      </c>
      <c r="O11" s="1">
        <v>14</v>
      </c>
      <c r="P11" s="1">
        <v>15</v>
      </c>
      <c r="Q11" s="1">
        <v>16</v>
      </c>
      <c r="R11" s="1">
        <v>17</v>
      </c>
      <c r="S11" s="1">
        <v>18</v>
      </c>
      <c r="T11" s="1">
        <v>19</v>
      </c>
      <c r="U11" s="1">
        <v>20</v>
      </c>
      <c r="V11" s="1">
        <v>21</v>
      </c>
      <c r="W11" s="1">
        <v>22</v>
      </c>
      <c r="X11" s="1">
        <v>23</v>
      </c>
      <c r="Y11" s="1">
        <v>24</v>
      </c>
      <c r="Z11" s="1">
        <v>25</v>
      </c>
      <c r="AA11" s="1">
        <v>26</v>
      </c>
      <c r="AB11" s="1">
        <v>27</v>
      </c>
      <c r="AC11" s="1">
        <v>28</v>
      </c>
      <c r="AD11" s="1">
        <v>29</v>
      </c>
      <c r="AE11" s="1">
        <v>30</v>
      </c>
    </row>
    <row r="12" spans="1:32" x14ac:dyDescent="0.35">
      <c r="B12" s="19"/>
      <c r="F12">
        <v>5</v>
      </c>
      <c r="G12">
        <v>1</v>
      </c>
      <c r="H12">
        <v>1.5</v>
      </c>
      <c r="J12">
        <v>4</v>
      </c>
      <c r="M12">
        <v>3</v>
      </c>
      <c r="Q12" s="25">
        <v>0.5</v>
      </c>
      <c r="R12" s="25"/>
      <c r="S12" s="25"/>
      <c r="T12" s="25">
        <v>3</v>
      </c>
      <c r="U12" s="25"/>
      <c r="V12" s="25"/>
      <c r="W12" s="25"/>
      <c r="X12" s="25">
        <v>1</v>
      </c>
      <c r="Y12" s="25">
        <v>2</v>
      </c>
      <c r="Z12" s="25"/>
      <c r="AA12" s="25">
        <v>3</v>
      </c>
      <c r="AB12" s="25"/>
      <c r="AC12" s="25"/>
      <c r="AD12" s="25"/>
      <c r="AE12" s="24"/>
    </row>
    <row r="13" spans="1:32" x14ac:dyDescent="0.35">
      <c r="A13" t="s">
        <v>12</v>
      </c>
      <c r="E13" s="19">
        <v>5</v>
      </c>
    </row>
    <row r="14" spans="1:32" x14ac:dyDescent="0.35">
      <c r="A14" t="s">
        <v>11</v>
      </c>
      <c r="E14">
        <f>+SUM(T4:AF4,B12)</f>
        <v>9</v>
      </c>
    </row>
    <row r="17" spans="1:33" x14ac:dyDescent="0.35">
      <c r="H17" t="s">
        <v>83</v>
      </c>
      <c r="O17" t="s">
        <v>69</v>
      </c>
      <c r="V17" t="s">
        <v>70</v>
      </c>
      <c r="AC17" t="s">
        <v>74</v>
      </c>
    </row>
    <row r="18" spans="1:33" x14ac:dyDescent="0.35">
      <c r="B18" t="s">
        <v>1</v>
      </c>
      <c r="C18" t="s">
        <v>2</v>
      </c>
      <c r="D18" t="s">
        <v>1</v>
      </c>
      <c r="E18" t="s">
        <v>3</v>
      </c>
      <c r="F18" t="s">
        <v>4</v>
      </c>
      <c r="G18" t="s">
        <v>4</v>
      </c>
      <c r="H18" t="s">
        <v>0</v>
      </c>
      <c r="I18" t="s">
        <v>1</v>
      </c>
      <c r="J18" t="s">
        <v>2</v>
      </c>
      <c r="K18" t="s">
        <v>1</v>
      </c>
      <c r="L18" t="s">
        <v>3</v>
      </c>
      <c r="M18" t="s">
        <v>4</v>
      </c>
      <c r="N18" t="s">
        <v>4</v>
      </c>
      <c r="O18" t="s">
        <v>0</v>
      </c>
      <c r="P18" t="s">
        <v>1</v>
      </c>
      <c r="Q18" t="s">
        <v>2</v>
      </c>
      <c r="R18" t="s">
        <v>1</v>
      </c>
      <c r="S18" t="s">
        <v>3</v>
      </c>
      <c r="T18" t="s">
        <v>4</v>
      </c>
      <c r="U18" t="s">
        <v>4</v>
      </c>
      <c r="V18" t="s">
        <v>0</v>
      </c>
      <c r="W18" t="s">
        <v>1</v>
      </c>
      <c r="X18" t="s">
        <v>2</v>
      </c>
      <c r="Y18" t="s">
        <v>1</v>
      </c>
      <c r="Z18" t="s">
        <v>3</v>
      </c>
      <c r="AA18" t="s">
        <v>4</v>
      </c>
      <c r="AB18" t="s">
        <v>4</v>
      </c>
      <c r="AC18" t="s">
        <v>0</v>
      </c>
      <c r="AD18" t="s">
        <v>1</v>
      </c>
      <c r="AE18" t="s">
        <v>2</v>
      </c>
      <c r="AF18" t="s">
        <v>1</v>
      </c>
    </row>
    <row r="19" spans="1:33" x14ac:dyDescent="0.35">
      <c r="A19" s="48" t="s">
        <v>7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  <c r="L19" s="1">
        <v>11</v>
      </c>
      <c r="M19" s="1">
        <v>12</v>
      </c>
      <c r="N19" s="1">
        <v>13</v>
      </c>
      <c r="O19" s="1">
        <v>14</v>
      </c>
      <c r="P19" s="1">
        <v>15</v>
      </c>
      <c r="Q19" s="1">
        <v>16</v>
      </c>
      <c r="R19" s="1">
        <v>17</v>
      </c>
      <c r="S19" s="1">
        <v>18</v>
      </c>
      <c r="T19" s="1">
        <v>19</v>
      </c>
      <c r="U19" s="1">
        <v>20</v>
      </c>
      <c r="V19" s="1">
        <v>21</v>
      </c>
      <c r="W19" s="1">
        <v>22</v>
      </c>
      <c r="X19" s="1">
        <v>23</v>
      </c>
      <c r="Y19" s="1">
        <v>24</v>
      </c>
      <c r="Z19" s="1">
        <v>25</v>
      </c>
      <c r="AA19" s="1">
        <v>26</v>
      </c>
      <c r="AB19" s="1">
        <v>27</v>
      </c>
      <c r="AC19" s="1">
        <v>28</v>
      </c>
      <c r="AD19" s="1">
        <v>29</v>
      </c>
      <c r="AE19" s="1">
        <v>30</v>
      </c>
      <c r="AF19" s="1">
        <v>31</v>
      </c>
    </row>
    <row r="20" spans="1:33" x14ac:dyDescent="0.35">
      <c r="A20" s="1"/>
      <c r="B20" s="21"/>
      <c r="C20" s="22">
        <v>2</v>
      </c>
      <c r="D20" s="22">
        <v>2.5</v>
      </c>
      <c r="E20" s="22"/>
      <c r="F20" s="22"/>
      <c r="G20" s="22"/>
      <c r="H20" s="22">
        <v>3</v>
      </c>
      <c r="I20" s="22"/>
      <c r="J20" s="22"/>
      <c r="K20" s="22">
        <v>3</v>
      </c>
      <c r="L20" s="22"/>
      <c r="M20" s="22"/>
      <c r="N20" s="23"/>
      <c r="O20" s="5"/>
      <c r="P20" s="5"/>
      <c r="Q20" s="5">
        <v>3.5</v>
      </c>
      <c r="R20" s="5">
        <v>4</v>
      </c>
      <c r="S20" s="5">
        <v>4</v>
      </c>
      <c r="T20" s="5">
        <v>3.5</v>
      </c>
      <c r="U20" s="5"/>
      <c r="V20" s="5"/>
      <c r="W20" s="5"/>
      <c r="X20" s="5">
        <v>3.5</v>
      </c>
      <c r="Y20" s="5">
        <v>4</v>
      </c>
      <c r="Z20" s="5">
        <v>4</v>
      </c>
      <c r="AA20" s="5">
        <v>3.5</v>
      </c>
      <c r="AB20" s="6"/>
      <c r="AC20" s="11"/>
      <c r="AD20" s="8"/>
      <c r="AE20" s="8">
        <v>3.5</v>
      </c>
      <c r="AF20" s="9">
        <v>4</v>
      </c>
    </row>
    <row r="21" spans="1:33" x14ac:dyDescent="0.35">
      <c r="A21" t="s">
        <v>12</v>
      </c>
      <c r="C21" s="25">
        <v>10</v>
      </c>
      <c r="Q21" s="16">
        <v>22.5</v>
      </c>
      <c r="AE21" s="4">
        <v>30</v>
      </c>
      <c r="AG21" s="4">
        <v>22.5</v>
      </c>
    </row>
    <row r="22" spans="1:33" x14ac:dyDescent="0.35">
      <c r="A22" t="s">
        <v>11</v>
      </c>
      <c r="C22">
        <f>+SUM(C12:AD12)</f>
        <v>24</v>
      </c>
      <c r="Q22">
        <f>+SUM(B20:N20)</f>
        <v>10.5</v>
      </c>
      <c r="AE22">
        <f>+SUM(O20:AB20)</f>
        <v>30</v>
      </c>
    </row>
    <row r="25" spans="1:33" x14ac:dyDescent="0.35">
      <c r="E25" t="s">
        <v>75</v>
      </c>
      <c r="L25" t="s">
        <v>76</v>
      </c>
      <c r="S25" t="s">
        <v>77</v>
      </c>
      <c r="Z25" t="s">
        <v>78</v>
      </c>
    </row>
    <row r="26" spans="1:33" x14ac:dyDescent="0.35">
      <c r="B26" t="s">
        <v>3</v>
      </c>
      <c r="C26" t="s">
        <v>4</v>
      </c>
      <c r="D26" t="s">
        <v>4</v>
      </c>
      <c r="E26" t="s">
        <v>0</v>
      </c>
      <c r="F26" t="s">
        <v>1</v>
      </c>
      <c r="G26" t="s">
        <v>2</v>
      </c>
      <c r="H26" t="s">
        <v>1</v>
      </c>
      <c r="I26" t="s">
        <v>3</v>
      </c>
      <c r="J26" t="s">
        <v>4</v>
      </c>
      <c r="K26" t="s">
        <v>4</v>
      </c>
      <c r="L26" t="s">
        <v>0</v>
      </c>
      <c r="M26" t="s">
        <v>1</v>
      </c>
      <c r="N26" t="s">
        <v>2</v>
      </c>
      <c r="O26" t="s">
        <v>1</v>
      </c>
      <c r="P26" t="s">
        <v>3</v>
      </c>
      <c r="Q26" t="s">
        <v>4</v>
      </c>
      <c r="R26" t="s">
        <v>4</v>
      </c>
      <c r="S26" t="s">
        <v>0</v>
      </c>
      <c r="T26" t="s">
        <v>1</v>
      </c>
      <c r="U26" t="s">
        <v>2</v>
      </c>
      <c r="V26" t="s">
        <v>1</v>
      </c>
      <c r="W26" t="s">
        <v>3</v>
      </c>
      <c r="X26" t="s">
        <v>4</v>
      </c>
      <c r="Y26" t="s">
        <v>4</v>
      </c>
      <c r="Z26" t="s">
        <v>0</v>
      </c>
      <c r="AA26" t="s">
        <v>1</v>
      </c>
      <c r="AB26" t="s">
        <v>2</v>
      </c>
      <c r="AC26" t="s">
        <v>1</v>
      </c>
      <c r="AD26" t="s">
        <v>3</v>
      </c>
      <c r="AE26" t="s">
        <v>4</v>
      </c>
    </row>
    <row r="27" spans="1:33" x14ac:dyDescent="0.35">
      <c r="A27" t="s">
        <v>8</v>
      </c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  <c r="N27" s="1">
        <v>13</v>
      </c>
      <c r="O27" s="1">
        <v>14</v>
      </c>
      <c r="P27" s="1">
        <v>15</v>
      </c>
      <c r="Q27" s="1">
        <v>16</v>
      </c>
      <c r="R27" s="1">
        <v>17</v>
      </c>
      <c r="S27" s="1">
        <v>18</v>
      </c>
      <c r="T27" s="1">
        <v>19</v>
      </c>
      <c r="U27" s="1">
        <v>20</v>
      </c>
      <c r="V27" s="1">
        <v>21</v>
      </c>
      <c r="W27" s="1">
        <v>22</v>
      </c>
      <c r="X27" s="1">
        <v>23</v>
      </c>
      <c r="Y27" s="1">
        <v>24</v>
      </c>
      <c r="Z27" s="1">
        <v>25</v>
      </c>
      <c r="AA27" s="1">
        <v>26</v>
      </c>
      <c r="AB27" s="1">
        <v>27</v>
      </c>
      <c r="AC27" s="1">
        <v>28</v>
      </c>
      <c r="AD27" s="1">
        <v>29</v>
      </c>
      <c r="AE27" s="1">
        <v>30</v>
      </c>
    </row>
    <row r="28" spans="1:33" x14ac:dyDescent="0.35">
      <c r="B28" s="12">
        <v>4</v>
      </c>
      <c r="C28" s="13">
        <v>3.5</v>
      </c>
      <c r="D28" s="13"/>
      <c r="E28" s="13"/>
      <c r="F28" s="13"/>
      <c r="G28" s="13">
        <v>3.5</v>
      </c>
      <c r="H28" s="13">
        <v>4</v>
      </c>
      <c r="I28" s="13">
        <v>4</v>
      </c>
      <c r="J28" s="13">
        <v>3.5</v>
      </c>
      <c r="K28" s="14"/>
      <c r="L28" s="18"/>
      <c r="M28" s="18"/>
      <c r="N28" s="18">
        <v>3.5</v>
      </c>
      <c r="O28" s="18">
        <v>4</v>
      </c>
      <c r="P28" s="18">
        <v>4</v>
      </c>
      <c r="Q28" s="18">
        <v>3.5</v>
      </c>
      <c r="R28" s="18"/>
      <c r="S28" s="18"/>
      <c r="T28" s="18"/>
      <c r="U28" s="18">
        <v>3.5</v>
      </c>
      <c r="V28" s="18">
        <v>4</v>
      </c>
      <c r="W28" s="18">
        <v>4</v>
      </c>
      <c r="X28" s="18">
        <v>3.5</v>
      </c>
      <c r="Y28" s="18"/>
      <c r="Z28" s="20"/>
      <c r="AA28" s="20"/>
      <c r="AB28" s="20">
        <v>3.5</v>
      </c>
      <c r="AC28" s="20">
        <v>4</v>
      </c>
      <c r="AD28" s="20">
        <v>4</v>
      </c>
      <c r="AE28" s="20">
        <v>3.5</v>
      </c>
      <c r="AF28" s="20"/>
    </row>
    <row r="29" spans="1:33" x14ac:dyDescent="0.35">
      <c r="A29" t="s">
        <v>12</v>
      </c>
      <c r="N29" s="7">
        <v>30</v>
      </c>
      <c r="Z29" s="17"/>
      <c r="AB29" s="16">
        <v>30</v>
      </c>
    </row>
    <row r="30" spans="1:33" x14ac:dyDescent="0.35">
      <c r="A30" t="s">
        <v>11</v>
      </c>
      <c r="N30" s="17">
        <f>+SUM(AC20:AF20,B28:K28)</f>
        <v>30</v>
      </c>
      <c r="Z30" s="17"/>
      <c r="AB30" s="17">
        <f>+SUM(L28:Y28)</f>
        <v>30</v>
      </c>
    </row>
    <row r="31" spans="1:33" x14ac:dyDescent="0.35">
      <c r="N31" s="17"/>
      <c r="Z31" s="17"/>
      <c r="AB31" s="17"/>
    </row>
    <row r="32" spans="1:33" x14ac:dyDescent="0.35">
      <c r="N32" s="17"/>
      <c r="Z32" s="17"/>
      <c r="AB32" s="17"/>
    </row>
    <row r="33" spans="1:32" x14ac:dyDescent="0.35">
      <c r="C33" t="s">
        <v>79</v>
      </c>
      <c r="J33" t="s">
        <v>71</v>
      </c>
      <c r="Q33" t="s">
        <v>73</v>
      </c>
      <c r="X33" t="s">
        <v>72</v>
      </c>
      <c r="AE33" t="s">
        <v>80</v>
      </c>
    </row>
    <row r="34" spans="1:32" x14ac:dyDescent="0.35">
      <c r="B34" t="s">
        <v>4</v>
      </c>
      <c r="C34" t="s">
        <v>0</v>
      </c>
      <c r="D34" t="s">
        <v>1</v>
      </c>
      <c r="E34" t="s">
        <v>2</v>
      </c>
      <c r="F34" t="s">
        <v>1</v>
      </c>
      <c r="G34" t="s">
        <v>3</v>
      </c>
      <c r="H34" t="s">
        <v>4</v>
      </c>
      <c r="I34" t="s">
        <v>4</v>
      </c>
      <c r="J34" t="s">
        <v>0</v>
      </c>
      <c r="K34" t="s">
        <v>1</v>
      </c>
      <c r="L34" t="s">
        <v>2</v>
      </c>
      <c r="M34" t="s">
        <v>1</v>
      </c>
      <c r="N34" t="s">
        <v>3</v>
      </c>
      <c r="O34" t="s">
        <v>4</v>
      </c>
      <c r="P34" t="s">
        <v>4</v>
      </c>
      <c r="Q34" t="s">
        <v>0</v>
      </c>
      <c r="R34" t="s">
        <v>1</v>
      </c>
      <c r="S34" t="s">
        <v>2</v>
      </c>
      <c r="T34" t="s">
        <v>1</v>
      </c>
      <c r="U34" t="s">
        <v>3</v>
      </c>
      <c r="V34" t="s">
        <v>4</v>
      </c>
      <c r="W34" t="s">
        <v>4</v>
      </c>
      <c r="X34" t="s">
        <v>0</v>
      </c>
      <c r="Y34" t="s">
        <v>1</v>
      </c>
      <c r="Z34" t="s">
        <v>2</v>
      </c>
      <c r="AA34" t="s">
        <v>1</v>
      </c>
      <c r="AB34" t="s">
        <v>3</v>
      </c>
      <c r="AC34" t="s">
        <v>4</v>
      </c>
      <c r="AD34" t="s">
        <v>4</v>
      </c>
      <c r="AE34" t="s">
        <v>0</v>
      </c>
      <c r="AF34" t="s">
        <v>1</v>
      </c>
    </row>
    <row r="35" spans="1:32" x14ac:dyDescent="0.35">
      <c r="A35" t="s">
        <v>9</v>
      </c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  <c r="N35" s="1">
        <v>13</v>
      </c>
      <c r="O35" s="1">
        <v>14</v>
      </c>
      <c r="P35" s="1">
        <v>15</v>
      </c>
      <c r="Q35" s="1">
        <v>16</v>
      </c>
      <c r="R35" s="1">
        <v>17</v>
      </c>
      <c r="S35" s="1">
        <v>18</v>
      </c>
      <c r="T35" s="1">
        <v>19</v>
      </c>
      <c r="U35" s="1">
        <v>20</v>
      </c>
      <c r="V35" s="1">
        <v>21</v>
      </c>
      <c r="W35" s="1">
        <v>22</v>
      </c>
      <c r="X35" s="1">
        <v>23</v>
      </c>
      <c r="Y35" s="1">
        <v>24</v>
      </c>
      <c r="Z35" s="1">
        <v>25</v>
      </c>
      <c r="AA35" s="1">
        <v>26</v>
      </c>
      <c r="AB35" s="1">
        <v>27</v>
      </c>
      <c r="AC35" s="1">
        <v>28</v>
      </c>
      <c r="AD35" s="1">
        <v>29</v>
      </c>
      <c r="AE35" s="1">
        <v>30</v>
      </c>
      <c r="AF35" s="1">
        <v>31</v>
      </c>
    </row>
    <row r="36" spans="1:32" x14ac:dyDescent="0.35">
      <c r="B36" s="17"/>
      <c r="C36" s="17"/>
      <c r="D36" s="17"/>
      <c r="E36" s="17"/>
      <c r="F36" s="17">
        <v>3</v>
      </c>
      <c r="G36" s="17"/>
      <c r="H36" s="17">
        <v>2</v>
      </c>
      <c r="I36" s="17"/>
      <c r="M36">
        <v>2</v>
      </c>
      <c r="U36">
        <v>2</v>
      </c>
      <c r="AB36">
        <v>2</v>
      </c>
    </row>
    <row r="37" spans="1:32" x14ac:dyDescent="0.35">
      <c r="A37" t="s">
        <v>12</v>
      </c>
      <c r="L37" s="20">
        <v>15</v>
      </c>
    </row>
    <row r="38" spans="1:32" x14ac:dyDescent="0.35">
      <c r="A38" t="s">
        <v>11</v>
      </c>
      <c r="L38" s="17">
        <f>+SUM(Z28:AF28)</f>
        <v>15</v>
      </c>
    </row>
    <row r="39" spans="1:32" x14ac:dyDescent="0.35">
      <c r="L39" s="17"/>
    </row>
    <row r="40" spans="1:32" x14ac:dyDescent="0.35">
      <c r="L40" s="17"/>
    </row>
    <row r="41" spans="1:32" x14ac:dyDescent="0.35">
      <c r="G41" t="s">
        <v>81</v>
      </c>
    </row>
    <row r="42" spans="1:32" x14ac:dyDescent="0.35">
      <c r="B42" t="s">
        <v>2</v>
      </c>
      <c r="C42" t="s">
        <v>1</v>
      </c>
      <c r="D42" t="s">
        <v>3</v>
      </c>
      <c r="E42" t="s">
        <v>4</v>
      </c>
      <c r="F42" t="s">
        <v>4</v>
      </c>
      <c r="G42" t="s">
        <v>0</v>
      </c>
      <c r="H42" t="s">
        <v>1</v>
      </c>
      <c r="I42" t="s">
        <v>2</v>
      </c>
      <c r="J42" t="s">
        <v>1</v>
      </c>
      <c r="K42" t="s">
        <v>3</v>
      </c>
      <c r="L42" t="s">
        <v>4</v>
      </c>
      <c r="M42" t="s">
        <v>4</v>
      </c>
      <c r="N42" t="s">
        <v>0</v>
      </c>
      <c r="O42" t="s">
        <v>1</v>
      </c>
      <c r="P42" t="s">
        <v>2</v>
      </c>
      <c r="Q42" t="s">
        <v>1</v>
      </c>
      <c r="R42" t="s">
        <v>3</v>
      </c>
      <c r="S42" t="s">
        <v>4</v>
      </c>
      <c r="T42" t="s">
        <v>4</v>
      </c>
      <c r="U42" t="s">
        <v>0</v>
      </c>
      <c r="V42" t="s">
        <v>1</v>
      </c>
      <c r="W42" t="s">
        <v>2</v>
      </c>
      <c r="X42" t="s">
        <v>1</v>
      </c>
      <c r="Y42" t="s">
        <v>3</v>
      </c>
      <c r="Z42" t="s">
        <v>4</v>
      </c>
      <c r="AA42" t="s">
        <v>4</v>
      </c>
      <c r="AB42" t="s">
        <v>0</v>
      </c>
      <c r="AC42" t="s">
        <v>1</v>
      </c>
      <c r="AD42" t="s">
        <v>2</v>
      </c>
      <c r="AE42" t="s">
        <v>1</v>
      </c>
      <c r="AF42" t="s">
        <v>3</v>
      </c>
    </row>
    <row r="43" spans="1:32" x14ac:dyDescent="0.35">
      <c r="A43" t="s">
        <v>10</v>
      </c>
      <c r="B43" s="1">
        <v>1</v>
      </c>
      <c r="C43" s="1">
        <v>2</v>
      </c>
      <c r="D43" s="1">
        <v>3</v>
      </c>
      <c r="E43" s="1">
        <v>4</v>
      </c>
      <c r="F43" s="1">
        <v>5</v>
      </c>
      <c r="G43" s="1">
        <v>6</v>
      </c>
      <c r="H43" s="1">
        <v>7</v>
      </c>
      <c r="I43" s="1">
        <v>8</v>
      </c>
      <c r="J43" s="1">
        <v>9</v>
      </c>
      <c r="K43" s="1">
        <v>10</v>
      </c>
      <c r="L43" s="1">
        <v>11</v>
      </c>
      <c r="M43" s="10">
        <v>12</v>
      </c>
      <c r="N43" s="1">
        <v>13</v>
      </c>
      <c r="O43" s="1">
        <v>14</v>
      </c>
      <c r="P43" s="1">
        <v>15</v>
      </c>
      <c r="Q43" s="1">
        <v>16</v>
      </c>
      <c r="R43" s="1">
        <v>17</v>
      </c>
      <c r="S43" s="1">
        <v>18</v>
      </c>
      <c r="T43" s="1">
        <v>19</v>
      </c>
      <c r="U43" s="1">
        <v>20</v>
      </c>
      <c r="V43" s="1">
        <v>21</v>
      </c>
      <c r="W43" s="1">
        <v>22</v>
      </c>
      <c r="X43" s="1">
        <v>23</v>
      </c>
      <c r="Y43" s="1">
        <v>24</v>
      </c>
      <c r="Z43" s="1">
        <v>25</v>
      </c>
      <c r="AA43" s="1">
        <v>26</v>
      </c>
      <c r="AB43" s="1">
        <v>27</v>
      </c>
      <c r="AC43" s="1">
        <v>28</v>
      </c>
      <c r="AD43" s="1">
        <v>29</v>
      </c>
      <c r="AE43" s="1">
        <v>30</v>
      </c>
      <c r="AF43" s="1">
        <v>31</v>
      </c>
    </row>
    <row r="44" spans="1:32" x14ac:dyDescent="0.35">
      <c r="D44">
        <v>2</v>
      </c>
      <c r="K44">
        <v>1</v>
      </c>
      <c r="M44" s="4">
        <v>4</v>
      </c>
    </row>
    <row r="45" spans="1:32" x14ac:dyDescent="0.35">
      <c r="A45" t="s">
        <v>12</v>
      </c>
      <c r="M45" s="4"/>
    </row>
    <row r="46" spans="1:32" x14ac:dyDescent="0.35">
      <c r="A46" t="s">
        <v>11</v>
      </c>
      <c r="M46" s="4"/>
    </row>
    <row r="47" spans="1:32" x14ac:dyDescent="0.35">
      <c r="M47" s="4" t="s">
        <v>82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7BC4-1967-4179-8150-9BEF8879578C}">
  <dimension ref="A1:J99"/>
  <sheetViews>
    <sheetView workbookViewId="0">
      <selection activeCell="F33" sqref="F33"/>
    </sheetView>
  </sheetViews>
  <sheetFormatPr defaultRowHeight="14.5" x14ac:dyDescent="0.35"/>
  <cols>
    <col min="1" max="1" width="6.36328125" customWidth="1"/>
    <col min="2" max="2" width="18.08984375" bestFit="1" customWidth="1"/>
    <col min="5" max="5" width="10.453125" bestFit="1" customWidth="1"/>
  </cols>
  <sheetData>
    <row r="1" spans="1:6" s="17" customFormat="1" x14ac:dyDescent="0.35"/>
    <row r="2" spans="1:6" x14ac:dyDescent="0.35">
      <c r="A2" s="15" t="s">
        <v>93</v>
      </c>
      <c r="B2" s="41" t="s">
        <v>94</v>
      </c>
      <c r="C2" s="41" t="s">
        <v>14</v>
      </c>
      <c r="D2" s="41" t="s">
        <v>15</v>
      </c>
      <c r="E2" s="41" t="s">
        <v>16</v>
      </c>
    </row>
    <row r="3" spans="1:6" x14ac:dyDescent="0.35">
      <c r="A3">
        <v>12</v>
      </c>
      <c r="B3" s="42" t="s">
        <v>18</v>
      </c>
      <c r="C3" s="43"/>
      <c r="D3" s="43"/>
      <c r="E3" s="44"/>
    </row>
    <row r="4" spans="1:6" x14ac:dyDescent="0.35">
      <c r="A4">
        <v>13</v>
      </c>
      <c r="B4" s="42" t="s">
        <v>19</v>
      </c>
      <c r="C4" s="45">
        <v>0.375</v>
      </c>
      <c r="D4" s="46">
        <v>0.95833333333333337</v>
      </c>
      <c r="E4" s="47">
        <v>2</v>
      </c>
      <c r="F4" s="48" t="s">
        <v>95</v>
      </c>
    </row>
    <row r="5" spans="1:6" x14ac:dyDescent="0.35">
      <c r="A5">
        <v>14</v>
      </c>
      <c r="B5" s="42" t="s">
        <v>20</v>
      </c>
      <c r="C5" s="49"/>
      <c r="D5" s="49"/>
      <c r="E5" s="47"/>
      <c r="F5" s="48"/>
    </row>
    <row r="6" spans="1:6" x14ac:dyDescent="0.35">
      <c r="A6">
        <v>15</v>
      </c>
      <c r="B6" s="42" t="s">
        <v>22</v>
      </c>
      <c r="C6" s="46">
        <v>0.54166666666666663</v>
      </c>
      <c r="D6" s="46">
        <v>0.125</v>
      </c>
      <c r="E6" s="47">
        <v>2</v>
      </c>
      <c r="F6" s="48" t="s">
        <v>96</v>
      </c>
    </row>
    <row r="7" spans="1:6" x14ac:dyDescent="0.35">
      <c r="A7">
        <v>16</v>
      </c>
      <c r="B7" s="42" t="s">
        <v>24</v>
      </c>
      <c r="C7" s="45">
        <v>0.375</v>
      </c>
      <c r="D7" s="46">
        <v>0.95833333333333337</v>
      </c>
      <c r="E7" s="47">
        <v>2</v>
      </c>
      <c r="F7" s="48" t="s">
        <v>97</v>
      </c>
    </row>
    <row r="8" spans="1:6" x14ac:dyDescent="0.35">
      <c r="A8">
        <v>17</v>
      </c>
      <c r="B8" s="42" t="s">
        <v>26</v>
      </c>
      <c r="C8" s="42"/>
      <c r="D8" s="42"/>
      <c r="E8" s="44"/>
    </row>
    <row r="9" spans="1:6" x14ac:dyDescent="0.35">
      <c r="A9">
        <v>18</v>
      </c>
      <c r="B9" s="42" t="s">
        <v>28</v>
      </c>
      <c r="C9" s="29"/>
      <c r="D9" s="29"/>
      <c r="E9" s="44"/>
    </row>
    <row r="10" spans="1:6" x14ac:dyDescent="0.35">
      <c r="B10" s="41"/>
      <c r="C10" s="50"/>
      <c r="D10" s="50"/>
      <c r="E10" s="51"/>
    </row>
    <row r="12" spans="1:6" x14ac:dyDescent="0.35">
      <c r="A12" s="15" t="s">
        <v>98</v>
      </c>
      <c r="B12" s="41" t="s">
        <v>99</v>
      </c>
      <c r="C12" s="41" t="s">
        <v>14</v>
      </c>
      <c r="D12" s="41" t="s">
        <v>15</v>
      </c>
      <c r="E12" s="41" t="s">
        <v>16</v>
      </c>
    </row>
    <row r="13" spans="1:6" x14ac:dyDescent="0.35">
      <c r="A13">
        <v>19</v>
      </c>
      <c r="B13" s="42" t="s">
        <v>18</v>
      </c>
      <c r="C13" s="43"/>
      <c r="D13" s="43"/>
      <c r="E13" s="44"/>
    </row>
    <row r="14" spans="1:6" x14ac:dyDescent="0.35">
      <c r="A14">
        <v>20</v>
      </c>
      <c r="B14" s="42" t="s">
        <v>19</v>
      </c>
      <c r="C14" s="52"/>
      <c r="D14" s="43"/>
      <c r="E14" s="44"/>
    </row>
    <row r="15" spans="1:6" x14ac:dyDescent="0.35">
      <c r="A15">
        <v>21</v>
      </c>
      <c r="B15" s="42" t="s">
        <v>20</v>
      </c>
      <c r="C15" s="53"/>
      <c r="D15" s="53"/>
      <c r="E15" s="44"/>
    </row>
    <row r="16" spans="1:6" x14ac:dyDescent="0.35">
      <c r="A16">
        <v>22</v>
      </c>
      <c r="B16" s="42" t="s">
        <v>22</v>
      </c>
      <c r="C16" s="43">
        <v>0.54166666666666663</v>
      </c>
      <c r="D16" s="43">
        <v>0.125</v>
      </c>
      <c r="E16" s="44">
        <v>2</v>
      </c>
      <c r="F16" t="s">
        <v>96</v>
      </c>
    </row>
    <row r="17" spans="1:6" x14ac:dyDescent="0.35">
      <c r="A17">
        <v>23</v>
      </c>
      <c r="B17" s="42" t="s">
        <v>24</v>
      </c>
      <c r="C17" s="54">
        <v>0.375</v>
      </c>
      <c r="D17" s="54">
        <v>0.45833333333333331</v>
      </c>
      <c r="E17" s="47">
        <v>2</v>
      </c>
      <c r="F17" s="48" t="s">
        <v>100</v>
      </c>
    </row>
    <row r="18" spans="1:6" x14ac:dyDescent="0.35">
      <c r="A18">
        <v>24</v>
      </c>
      <c r="B18" s="42" t="s">
        <v>26</v>
      </c>
      <c r="C18" s="42"/>
      <c r="D18" s="42"/>
      <c r="E18" s="44"/>
    </row>
    <row r="19" spans="1:6" x14ac:dyDescent="0.35">
      <c r="A19">
        <v>25</v>
      </c>
      <c r="B19" s="42" t="s">
        <v>28</v>
      </c>
      <c r="C19" s="29"/>
      <c r="D19" s="29"/>
      <c r="E19" s="44"/>
    </row>
    <row r="20" spans="1:6" x14ac:dyDescent="0.35">
      <c r="B20" s="41"/>
      <c r="C20" s="50"/>
      <c r="D20" s="50"/>
      <c r="E20" s="51"/>
    </row>
    <row r="21" spans="1:6" x14ac:dyDescent="0.35">
      <c r="A21" s="15" t="s">
        <v>101</v>
      </c>
      <c r="B21" s="41" t="s">
        <v>102</v>
      </c>
      <c r="C21" s="41" t="s">
        <v>14</v>
      </c>
      <c r="D21" s="41" t="s">
        <v>15</v>
      </c>
      <c r="E21" s="41" t="s">
        <v>16</v>
      </c>
      <c r="F21" s="41" t="s">
        <v>103</v>
      </c>
    </row>
    <row r="22" spans="1:6" x14ac:dyDescent="0.35">
      <c r="A22">
        <v>26</v>
      </c>
      <c r="B22" s="42" t="s">
        <v>18</v>
      </c>
      <c r="C22" s="46">
        <v>0.375</v>
      </c>
      <c r="D22" s="46">
        <v>0.41666666666666669</v>
      </c>
      <c r="E22" s="47">
        <v>1</v>
      </c>
      <c r="F22" s="60" t="s">
        <v>104</v>
      </c>
    </row>
    <row r="23" spans="1:6" x14ac:dyDescent="0.35">
      <c r="A23">
        <v>27</v>
      </c>
      <c r="B23" s="42" t="s">
        <v>19</v>
      </c>
      <c r="C23" s="52"/>
      <c r="D23" s="43"/>
      <c r="E23" s="44"/>
      <c r="F23" s="42"/>
    </row>
    <row r="24" spans="1:6" x14ac:dyDescent="0.35">
      <c r="A24">
        <v>28</v>
      </c>
      <c r="B24" s="42" t="s">
        <v>20</v>
      </c>
      <c r="C24" s="53"/>
      <c r="D24" s="53"/>
      <c r="E24" s="44"/>
      <c r="F24" s="42"/>
    </row>
    <row r="25" spans="1:6" x14ac:dyDescent="0.35">
      <c r="A25">
        <v>29</v>
      </c>
      <c r="B25" s="42" t="s">
        <v>22</v>
      </c>
      <c r="C25" s="43">
        <v>0.54166666666666663</v>
      </c>
      <c r="D25" s="43">
        <v>0.125</v>
      </c>
      <c r="E25" s="44">
        <v>2</v>
      </c>
      <c r="F25" s="42" t="s">
        <v>23</v>
      </c>
    </row>
    <row r="26" spans="1:6" x14ac:dyDescent="0.35">
      <c r="B26" s="42"/>
      <c r="C26" s="43">
        <v>0.625</v>
      </c>
      <c r="D26" s="43">
        <v>0.70833333333333337</v>
      </c>
      <c r="E26" s="44">
        <v>2</v>
      </c>
      <c r="F26" s="42" t="s">
        <v>105</v>
      </c>
    </row>
    <row r="27" spans="1:6" x14ac:dyDescent="0.35">
      <c r="A27">
        <v>30</v>
      </c>
      <c r="B27" s="42" t="s">
        <v>24</v>
      </c>
      <c r="C27" s="56"/>
      <c r="D27" s="56"/>
      <c r="E27" s="57"/>
      <c r="F27" s="55"/>
    </row>
    <row r="28" spans="1:6" x14ac:dyDescent="0.35">
      <c r="A28">
        <v>31</v>
      </c>
      <c r="B28" s="42" t="s">
        <v>26</v>
      </c>
      <c r="C28" s="42"/>
      <c r="D28" s="42"/>
      <c r="E28" s="44"/>
      <c r="F28" s="42"/>
    </row>
    <row r="29" spans="1:6" x14ac:dyDescent="0.35">
      <c r="A29">
        <v>1</v>
      </c>
      <c r="B29" s="42" t="s">
        <v>28</v>
      </c>
      <c r="C29" s="29"/>
      <c r="D29" s="29"/>
      <c r="E29" s="44"/>
      <c r="F29" s="42"/>
    </row>
    <row r="31" spans="1:6" s="58" customFormat="1" x14ac:dyDescent="0.35"/>
    <row r="32" spans="1:6" x14ac:dyDescent="0.35">
      <c r="A32" s="3" t="s">
        <v>107</v>
      </c>
      <c r="B32" s="41" t="s">
        <v>108</v>
      </c>
      <c r="C32" s="41" t="s">
        <v>14</v>
      </c>
      <c r="D32" s="41" t="s">
        <v>15</v>
      </c>
      <c r="E32" s="41" t="s">
        <v>16</v>
      </c>
      <c r="F32" s="41" t="s">
        <v>103</v>
      </c>
    </row>
    <row r="33" spans="1:6" x14ac:dyDescent="0.35">
      <c r="A33">
        <v>2</v>
      </c>
      <c r="B33" s="42" t="s">
        <v>18</v>
      </c>
      <c r="C33" s="43"/>
      <c r="D33" s="43"/>
      <c r="E33" s="44"/>
      <c r="F33" s="42" t="s">
        <v>109</v>
      </c>
    </row>
    <row r="34" spans="1:6" x14ac:dyDescent="0.35">
      <c r="A34">
        <v>3</v>
      </c>
      <c r="B34" s="42" t="s">
        <v>19</v>
      </c>
      <c r="C34" s="52"/>
      <c r="D34" s="43"/>
      <c r="E34" s="44"/>
      <c r="F34" s="42"/>
    </row>
    <row r="35" spans="1:6" x14ac:dyDescent="0.35">
      <c r="A35">
        <v>4</v>
      </c>
      <c r="B35" s="42" t="s">
        <v>20</v>
      </c>
      <c r="C35" s="53"/>
      <c r="D35" s="53"/>
      <c r="E35" s="44"/>
      <c r="F35" s="42"/>
    </row>
    <row r="36" spans="1:6" x14ac:dyDescent="0.35">
      <c r="A36">
        <v>5</v>
      </c>
      <c r="B36" s="42" t="s">
        <v>22</v>
      </c>
      <c r="C36" s="59">
        <v>0.5</v>
      </c>
      <c r="D36" s="59">
        <v>0.54166666666666663</v>
      </c>
      <c r="E36" s="44">
        <v>1</v>
      </c>
      <c r="F36" s="42" t="s">
        <v>110</v>
      </c>
    </row>
    <row r="37" spans="1:6" x14ac:dyDescent="0.35">
      <c r="B37" s="42"/>
      <c r="C37" s="43">
        <v>0.54166666666666663</v>
      </c>
      <c r="D37" s="43">
        <v>0.125</v>
      </c>
      <c r="E37" s="44">
        <v>2</v>
      </c>
      <c r="F37" s="42" t="s">
        <v>23</v>
      </c>
    </row>
    <row r="38" spans="1:6" x14ac:dyDescent="0.35">
      <c r="B38" s="42"/>
      <c r="C38" s="43">
        <v>0.75</v>
      </c>
      <c r="D38" s="43">
        <v>0.83333333333333337</v>
      </c>
      <c r="E38" s="44">
        <v>2</v>
      </c>
      <c r="F38" s="42" t="s">
        <v>111</v>
      </c>
    </row>
    <row r="39" spans="1:6" x14ac:dyDescent="0.35">
      <c r="A39">
        <v>6</v>
      </c>
      <c r="B39" s="42" t="s">
        <v>24</v>
      </c>
      <c r="C39" s="59">
        <v>0.70833333333333337</v>
      </c>
      <c r="D39" s="59">
        <v>0.75</v>
      </c>
      <c r="E39" s="44">
        <v>1</v>
      </c>
      <c r="F39" s="42" t="s">
        <v>112</v>
      </c>
    </row>
    <row r="40" spans="1:6" x14ac:dyDescent="0.35">
      <c r="A40">
        <v>7</v>
      </c>
      <c r="B40" s="42" t="s">
        <v>26</v>
      </c>
      <c r="C40" s="59">
        <v>0.41666666666666669</v>
      </c>
      <c r="D40" s="59">
        <v>0.47916666666666669</v>
      </c>
      <c r="E40" s="44">
        <v>1.5</v>
      </c>
      <c r="F40" s="42" t="s">
        <v>113</v>
      </c>
    </row>
    <row r="41" spans="1:6" x14ac:dyDescent="0.35">
      <c r="A41">
        <v>8</v>
      </c>
      <c r="B41" s="42" t="s">
        <v>28</v>
      </c>
      <c r="C41" s="29"/>
      <c r="D41" s="29"/>
      <c r="E41" s="44"/>
      <c r="F41" s="42"/>
    </row>
    <row r="44" spans="1:6" x14ac:dyDescent="0.35">
      <c r="A44" s="3" t="s">
        <v>114</v>
      </c>
      <c r="B44" s="41" t="s">
        <v>115</v>
      </c>
      <c r="C44" s="41" t="s">
        <v>14</v>
      </c>
      <c r="D44" s="41" t="s">
        <v>15</v>
      </c>
      <c r="E44" s="41" t="s">
        <v>16</v>
      </c>
      <c r="F44" s="41" t="s">
        <v>103</v>
      </c>
    </row>
    <row r="45" spans="1:6" x14ac:dyDescent="0.35">
      <c r="A45">
        <v>9</v>
      </c>
      <c r="B45" s="42" t="s">
        <v>18</v>
      </c>
      <c r="C45" s="43">
        <v>0.45833333333333331</v>
      </c>
      <c r="D45" s="43">
        <v>0.54166666666666663</v>
      </c>
      <c r="E45" s="44">
        <v>2</v>
      </c>
      <c r="F45" s="42" t="s">
        <v>116</v>
      </c>
    </row>
    <row r="46" spans="1:6" x14ac:dyDescent="0.35">
      <c r="B46" s="42"/>
      <c r="C46" s="43">
        <v>0.58333333333333337</v>
      </c>
      <c r="D46" s="43">
        <v>0.66666666666666663</v>
      </c>
      <c r="E46" s="44">
        <v>2</v>
      </c>
      <c r="F46" s="42" t="s">
        <v>117</v>
      </c>
    </row>
    <row r="47" spans="1:6" x14ac:dyDescent="0.35">
      <c r="A47">
        <v>10</v>
      </c>
      <c r="B47" s="42" t="s">
        <v>19</v>
      </c>
      <c r="C47" s="52"/>
      <c r="D47" s="43"/>
      <c r="E47" s="44"/>
      <c r="F47" s="42"/>
    </row>
    <row r="48" spans="1:6" x14ac:dyDescent="0.35">
      <c r="A48">
        <v>11</v>
      </c>
      <c r="B48" s="42" t="s">
        <v>20</v>
      </c>
      <c r="C48" s="53"/>
      <c r="D48" s="53"/>
      <c r="E48" s="44"/>
      <c r="F48" s="42"/>
    </row>
    <row r="49" spans="1:7" x14ac:dyDescent="0.35">
      <c r="A49">
        <v>12</v>
      </c>
      <c r="B49" s="42" t="s">
        <v>22</v>
      </c>
      <c r="C49" s="54">
        <v>4.1666666666666664E-2</v>
      </c>
      <c r="D49" s="54">
        <v>0.125</v>
      </c>
      <c r="E49" s="47">
        <v>2</v>
      </c>
      <c r="F49" s="60" t="s">
        <v>23</v>
      </c>
      <c r="G49" s="48"/>
    </row>
    <row r="50" spans="1:7" x14ac:dyDescent="0.35">
      <c r="B50" s="42"/>
      <c r="C50" s="54">
        <v>0.125</v>
      </c>
      <c r="D50" s="54">
        <v>0.16666666666666666</v>
      </c>
      <c r="E50" s="47">
        <v>1</v>
      </c>
      <c r="F50" s="60" t="s">
        <v>118</v>
      </c>
      <c r="G50" s="48"/>
    </row>
    <row r="51" spans="1:7" x14ac:dyDescent="0.35">
      <c r="A51">
        <v>13</v>
      </c>
      <c r="B51" s="42" t="s">
        <v>24</v>
      </c>
      <c r="C51" s="59"/>
      <c r="D51" s="59"/>
      <c r="E51" s="44"/>
      <c r="F51" s="42"/>
    </row>
    <row r="52" spans="1:7" x14ac:dyDescent="0.35">
      <c r="A52">
        <v>14</v>
      </c>
      <c r="B52" s="42" t="s">
        <v>26</v>
      </c>
      <c r="C52" s="42"/>
      <c r="D52" s="42"/>
      <c r="E52" s="44"/>
      <c r="F52" s="42"/>
    </row>
    <row r="53" spans="1:7" x14ac:dyDescent="0.35">
      <c r="A53">
        <v>15</v>
      </c>
      <c r="B53" s="42" t="s">
        <v>28</v>
      </c>
      <c r="C53" s="29"/>
      <c r="D53" s="29"/>
      <c r="E53" s="44"/>
      <c r="F53" s="42"/>
    </row>
    <row r="55" spans="1:7" x14ac:dyDescent="0.35">
      <c r="A55" s="3" t="s">
        <v>119</v>
      </c>
      <c r="B55" s="41" t="s">
        <v>120</v>
      </c>
      <c r="C55" s="41" t="s">
        <v>14</v>
      </c>
      <c r="D55" s="41" t="s">
        <v>15</v>
      </c>
      <c r="E55" s="41" t="s">
        <v>16</v>
      </c>
      <c r="F55" s="41" t="s">
        <v>103</v>
      </c>
    </row>
    <row r="56" spans="1:7" x14ac:dyDescent="0.35">
      <c r="A56">
        <v>16</v>
      </c>
      <c r="B56" s="28" t="s">
        <v>18</v>
      </c>
      <c r="C56" s="29" t="s">
        <v>121</v>
      </c>
      <c r="D56" s="29">
        <v>0.5</v>
      </c>
      <c r="E56" s="30">
        <v>0.5</v>
      </c>
      <c r="F56" s="28" t="s">
        <v>122</v>
      </c>
    </row>
    <row r="57" spans="1:7" x14ac:dyDescent="0.35">
      <c r="A57">
        <v>17</v>
      </c>
      <c r="B57" s="28" t="s">
        <v>19</v>
      </c>
      <c r="C57" s="32"/>
      <c r="D57" s="29"/>
      <c r="E57" s="30"/>
      <c r="F57" s="28"/>
    </row>
    <row r="58" spans="1:7" x14ac:dyDescent="0.35">
      <c r="A58">
        <v>18</v>
      </c>
      <c r="B58" s="28" t="s">
        <v>20</v>
      </c>
      <c r="C58" s="33"/>
      <c r="D58" s="33"/>
      <c r="E58" s="30"/>
      <c r="F58" s="28"/>
    </row>
    <row r="59" spans="1:7" x14ac:dyDescent="0.35">
      <c r="A59">
        <v>19</v>
      </c>
      <c r="B59" s="28" t="s">
        <v>22</v>
      </c>
      <c r="C59" s="33">
        <v>0.5</v>
      </c>
      <c r="D59" s="33">
        <v>4.1666666666666664E-2</v>
      </c>
      <c r="E59" s="17">
        <v>1</v>
      </c>
      <c r="F59" s="17" t="s">
        <v>118</v>
      </c>
    </row>
    <row r="60" spans="1:7" x14ac:dyDescent="0.35">
      <c r="B60" s="28"/>
      <c r="C60" s="62">
        <v>4.1666666666666664E-2</v>
      </c>
      <c r="D60" s="62">
        <v>0.125</v>
      </c>
      <c r="E60" s="61">
        <v>2</v>
      </c>
      <c r="F60" s="63" t="s">
        <v>23</v>
      </c>
    </row>
    <row r="61" spans="1:7" x14ac:dyDescent="0.35">
      <c r="B61" s="28"/>
      <c r="C61" s="62">
        <v>0.125</v>
      </c>
      <c r="D61" s="62">
        <v>0.14583333333333334</v>
      </c>
      <c r="E61" s="61"/>
      <c r="F61" s="63"/>
    </row>
    <row r="62" spans="1:7" x14ac:dyDescent="0.35">
      <c r="A62">
        <v>20</v>
      </c>
      <c r="B62" s="28" t="s">
        <v>24</v>
      </c>
      <c r="C62" s="17"/>
      <c r="D62" s="17"/>
      <c r="E62" s="17"/>
      <c r="F62" s="17"/>
    </row>
    <row r="63" spans="1:7" x14ac:dyDescent="0.35">
      <c r="A63">
        <v>21</v>
      </c>
      <c r="B63" s="28" t="s">
        <v>26</v>
      </c>
      <c r="C63" s="28"/>
      <c r="D63" s="28"/>
      <c r="E63" s="30"/>
      <c r="F63" s="28"/>
    </row>
    <row r="64" spans="1:7" x14ac:dyDescent="0.35">
      <c r="A64">
        <v>22</v>
      </c>
      <c r="B64" s="28" t="s">
        <v>28</v>
      </c>
      <c r="C64" s="29">
        <v>0.54166666666666663</v>
      </c>
      <c r="D64" s="29">
        <v>0.64583333333333337</v>
      </c>
      <c r="E64" s="30"/>
      <c r="F64" s="28"/>
    </row>
    <row r="65" spans="1:7" x14ac:dyDescent="0.35">
      <c r="B65" s="41" t="s">
        <v>106</v>
      </c>
      <c r="C65" s="50"/>
      <c r="D65" s="50"/>
      <c r="E65" s="51"/>
    </row>
    <row r="67" spans="1:7" x14ac:dyDescent="0.35">
      <c r="A67" s="3" t="s">
        <v>123</v>
      </c>
      <c r="B67" s="41" t="s">
        <v>124</v>
      </c>
      <c r="C67" s="41" t="s">
        <v>14</v>
      </c>
      <c r="D67" s="41" t="s">
        <v>15</v>
      </c>
      <c r="E67" s="41" t="s">
        <v>16</v>
      </c>
      <c r="F67" s="41" t="s">
        <v>103</v>
      </c>
    </row>
    <row r="68" spans="1:7" x14ac:dyDescent="0.35">
      <c r="A68">
        <v>23</v>
      </c>
      <c r="B68" s="42" t="s">
        <v>18</v>
      </c>
      <c r="C68" s="43" t="s">
        <v>121</v>
      </c>
      <c r="D68" s="43">
        <v>0.5</v>
      </c>
      <c r="E68" s="44">
        <v>0.5</v>
      </c>
      <c r="F68" s="42" t="s">
        <v>125</v>
      </c>
    </row>
    <row r="69" spans="1:7" x14ac:dyDescent="0.35">
      <c r="B69" s="42"/>
      <c r="C69" s="43" t="s">
        <v>126</v>
      </c>
      <c r="D69" s="43">
        <v>0.70833333333333337</v>
      </c>
      <c r="E69" s="44">
        <v>0.5</v>
      </c>
      <c r="F69" s="42" t="s">
        <v>127</v>
      </c>
    </row>
    <row r="70" spans="1:7" x14ac:dyDescent="0.35">
      <c r="A70">
        <v>24</v>
      </c>
      <c r="B70" s="42" t="s">
        <v>19</v>
      </c>
      <c r="C70" s="52">
        <v>0.625</v>
      </c>
      <c r="D70" s="43">
        <v>0.70833333333333337</v>
      </c>
      <c r="E70" s="30">
        <v>2</v>
      </c>
      <c r="F70" s="42" t="s">
        <v>128</v>
      </c>
    </row>
    <row r="71" spans="1:7" x14ac:dyDescent="0.35">
      <c r="A71">
        <v>25</v>
      </c>
      <c r="B71" s="42" t="s">
        <v>20</v>
      </c>
      <c r="C71" s="53"/>
      <c r="D71" s="53"/>
      <c r="E71" s="44"/>
      <c r="F71" s="42" t="s">
        <v>129</v>
      </c>
    </row>
    <row r="72" spans="1:7" x14ac:dyDescent="0.35">
      <c r="A72">
        <v>26</v>
      </c>
      <c r="B72" s="42" t="s">
        <v>22</v>
      </c>
      <c r="C72" s="54">
        <v>4.1666666666666664E-2</v>
      </c>
      <c r="D72" s="54">
        <v>0.125</v>
      </c>
      <c r="E72" s="47">
        <v>2</v>
      </c>
      <c r="F72" s="60" t="s">
        <v>23</v>
      </c>
      <c r="G72" t="s">
        <v>130</v>
      </c>
    </row>
    <row r="73" spans="1:7" x14ac:dyDescent="0.35">
      <c r="B73" s="42"/>
      <c r="C73" s="54">
        <v>0.125</v>
      </c>
      <c r="D73" s="54">
        <v>0.16666666666666666</v>
      </c>
      <c r="E73" s="61">
        <v>1</v>
      </c>
      <c r="F73" s="60" t="s">
        <v>131</v>
      </c>
      <c r="G73" t="s">
        <v>130</v>
      </c>
    </row>
    <row r="74" spans="1:7" x14ac:dyDescent="0.35">
      <c r="A74">
        <v>27</v>
      </c>
      <c r="B74" s="42" t="s">
        <v>24</v>
      </c>
      <c r="C74" s="59"/>
      <c r="D74" s="59"/>
      <c r="E74" s="44"/>
      <c r="F74" s="42"/>
    </row>
    <row r="75" spans="1:7" x14ac:dyDescent="0.35">
      <c r="A75">
        <v>28</v>
      </c>
      <c r="B75" s="42" t="s">
        <v>26</v>
      </c>
      <c r="C75" s="42"/>
      <c r="D75" s="42"/>
      <c r="E75" s="44"/>
      <c r="F75" s="42"/>
    </row>
    <row r="76" spans="1:7" x14ac:dyDescent="0.35">
      <c r="A76">
        <v>29</v>
      </c>
      <c r="B76" s="42" t="s">
        <v>28</v>
      </c>
      <c r="C76" s="29"/>
      <c r="D76" s="29"/>
      <c r="E76" s="44"/>
      <c r="F76" s="42"/>
    </row>
    <row r="79" spans="1:7" x14ac:dyDescent="0.35">
      <c r="A79" s="3" t="s">
        <v>38</v>
      </c>
      <c r="B79" s="41" t="s">
        <v>132</v>
      </c>
      <c r="C79" s="41" t="s">
        <v>14</v>
      </c>
      <c r="D79" s="41" t="s">
        <v>15</v>
      </c>
      <c r="E79" s="41" t="s">
        <v>16</v>
      </c>
      <c r="F79" s="41" t="s">
        <v>103</v>
      </c>
    </row>
    <row r="80" spans="1:7" x14ac:dyDescent="0.35">
      <c r="A80">
        <v>30</v>
      </c>
      <c r="B80" s="28" t="s">
        <v>18</v>
      </c>
      <c r="C80" s="29">
        <v>0.29166666666666669</v>
      </c>
      <c r="D80" s="29">
        <v>0.5</v>
      </c>
      <c r="E80" s="30"/>
      <c r="F80" s="42"/>
    </row>
    <row r="81" spans="1:10" x14ac:dyDescent="0.35">
      <c r="A81">
        <v>1</v>
      </c>
      <c r="B81" s="28" t="s">
        <v>19</v>
      </c>
      <c r="C81" s="32">
        <v>0.29166666666666669</v>
      </c>
      <c r="D81" s="29">
        <v>0.45833333333333331</v>
      </c>
      <c r="E81" s="30"/>
      <c r="F81" s="42"/>
      <c r="I81" s="53"/>
      <c r="J81" s="53"/>
    </row>
    <row r="82" spans="1:10" x14ac:dyDescent="0.35">
      <c r="A82">
        <v>2</v>
      </c>
      <c r="B82" s="28" t="s">
        <v>20</v>
      </c>
      <c r="C82" s="33">
        <v>0.45833333333333331</v>
      </c>
      <c r="D82" s="33">
        <v>8.3333333333333329E-2</v>
      </c>
      <c r="E82" s="30"/>
      <c r="F82" s="42"/>
    </row>
    <row r="83" spans="1:10" x14ac:dyDescent="0.35">
      <c r="B83" s="28"/>
      <c r="C83" s="33">
        <v>0.125</v>
      </c>
      <c r="D83" s="33">
        <v>0.20833333333333334</v>
      </c>
      <c r="E83" s="30">
        <v>2</v>
      </c>
      <c r="F83" s="42" t="s">
        <v>133</v>
      </c>
    </row>
    <row r="84" spans="1:10" x14ac:dyDescent="0.35">
      <c r="A84">
        <v>3</v>
      </c>
      <c r="B84" s="28" t="s">
        <v>22</v>
      </c>
      <c r="C84" s="62">
        <v>4.1666666666666664E-2</v>
      </c>
      <c r="D84" s="62">
        <v>0.125</v>
      </c>
      <c r="E84" s="61">
        <v>2</v>
      </c>
      <c r="F84" s="60" t="s">
        <v>23</v>
      </c>
      <c r="G84" s="48" t="s">
        <v>130</v>
      </c>
    </row>
    <row r="85" spans="1:10" x14ac:dyDescent="0.35">
      <c r="B85" s="28"/>
      <c r="C85" s="62">
        <v>0.33333333333333331</v>
      </c>
      <c r="D85" s="62">
        <v>0.375</v>
      </c>
      <c r="E85" s="61">
        <v>0.5</v>
      </c>
      <c r="F85" s="60" t="s">
        <v>134</v>
      </c>
      <c r="G85" s="48"/>
    </row>
    <row r="86" spans="1:10" x14ac:dyDescent="0.35">
      <c r="A86">
        <v>4</v>
      </c>
      <c r="B86" s="28" t="s">
        <v>24</v>
      </c>
      <c r="C86" s="64"/>
      <c r="D86" s="64"/>
      <c r="E86" s="30"/>
      <c r="F86" s="42"/>
    </row>
    <row r="87" spans="1:10" x14ac:dyDescent="0.35">
      <c r="A87">
        <v>5</v>
      </c>
      <c r="B87" s="28" t="s">
        <v>26</v>
      </c>
      <c r="C87" s="28"/>
      <c r="D87" s="28"/>
      <c r="E87" s="17"/>
      <c r="F87" s="42"/>
    </row>
    <row r="88" spans="1:10" x14ac:dyDescent="0.35">
      <c r="A88">
        <v>6</v>
      </c>
      <c r="B88" s="28" t="s">
        <v>28</v>
      </c>
      <c r="C88" s="29"/>
      <c r="D88" s="29"/>
      <c r="E88" s="30"/>
      <c r="F88" s="42"/>
    </row>
    <row r="91" spans="1:10" x14ac:dyDescent="0.35">
      <c r="A91" s="3" t="s">
        <v>135</v>
      </c>
      <c r="B91" s="41" t="s">
        <v>136</v>
      </c>
      <c r="C91" s="41" t="s">
        <v>14</v>
      </c>
      <c r="D91" s="41" t="s">
        <v>15</v>
      </c>
      <c r="E91" s="41" t="s">
        <v>16</v>
      </c>
      <c r="F91" s="41" t="s">
        <v>103</v>
      </c>
    </row>
    <row r="92" spans="1:10" x14ac:dyDescent="0.35">
      <c r="A92">
        <v>7</v>
      </c>
      <c r="B92" s="28" t="s">
        <v>18</v>
      </c>
      <c r="C92" s="29">
        <v>0.47916666666666669</v>
      </c>
      <c r="D92" s="29">
        <v>0.60416666666666663</v>
      </c>
      <c r="E92" s="30">
        <v>3</v>
      </c>
      <c r="F92" s="42" t="s">
        <v>137</v>
      </c>
    </row>
    <row r="93" spans="1:10" x14ac:dyDescent="0.35">
      <c r="A93">
        <v>8</v>
      </c>
      <c r="B93" s="28" t="s">
        <v>19</v>
      </c>
      <c r="C93" s="32">
        <v>0.33333333333333331</v>
      </c>
      <c r="D93" s="29">
        <v>8.3333333333333329E-2</v>
      </c>
      <c r="E93" s="30"/>
      <c r="F93" s="42"/>
    </row>
    <row r="94" spans="1:10" x14ac:dyDescent="0.35">
      <c r="A94">
        <v>9</v>
      </c>
      <c r="B94" s="28" t="s">
        <v>20</v>
      </c>
      <c r="C94" s="33"/>
      <c r="D94" s="33"/>
      <c r="E94" s="30"/>
      <c r="F94" s="42"/>
    </row>
    <row r="95" spans="1:10" x14ac:dyDescent="0.35">
      <c r="A95">
        <v>10</v>
      </c>
      <c r="B95" s="28" t="s">
        <v>22</v>
      </c>
      <c r="C95" s="62">
        <v>4.1666666666666664E-2</v>
      </c>
      <c r="D95" s="62">
        <v>0.125</v>
      </c>
      <c r="E95" s="61">
        <v>2</v>
      </c>
      <c r="F95" s="60" t="s">
        <v>23</v>
      </c>
    </row>
    <row r="96" spans="1:10" x14ac:dyDescent="0.35">
      <c r="B96" s="28"/>
      <c r="C96" s="62">
        <v>0.125</v>
      </c>
      <c r="D96" s="62">
        <v>0.16666666666666666</v>
      </c>
      <c r="E96" s="61">
        <v>1</v>
      </c>
      <c r="F96" s="60" t="s">
        <v>138</v>
      </c>
    </row>
    <row r="97" spans="1:6" x14ac:dyDescent="0.35">
      <c r="A97">
        <v>11</v>
      </c>
      <c r="B97" s="28" t="s">
        <v>24</v>
      </c>
      <c r="C97" s="64"/>
      <c r="D97" s="64"/>
      <c r="E97" s="30"/>
      <c r="F97" s="42"/>
    </row>
    <row r="98" spans="1:6" x14ac:dyDescent="0.35">
      <c r="A98">
        <v>12</v>
      </c>
      <c r="B98" s="28" t="s">
        <v>26</v>
      </c>
      <c r="C98" s="28"/>
      <c r="D98" s="28"/>
      <c r="E98" s="30"/>
      <c r="F98" s="42"/>
    </row>
    <row r="99" spans="1:6" x14ac:dyDescent="0.35">
      <c r="A99">
        <v>13</v>
      </c>
      <c r="B99" s="28" t="s">
        <v>28</v>
      </c>
      <c r="C99" s="29"/>
      <c r="D99" s="29"/>
      <c r="E99" s="30"/>
      <c r="F99" s="4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5F68-FE0D-42B2-905C-90CCB5C7FE89}">
  <dimension ref="A1:I142"/>
  <sheetViews>
    <sheetView topLeftCell="A61" workbookViewId="0">
      <selection activeCell="G25" sqref="G25"/>
    </sheetView>
  </sheetViews>
  <sheetFormatPr defaultRowHeight="14.5" x14ac:dyDescent="0.35"/>
  <cols>
    <col min="1" max="1" width="6.36328125" customWidth="1"/>
    <col min="2" max="2" width="18.08984375" bestFit="1" customWidth="1"/>
    <col min="5" max="5" width="10.453125" bestFit="1" customWidth="1"/>
    <col min="6" max="6" width="15.81640625" bestFit="1" customWidth="1"/>
  </cols>
  <sheetData>
    <row r="1" spans="1:9" x14ac:dyDescent="0.35">
      <c r="A1" s="2" t="s">
        <v>55</v>
      </c>
      <c r="B1" s="27" t="s">
        <v>13</v>
      </c>
      <c r="C1" s="27" t="s">
        <v>14</v>
      </c>
      <c r="D1" s="27" t="s">
        <v>15</v>
      </c>
      <c r="E1" s="27" t="s">
        <v>16</v>
      </c>
      <c r="F1" s="27" t="s">
        <v>17</v>
      </c>
      <c r="G1" s="17"/>
      <c r="H1" s="17"/>
      <c r="I1" s="17"/>
    </row>
    <row r="2" spans="1:9" x14ac:dyDescent="0.35">
      <c r="A2">
        <v>14</v>
      </c>
      <c r="B2" s="28" t="s">
        <v>18</v>
      </c>
      <c r="C2" s="29"/>
      <c r="D2" s="29"/>
      <c r="E2" s="30"/>
      <c r="F2" s="31"/>
      <c r="G2" s="28"/>
      <c r="H2" s="17"/>
      <c r="I2" s="17"/>
    </row>
    <row r="3" spans="1:9" x14ac:dyDescent="0.35">
      <c r="A3">
        <v>15</v>
      </c>
      <c r="B3" s="28" t="s">
        <v>19</v>
      </c>
      <c r="C3" s="32"/>
      <c r="D3" s="29"/>
      <c r="E3" s="30"/>
      <c r="F3" s="31"/>
      <c r="G3" s="28"/>
      <c r="H3" s="17"/>
      <c r="I3" s="17"/>
    </row>
    <row r="4" spans="1:9" x14ac:dyDescent="0.35">
      <c r="A4">
        <v>16</v>
      </c>
      <c r="B4" s="28" t="s">
        <v>20</v>
      </c>
      <c r="C4" s="33">
        <v>0.41666666666666669</v>
      </c>
      <c r="D4" s="33">
        <v>0.5625</v>
      </c>
      <c r="E4" s="30">
        <v>3.5</v>
      </c>
      <c r="F4" s="31"/>
      <c r="G4" s="17" t="s">
        <v>68</v>
      </c>
      <c r="H4" s="17"/>
      <c r="I4" s="17"/>
    </row>
    <row r="5" spans="1:9" x14ac:dyDescent="0.35">
      <c r="A5">
        <v>17</v>
      </c>
      <c r="B5" s="28" t="s">
        <v>22</v>
      </c>
      <c r="C5" s="33">
        <v>0.4375</v>
      </c>
      <c r="D5" s="33">
        <v>0.52083333333333337</v>
      </c>
      <c r="E5" s="17">
        <v>2</v>
      </c>
      <c r="F5" s="17"/>
      <c r="G5" s="17" t="s">
        <v>68</v>
      </c>
      <c r="H5" s="17"/>
      <c r="I5" s="17"/>
    </row>
    <row r="6" spans="1:9" x14ac:dyDescent="0.35">
      <c r="B6" s="28"/>
      <c r="C6" s="34">
        <v>4.1666666666666664E-2</v>
      </c>
      <c r="D6" s="34">
        <v>0.125</v>
      </c>
      <c r="E6" s="35">
        <v>2</v>
      </c>
      <c r="F6" s="36"/>
      <c r="G6" s="37" t="s">
        <v>23</v>
      </c>
      <c r="H6" s="17"/>
      <c r="I6" s="17"/>
    </row>
    <row r="7" spans="1:9" x14ac:dyDescent="0.35">
      <c r="A7">
        <v>18</v>
      </c>
      <c r="B7" s="28" t="s">
        <v>24</v>
      </c>
      <c r="C7" s="33">
        <v>0.41666666666666669</v>
      </c>
      <c r="D7" s="33">
        <v>0.58333333333333337</v>
      </c>
      <c r="E7" s="30">
        <v>4</v>
      </c>
      <c r="F7" s="31"/>
      <c r="G7" s="28" t="s">
        <v>25</v>
      </c>
      <c r="H7" s="17"/>
      <c r="I7" s="17"/>
    </row>
    <row r="8" spans="1:9" x14ac:dyDescent="0.35">
      <c r="A8">
        <v>19</v>
      </c>
      <c r="B8" s="28" t="s">
        <v>26</v>
      </c>
      <c r="C8" s="33">
        <v>0.4375</v>
      </c>
      <c r="D8" s="33">
        <v>0.5625</v>
      </c>
      <c r="E8" s="30">
        <v>3.5</v>
      </c>
      <c r="F8" s="31"/>
      <c r="G8" s="28" t="s">
        <v>27</v>
      </c>
      <c r="H8" s="17"/>
      <c r="I8" s="17"/>
    </row>
    <row r="9" spans="1:9" x14ac:dyDescent="0.35">
      <c r="A9">
        <v>20</v>
      </c>
      <c r="B9" s="28" t="s">
        <v>28</v>
      </c>
      <c r="C9" s="29"/>
      <c r="D9" s="29"/>
      <c r="E9" s="30"/>
      <c r="F9" s="31"/>
      <c r="G9" s="28"/>
      <c r="H9" s="17"/>
      <c r="I9" s="17"/>
    </row>
    <row r="10" spans="1:9" x14ac:dyDescent="0.35">
      <c r="B10" s="17"/>
      <c r="C10" s="17"/>
      <c r="D10" s="17"/>
      <c r="E10" s="17">
        <f>+SUM(E2:E9)</f>
        <v>15</v>
      </c>
      <c r="F10" s="17"/>
      <c r="G10" s="17"/>
      <c r="H10" s="17"/>
      <c r="I10" s="17"/>
    </row>
    <row r="11" spans="1:9" x14ac:dyDescent="0.35">
      <c r="B11" s="17"/>
      <c r="C11" s="17"/>
      <c r="D11" s="17"/>
      <c r="E11" s="17"/>
      <c r="F11" s="17"/>
      <c r="G11" s="17"/>
      <c r="H11" s="17"/>
      <c r="I11" s="17"/>
    </row>
    <row r="12" spans="1:9" x14ac:dyDescent="0.35">
      <c r="A12" s="2" t="s">
        <v>56</v>
      </c>
      <c r="B12" s="27" t="s">
        <v>29</v>
      </c>
      <c r="C12" s="27" t="s">
        <v>14</v>
      </c>
      <c r="D12" s="27" t="s">
        <v>15</v>
      </c>
      <c r="E12" s="27" t="s">
        <v>16</v>
      </c>
      <c r="F12" s="27" t="s">
        <v>17</v>
      </c>
      <c r="G12" s="17"/>
      <c r="H12" s="17"/>
      <c r="I12" s="17"/>
    </row>
    <row r="13" spans="1:9" x14ac:dyDescent="0.35">
      <c r="A13">
        <v>21</v>
      </c>
      <c r="B13" s="28" t="s">
        <v>18</v>
      </c>
      <c r="C13" s="29"/>
      <c r="D13" s="29"/>
      <c r="E13" s="30"/>
      <c r="F13" s="31"/>
      <c r="G13" s="28"/>
      <c r="H13" s="17"/>
      <c r="I13" s="17"/>
    </row>
    <row r="14" spans="1:9" x14ac:dyDescent="0.35">
      <c r="A14">
        <v>22</v>
      </c>
      <c r="B14" s="28" t="s">
        <v>19</v>
      </c>
      <c r="C14" s="32"/>
      <c r="D14" s="29"/>
      <c r="E14" s="30"/>
      <c r="F14" s="31"/>
      <c r="G14" s="28"/>
      <c r="H14" s="17"/>
      <c r="I14" s="17"/>
    </row>
    <row r="15" spans="1:9" x14ac:dyDescent="0.35">
      <c r="A15">
        <v>23</v>
      </c>
      <c r="B15" s="28" t="s">
        <v>20</v>
      </c>
      <c r="C15" s="33">
        <v>0.41666666666666669</v>
      </c>
      <c r="D15" s="33">
        <v>0.5625</v>
      </c>
      <c r="E15" s="30">
        <v>3.5</v>
      </c>
      <c r="F15" s="31"/>
      <c r="G15" s="17" t="s">
        <v>21</v>
      </c>
      <c r="H15" s="17"/>
      <c r="I15" s="17"/>
    </row>
    <row r="16" spans="1:9" x14ac:dyDescent="0.35">
      <c r="A16">
        <v>24</v>
      </c>
      <c r="B16" s="28" t="s">
        <v>22</v>
      </c>
      <c r="C16" s="33">
        <v>0.4375</v>
      </c>
      <c r="D16" s="33">
        <v>0.52083333333333337</v>
      </c>
      <c r="E16" s="17">
        <v>2</v>
      </c>
      <c r="F16" s="17"/>
      <c r="G16" s="17" t="s">
        <v>21</v>
      </c>
      <c r="H16" s="17"/>
      <c r="I16" s="17"/>
    </row>
    <row r="17" spans="1:9" x14ac:dyDescent="0.35">
      <c r="B17" s="28"/>
      <c r="C17" s="34">
        <v>4.1666666666666664E-2</v>
      </c>
      <c r="D17" s="34">
        <v>0.125</v>
      </c>
      <c r="E17" s="35">
        <v>2</v>
      </c>
      <c r="F17" s="36"/>
      <c r="G17" s="37" t="s">
        <v>23</v>
      </c>
      <c r="H17" s="17"/>
      <c r="I17" s="17"/>
    </row>
    <row r="18" spans="1:9" x14ac:dyDescent="0.35">
      <c r="A18">
        <v>25</v>
      </c>
      <c r="B18" s="28" t="s">
        <v>24</v>
      </c>
      <c r="C18" s="33">
        <v>0.41666666666666669</v>
      </c>
      <c r="D18" s="33">
        <v>0.58333333333333337</v>
      </c>
      <c r="E18" s="30">
        <v>4</v>
      </c>
      <c r="F18" s="31"/>
      <c r="G18" s="28" t="s">
        <v>30</v>
      </c>
      <c r="H18" s="17"/>
      <c r="I18" s="17"/>
    </row>
    <row r="19" spans="1:9" x14ac:dyDescent="0.35">
      <c r="A19">
        <v>26</v>
      </c>
      <c r="B19" s="28" t="s">
        <v>26</v>
      </c>
      <c r="C19" s="33">
        <v>0.4375</v>
      </c>
      <c r="D19" s="33">
        <v>0.5625</v>
      </c>
      <c r="E19" s="30">
        <v>3.5</v>
      </c>
      <c r="F19" s="31"/>
      <c r="G19" s="28" t="s">
        <v>31</v>
      </c>
      <c r="H19" s="17"/>
      <c r="I19" s="17"/>
    </row>
    <row r="20" spans="1:9" x14ac:dyDescent="0.35">
      <c r="A20">
        <v>27</v>
      </c>
      <c r="B20" s="28" t="s">
        <v>28</v>
      </c>
      <c r="C20" s="29"/>
      <c r="D20" s="29"/>
      <c r="E20" s="30"/>
      <c r="F20" s="31"/>
      <c r="G20" s="28"/>
      <c r="H20" s="17"/>
      <c r="I20" s="17"/>
    </row>
    <row r="21" spans="1:9" x14ac:dyDescent="0.35">
      <c r="B21" s="17"/>
      <c r="C21" s="17"/>
      <c r="D21" s="17"/>
      <c r="E21" s="17">
        <f>+SUM(E15:E19)</f>
        <v>15</v>
      </c>
      <c r="F21" s="17"/>
      <c r="G21" s="17"/>
      <c r="H21" s="17"/>
      <c r="I21" s="17"/>
    </row>
    <row r="22" spans="1:9" x14ac:dyDescent="0.35">
      <c r="B22" s="17"/>
      <c r="C22" s="17"/>
      <c r="D22" s="17"/>
      <c r="E22" s="17"/>
      <c r="F22" s="17"/>
      <c r="G22" s="17"/>
      <c r="H22" s="17"/>
      <c r="I22" s="17"/>
    </row>
    <row r="23" spans="1:9" x14ac:dyDescent="0.35">
      <c r="A23" s="2" t="s">
        <v>57</v>
      </c>
      <c r="B23" s="27" t="s">
        <v>32</v>
      </c>
      <c r="C23" s="27" t="s">
        <v>14</v>
      </c>
      <c r="D23" s="27" t="s">
        <v>15</v>
      </c>
      <c r="E23" s="27" t="s">
        <v>16</v>
      </c>
      <c r="F23" s="27" t="s">
        <v>17</v>
      </c>
      <c r="G23" s="17"/>
      <c r="H23" s="17"/>
      <c r="I23" s="17"/>
    </row>
    <row r="24" spans="1:9" x14ac:dyDescent="0.35">
      <c r="A24">
        <v>28</v>
      </c>
      <c r="B24" s="28" t="s">
        <v>18</v>
      </c>
      <c r="C24" s="29"/>
      <c r="D24" s="29"/>
      <c r="E24" s="30"/>
      <c r="F24" s="31"/>
      <c r="G24" s="28"/>
      <c r="H24" s="17"/>
      <c r="I24" s="17"/>
    </row>
    <row r="25" spans="1:9" x14ac:dyDescent="0.35">
      <c r="A25">
        <v>29</v>
      </c>
      <c r="B25" s="28" t="s">
        <v>19</v>
      </c>
      <c r="C25" s="32"/>
      <c r="D25" s="29"/>
      <c r="E25" s="30"/>
      <c r="F25" s="31"/>
      <c r="G25" s="28"/>
      <c r="H25" s="17"/>
      <c r="I25" s="17"/>
    </row>
    <row r="26" spans="1:9" x14ac:dyDescent="0.35">
      <c r="A26">
        <v>30</v>
      </c>
      <c r="B26" s="28" t="s">
        <v>20</v>
      </c>
      <c r="C26" s="33">
        <v>0.41666666666666669</v>
      </c>
      <c r="D26" s="33">
        <v>0.5625</v>
      </c>
      <c r="E26" s="30">
        <v>3.5</v>
      </c>
      <c r="F26" s="31"/>
      <c r="G26" s="17" t="s">
        <v>21</v>
      </c>
      <c r="H26" s="17"/>
      <c r="I26" s="17"/>
    </row>
    <row r="27" spans="1:9" x14ac:dyDescent="0.35">
      <c r="A27">
        <v>31</v>
      </c>
      <c r="B27" s="28" t="s">
        <v>22</v>
      </c>
      <c r="C27" s="33">
        <v>0.4375</v>
      </c>
      <c r="D27" s="33">
        <v>0.52083333333333337</v>
      </c>
      <c r="E27" s="17">
        <v>2</v>
      </c>
      <c r="F27" s="17"/>
      <c r="G27" s="17" t="s">
        <v>21</v>
      </c>
      <c r="H27" s="17"/>
      <c r="I27" s="17"/>
    </row>
    <row r="28" spans="1:9" x14ac:dyDescent="0.35">
      <c r="B28" s="28"/>
      <c r="C28" s="34">
        <v>4.1666666666666664E-2</v>
      </c>
      <c r="D28" s="34">
        <v>0.125</v>
      </c>
      <c r="E28" s="35">
        <v>2</v>
      </c>
      <c r="F28" s="36"/>
      <c r="G28" s="37" t="s">
        <v>23</v>
      </c>
      <c r="H28" s="17"/>
      <c r="I28" s="17"/>
    </row>
    <row r="29" spans="1:9" x14ac:dyDescent="0.35">
      <c r="A29">
        <v>1</v>
      </c>
      <c r="B29" s="28" t="s">
        <v>24</v>
      </c>
      <c r="C29" s="33">
        <v>0.41666666666666669</v>
      </c>
      <c r="D29" s="33">
        <v>0.58333333333333337</v>
      </c>
      <c r="E29" s="30">
        <v>4</v>
      </c>
      <c r="F29" s="31"/>
      <c r="G29" s="28" t="s">
        <v>33</v>
      </c>
      <c r="H29" s="17"/>
      <c r="I29" s="17"/>
    </row>
    <row r="30" spans="1:9" x14ac:dyDescent="0.35">
      <c r="A30">
        <v>2</v>
      </c>
      <c r="B30" s="28" t="s">
        <v>26</v>
      </c>
      <c r="C30" s="33">
        <v>0.4375</v>
      </c>
      <c r="D30" s="33">
        <v>0.5625</v>
      </c>
      <c r="E30" s="30">
        <v>3.5</v>
      </c>
      <c r="F30" s="31"/>
      <c r="G30" s="28" t="s">
        <v>27</v>
      </c>
      <c r="H30" s="17"/>
      <c r="I30" s="17"/>
    </row>
    <row r="31" spans="1:9" x14ac:dyDescent="0.35">
      <c r="A31">
        <v>3</v>
      </c>
      <c r="B31" s="28" t="s">
        <v>28</v>
      </c>
      <c r="C31" s="29"/>
      <c r="D31" s="29"/>
      <c r="E31" s="30"/>
      <c r="F31" s="31"/>
      <c r="G31" s="28"/>
      <c r="H31" s="17"/>
      <c r="I31" s="17"/>
    </row>
    <row r="32" spans="1:9" x14ac:dyDescent="0.35">
      <c r="B32" s="17"/>
      <c r="C32" s="17"/>
      <c r="D32" s="17"/>
      <c r="E32" s="17">
        <f>+SUM(E26:E30)</f>
        <v>15</v>
      </c>
      <c r="F32" s="17"/>
      <c r="G32" s="17"/>
      <c r="H32" s="17"/>
      <c r="I32" s="17"/>
    </row>
    <row r="33" spans="1:9" x14ac:dyDescent="0.35">
      <c r="B33" s="17"/>
      <c r="C33" s="17"/>
      <c r="D33" s="17"/>
      <c r="E33" s="17"/>
      <c r="F33" s="17"/>
      <c r="G33" s="17"/>
      <c r="H33" s="17"/>
      <c r="I33" s="17"/>
    </row>
    <row r="34" spans="1:9" x14ac:dyDescent="0.35">
      <c r="A34" s="2" t="s">
        <v>58</v>
      </c>
      <c r="B34" s="27" t="s">
        <v>34</v>
      </c>
      <c r="C34" s="27" t="s">
        <v>14</v>
      </c>
      <c r="D34" s="27" t="s">
        <v>15</v>
      </c>
      <c r="E34" s="27" t="s">
        <v>16</v>
      </c>
      <c r="F34" s="27" t="s">
        <v>17</v>
      </c>
      <c r="G34" s="17"/>
      <c r="H34" s="17"/>
      <c r="I34" s="17"/>
    </row>
    <row r="35" spans="1:9" x14ac:dyDescent="0.35">
      <c r="A35">
        <v>4</v>
      </c>
      <c r="B35" s="28" t="s">
        <v>18</v>
      </c>
      <c r="C35" s="29"/>
      <c r="D35" s="29"/>
      <c r="E35" s="30"/>
      <c r="F35" s="31"/>
      <c r="G35" s="28"/>
      <c r="H35" s="17"/>
      <c r="I35" s="17"/>
    </row>
    <row r="36" spans="1:9" x14ac:dyDescent="0.35">
      <c r="A36">
        <v>5</v>
      </c>
      <c r="B36" s="28" t="s">
        <v>19</v>
      </c>
      <c r="C36" s="32"/>
      <c r="D36" s="29"/>
      <c r="E36" s="30"/>
      <c r="F36" s="31"/>
      <c r="G36" s="28"/>
      <c r="H36" s="17"/>
      <c r="I36" s="17"/>
    </row>
    <row r="37" spans="1:9" x14ac:dyDescent="0.35">
      <c r="A37">
        <v>6</v>
      </c>
      <c r="B37" s="28" t="s">
        <v>20</v>
      </c>
      <c r="C37" s="33">
        <v>0.41666666666666669</v>
      </c>
      <c r="D37" s="33">
        <v>0.5625</v>
      </c>
      <c r="E37" s="30">
        <v>3.5</v>
      </c>
      <c r="F37" s="31"/>
      <c r="G37" s="17" t="s">
        <v>21</v>
      </c>
      <c r="H37" s="17"/>
      <c r="I37" s="17"/>
    </row>
    <row r="38" spans="1:9" x14ac:dyDescent="0.35">
      <c r="A38">
        <v>7</v>
      </c>
      <c r="B38" s="28" t="s">
        <v>22</v>
      </c>
      <c r="C38" s="33">
        <v>0.4375</v>
      </c>
      <c r="D38" s="33">
        <v>0.52083333333333337</v>
      </c>
      <c r="E38" s="17">
        <v>2</v>
      </c>
      <c r="F38" s="17"/>
      <c r="G38" s="17" t="s">
        <v>35</v>
      </c>
      <c r="H38" s="17"/>
      <c r="I38" s="17"/>
    </row>
    <row r="39" spans="1:9" x14ac:dyDescent="0.35">
      <c r="B39" s="28"/>
      <c r="C39" s="34">
        <v>4.1666666666666664E-2</v>
      </c>
      <c r="D39" s="34">
        <v>0.125</v>
      </c>
      <c r="E39" s="35">
        <v>2</v>
      </c>
      <c r="F39" s="36"/>
      <c r="G39" s="37" t="s">
        <v>23</v>
      </c>
      <c r="H39" s="17"/>
      <c r="I39" s="17"/>
    </row>
    <row r="40" spans="1:9" x14ac:dyDescent="0.35">
      <c r="A40">
        <v>8</v>
      </c>
      <c r="B40" s="28" t="s">
        <v>24</v>
      </c>
      <c r="C40" s="33">
        <v>0.41666666666666669</v>
      </c>
      <c r="D40" s="33">
        <v>0.58333333333333337</v>
      </c>
      <c r="E40" s="30">
        <v>4</v>
      </c>
      <c r="F40" s="31"/>
      <c r="G40" s="28" t="s">
        <v>36</v>
      </c>
      <c r="H40" s="17"/>
      <c r="I40" s="17"/>
    </row>
    <row r="41" spans="1:9" x14ac:dyDescent="0.35">
      <c r="A41">
        <v>9</v>
      </c>
      <c r="B41" s="28" t="s">
        <v>26</v>
      </c>
      <c r="C41" s="33">
        <v>0.4375</v>
      </c>
      <c r="D41" s="33">
        <v>0.5625</v>
      </c>
      <c r="E41" s="30">
        <v>3.5</v>
      </c>
      <c r="F41" s="31"/>
      <c r="G41" s="28" t="s">
        <v>37</v>
      </c>
      <c r="H41" s="17"/>
      <c r="I41" s="17"/>
    </row>
    <row r="42" spans="1:9" x14ac:dyDescent="0.35">
      <c r="A42">
        <v>10</v>
      </c>
      <c r="B42" s="28" t="s">
        <v>28</v>
      </c>
      <c r="C42" s="29"/>
      <c r="D42" s="29"/>
      <c r="E42" s="30"/>
      <c r="F42" s="31"/>
      <c r="G42" s="28"/>
      <c r="H42" s="17"/>
      <c r="I42" s="17"/>
    </row>
    <row r="43" spans="1:9" x14ac:dyDescent="0.35">
      <c r="B43" s="28"/>
      <c r="C43" s="29"/>
      <c r="D43" s="29"/>
      <c r="E43" s="17">
        <f>+SUM(E37:E41)</f>
        <v>15</v>
      </c>
      <c r="F43" s="31"/>
      <c r="G43" s="28"/>
      <c r="H43" s="17"/>
      <c r="I43" s="17"/>
    </row>
    <row r="44" spans="1:9" x14ac:dyDescent="0.35">
      <c r="B44" s="17"/>
      <c r="C44" s="17"/>
      <c r="D44" s="17"/>
      <c r="E44" s="17"/>
      <c r="F44" s="17"/>
      <c r="G44" s="17"/>
      <c r="H44" s="17"/>
      <c r="I44" s="17"/>
    </row>
    <row r="45" spans="1:9" x14ac:dyDescent="0.35">
      <c r="A45" s="2" t="s">
        <v>59</v>
      </c>
      <c r="B45" s="27" t="s">
        <v>39</v>
      </c>
      <c r="C45" s="27" t="s">
        <v>14</v>
      </c>
      <c r="D45" s="27" t="s">
        <v>15</v>
      </c>
      <c r="E45" s="27" t="s">
        <v>16</v>
      </c>
      <c r="F45" s="27" t="s">
        <v>17</v>
      </c>
      <c r="G45" s="17"/>
      <c r="H45" s="17"/>
      <c r="I45" s="17"/>
    </row>
    <row r="46" spans="1:9" x14ac:dyDescent="0.35">
      <c r="A46">
        <v>11</v>
      </c>
      <c r="B46" s="28" t="s">
        <v>18</v>
      </c>
      <c r="C46" s="29"/>
      <c r="D46" s="29"/>
      <c r="E46" s="30"/>
      <c r="F46" s="31"/>
      <c r="G46" s="28"/>
      <c r="H46" s="17"/>
      <c r="I46" s="17"/>
    </row>
    <row r="47" spans="1:9" x14ac:dyDescent="0.35">
      <c r="A47">
        <v>12</v>
      </c>
      <c r="B47" s="28" t="s">
        <v>19</v>
      </c>
      <c r="C47" s="32"/>
      <c r="D47" s="29"/>
      <c r="E47" s="30"/>
      <c r="F47" s="31"/>
      <c r="G47" s="28"/>
      <c r="H47" s="17"/>
      <c r="I47" s="17"/>
    </row>
    <row r="48" spans="1:9" x14ac:dyDescent="0.35">
      <c r="A48">
        <v>13</v>
      </c>
      <c r="B48" s="28" t="s">
        <v>20</v>
      </c>
      <c r="C48" s="33">
        <v>0.41666666666666669</v>
      </c>
      <c r="D48" s="33">
        <v>0.5625</v>
      </c>
      <c r="E48" s="30">
        <v>3.5</v>
      </c>
      <c r="F48" s="31"/>
      <c r="G48" s="17" t="s">
        <v>21</v>
      </c>
      <c r="H48" s="17"/>
      <c r="I48" s="17"/>
    </row>
    <row r="49" spans="1:9" x14ac:dyDescent="0.35">
      <c r="A49">
        <v>14</v>
      </c>
      <c r="B49" s="28" t="s">
        <v>22</v>
      </c>
      <c r="C49" s="33">
        <v>0.4375</v>
      </c>
      <c r="D49" s="33">
        <v>0.52083333333333337</v>
      </c>
      <c r="E49" s="17">
        <v>2</v>
      </c>
      <c r="F49" s="17"/>
      <c r="G49" s="17" t="s">
        <v>21</v>
      </c>
      <c r="H49" s="17"/>
      <c r="I49" s="17"/>
    </row>
    <row r="50" spans="1:9" x14ac:dyDescent="0.35">
      <c r="B50" s="28"/>
      <c r="C50" s="34">
        <v>4.1666666666666664E-2</v>
      </c>
      <c r="D50" s="34">
        <v>0.125</v>
      </c>
      <c r="E50" s="35">
        <v>2</v>
      </c>
      <c r="F50" s="36"/>
      <c r="G50" s="37" t="s">
        <v>23</v>
      </c>
      <c r="H50" s="17"/>
      <c r="I50" s="17"/>
    </row>
    <row r="51" spans="1:9" x14ac:dyDescent="0.35">
      <c r="A51">
        <v>15</v>
      </c>
      <c r="B51" s="28" t="s">
        <v>24</v>
      </c>
      <c r="C51" s="33">
        <v>0.41666666666666669</v>
      </c>
      <c r="D51" s="33">
        <v>0.58333333333333337</v>
      </c>
      <c r="E51" s="30">
        <v>4</v>
      </c>
      <c r="F51" s="31"/>
      <c r="G51" s="28" t="s">
        <v>40</v>
      </c>
      <c r="H51" s="17"/>
      <c r="I51" s="17"/>
    </row>
    <row r="52" spans="1:9" x14ac:dyDescent="0.35">
      <c r="A52">
        <v>16</v>
      </c>
      <c r="B52" s="28" t="s">
        <v>26</v>
      </c>
      <c r="C52" s="33">
        <v>0.4375</v>
      </c>
      <c r="D52" s="33">
        <v>0.5625</v>
      </c>
      <c r="E52" s="30">
        <v>3.5</v>
      </c>
      <c r="F52" s="31"/>
      <c r="G52" s="28" t="s">
        <v>41</v>
      </c>
      <c r="H52" s="17"/>
      <c r="I52" s="17"/>
    </row>
    <row r="53" spans="1:9" x14ac:dyDescent="0.35">
      <c r="A53">
        <v>17</v>
      </c>
      <c r="B53" s="28" t="s">
        <v>28</v>
      </c>
      <c r="C53" s="29"/>
      <c r="D53" s="29"/>
      <c r="E53" s="30"/>
      <c r="F53" s="31"/>
      <c r="G53" s="28"/>
      <c r="H53" s="17"/>
      <c r="I53" s="17"/>
    </row>
    <row r="54" spans="1:9" x14ac:dyDescent="0.35">
      <c r="B54" s="28"/>
      <c r="C54" s="29"/>
      <c r="D54" s="29"/>
      <c r="E54" s="17">
        <f>+SUM(E48:E52)</f>
        <v>15</v>
      </c>
      <c r="F54" s="31"/>
      <c r="G54" s="28"/>
      <c r="H54" s="17"/>
      <c r="I54" s="17"/>
    </row>
    <row r="55" spans="1:9" x14ac:dyDescent="0.35">
      <c r="B55" s="17"/>
      <c r="C55" s="17"/>
      <c r="D55" s="17"/>
      <c r="E55" s="17"/>
      <c r="F55" s="17"/>
      <c r="G55" s="17"/>
      <c r="H55" s="17"/>
      <c r="I55" s="17"/>
    </row>
    <row r="56" spans="1:9" x14ac:dyDescent="0.35">
      <c r="A56" s="2" t="s">
        <v>42</v>
      </c>
      <c r="B56" s="27" t="s">
        <v>43</v>
      </c>
      <c r="C56" s="27" t="s">
        <v>14</v>
      </c>
      <c r="D56" s="27" t="s">
        <v>15</v>
      </c>
      <c r="E56" s="27" t="s">
        <v>16</v>
      </c>
      <c r="F56" s="27" t="s">
        <v>17</v>
      </c>
      <c r="G56" s="17"/>
      <c r="H56" s="17"/>
      <c r="I56" s="17"/>
    </row>
    <row r="57" spans="1:9" x14ac:dyDescent="0.35">
      <c r="A57">
        <v>18</v>
      </c>
      <c r="B57" s="28" t="s">
        <v>18</v>
      </c>
      <c r="C57" s="29"/>
      <c r="D57" s="29"/>
      <c r="E57" s="30"/>
      <c r="F57" s="31"/>
      <c r="G57" s="28"/>
      <c r="H57" s="17"/>
      <c r="I57" s="17"/>
    </row>
    <row r="58" spans="1:9" x14ac:dyDescent="0.35">
      <c r="A58">
        <v>19</v>
      </c>
      <c r="B58" s="28" t="s">
        <v>19</v>
      </c>
      <c r="C58" s="32"/>
      <c r="D58" s="29"/>
      <c r="E58" s="30"/>
      <c r="F58" s="31"/>
      <c r="G58" s="28"/>
      <c r="H58" s="17"/>
      <c r="I58" s="17"/>
    </row>
    <row r="59" spans="1:9" x14ac:dyDescent="0.35">
      <c r="A59">
        <v>20</v>
      </c>
      <c r="B59" s="28" t="s">
        <v>20</v>
      </c>
      <c r="C59" s="33">
        <v>0.41666666666666669</v>
      </c>
      <c r="D59" s="33">
        <v>0.5625</v>
      </c>
      <c r="E59" s="30">
        <v>3.5</v>
      </c>
      <c r="F59" s="31"/>
      <c r="G59" s="17" t="s">
        <v>21</v>
      </c>
      <c r="H59" s="17"/>
      <c r="I59" s="17"/>
    </row>
    <row r="60" spans="1:9" x14ac:dyDescent="0.35">
      <c r="A60">
        <v>21</v>
      </c>
      <c r="B60" s="28" t="s">
        <v>22</v>
      </c>
      <c r="C60" s="33">
        <v>0.4375</v>
      </c>
      <c r="D60" s="33">
        <v>0.52083333333333337</v>
      </c>
      <c r="E60" s="17">
        <v>2</v>
      </c>
      <c r="F60" s="17"/>
      <c r="G60" s="17" t="s">
        <v>21</v>
      </c>
      <c r="H60" s="17"/>
      <c r="I60" s="17"/>
    </row>
    <row r="61" spans="1:9" x14ac:dyDescent="0.35">
      <c r="B61" s="28"/>
      <c r="C61" s="34">
        <v>4.1666666666666664E-2</v>
      </c>
      <c r="D61" s="34">
        <v>0.125</v>
      </c>
      <c r="E61" s="35">
        <v>2</v>
      </c>
      <c r="F61" s="36"/>
      <c r="G61" s="37" t="s">
        <v>23</v>
      </c>
      <c r="H61" s="17"/>
      <c r="I61" s="17"/>
    </row>
    <row r="62" spans="1:9" x14ac:dyDescent="0.35">
      <c r="A62">
        <v>22</v>
      </c>
      <c r="B62" s="28" t="s">
        <v>24</v>
      </c>
      <c r="C62" s="33">
        <v>0.41666666666666669</v>
      </c>
      <c r="D62" s="33">
        <v>0.58333333333333337</v>
      </c>
      <c r="E62" s="30">
        <v>4</v>
      </c>
      <c r="F62" s="31"/>
      <c r="G62" s="28" t="s">
        <v>44</v>
      </c>
      <c r="H62" s="17"/>
      <c r="I62" s="17"/>
    </row>
    <row r="63" spans="1:9" x14ac:dyDescent="0.35">
      <c r="A63">
        <v>23</v>
      </c>
      <c r="B63" s="28" t="s">
        <v>26</v>
      </c>
      <c r="C63" s="33">
        <v>0.4375</v>
      </c>
      <c r="D63" s="33">
        <v>0.5625</v>
      </c>
      <c r="E63" s="30">
        <v>3.5</v>
      </c>
      <c r="F63" s="31"/>
      <c r="G63" s="28" t="s">
        <v>45</v>
      </c>
      <c r="H63" s="17"/>
      <c r="I63" s="17"/>
    </row>
    <row r="64" spans="1:9" x14ac:dyDescent="0.35">
      <c r="A64">
        <v>24</v>
      </c>
      <c r="B64" s="28" t="s">
        <v>28</v>
      </c>
      <c r="C64" s="29"/>
      <c r="D64" s="29"/>
      <c r="E64" s="30"/>
      <c r="F64" s="31"/>
      <c r="G64" s="28"/>
      <c r="H64" s="17"/>
      <c r="I64" s="17"/>
    </row>
    <row r="65" spans="1:9" x14ac:dyDescent="0.35">
      <c r="E65" s="17">
        <f>+SUM(E59:E63)</f>
        <v>15</v>
      </c>
      <c r="H65" s="17"/>
      <c r="I65" s="17"/>
    </row>
    <row r="66" spans="1:9" x14ac:dyDescent="0.35">
      <c r="A66" s="2" t="s">
        <v>48</v>
      </c>
      <c r="B66" s="27" t="s">
        <v>46</v>
      </c>
      <c r="C66" s="27" t="s">
        <v>14</v>
      </c>
      <c r="D66" s="27" t="s">
        <v>15</v>
      </c>
      <c r="E66" s="27" t="s">
        <v>16</v>
      </c>
      <c r="F66" s="27" t="s">
        <v>17</v>
      </c>
      <c r="G66" s="17"/>
      <c r="H66" s="17"/>
      <c r="I66" s="17"/>
    </row>
    <row r="67" spans="1:9" x14ac:dyDescent="0.35">
      <c r="A67">
        <v>25</v>
      </c>
      <c r="B67" s="28" t="s">
        <v>18</v>
      </c>
      <c r="C67" s="29"/>
      <c r="D67" s="29"/>
      <c r="E67" s="30"/>
      <c r="F67" s="31"/>
      <c r="G67" s="28"/>
      <c r="H67" s="17"/>
      <c r="I67" s="17"/>
    </row>
    <row r="68" spans="1:9" x14ac:dyDescent="0.35">
      <c r="A68">
        <v>26</v>
      </c>
      <c r="B68" s="28" t="s">
        <v>19</v>
      </c>
      <c r="C68" s="32"/>
      <c r="D68" s="29"/>
      <c r="E68" s="30"/>
      <c r="F68" s="31"/>
      <c r="G68" s="28"/>
      <c r="H68" s="17"/>
      <c r="I68" s="17"/>
    </row>
    <row r="69" spans="1:9" x14ac:dyDescent="0.35">
      <c r="A69">
        <v>27</v>
      </c>
      <c r="B69" s="28" t="s">
        <v>20</v>
      </c>
      <c r="C69" s="33">
        <v>0.41666666666666669</v>
      </c>
      <c r="D69" s="33">
        <v>0.5625</v>
      </c>
      <c r="E69" s="30">
        <v>3.5</v>
      </c>
      <c r="F69" s="31"/>
      <c r="G69" s="17" t="s">
        <v>21</v>
      </c>
      <c r="H69" s="17"/>
      <c r="I69" s="17"/>
    </row>
    <row r="70" spans="1:9" x14ac:dyDescent="0.35">
      <c r="A70">
        <v>28</v>
      </c>
      <c r="B70" s="28" t="s">
        <v>22</v>
      </c>
      <c r="C70" s="33">
        <v>0.4375</v>
      </c>
      <c r="D70" s="33">
        <v>0.52083333333333337</v>
      </c>
      <c r="E70" s="17">
        <v>2</v>
      </c>
      <c r="F70" s="17"/>
      <c r="G70" s="17" t="s">
        <v>21</v>
      </c>
      <c r="H70" s="17"/>
      <c r="I70" s="17"/>
    </row>
    <row r="71" spans="1:9" x14ac:dyDescent="0.35">
      <c r="A71">
        <v>28</v>
      </c>
      <c r="B71" s="28"/>
      <c r="C71" s="34">
        <v>4.1666666666666664E-2</v>
      </c>
      <c r="D71" s="34">
        <v>0.125</v>
      </c>
      <c r="E71" s="35">
        <v>2</v>
      </c>
      <c r="F71" s="36"/>
      <c r="G71" s="37" t="s">
        <v>23</v>
      </c>
      <c r="H71" s="17"/>
      <c r="I71" s="17"/>
    </row>
    <row r="72" spans="1:9" x14ac:dyDescent="0.35">
      <c r="A72">
        <v>29</v>
      </c>
      <c r="B72" s="28" t="s">
        <v>24</v>
      </c>
      <c r="C72" s="33">
        <v>0.41666666666666669</v>
      </c>
      <c r="D72" s="33">
        <v>0.58333333333333337</v>
      </c>
      <c r="E72" s="30">
        <v>4</v>
      </c>
      <c r="F72" s="31"/>
      <c r="G72" s="28" t="s">
        <v>44</v>
      </c>
      <c r="H72" s="17"/>
      <c r="I72" s="17"/>
    </row>
    <row r="73" spans="1:9" x14ac:dyDescent="0.35">
      <c r="A73">
        <v>30</v>
      </c>
      <c r="B73" s="28" t="s">
        <v>26</v>
      </c>
      <c r="C73" s="33">
        <v>0.4375</v>
      </c>
      <c r="D73" s="33">
        <v>0.5625</v>
      </c>
      <c r="E73" s="30">
        <v>3.5</v>
      </c>
      <c r="F73" s="31"/>
      <c r="G73" s="28" t="s">
        <v>45</v>
      </c>
      <c r="H73" s="17"/>
      <c r="I73" s="17"/>
    </row>
    <row r="74" spans="1:9" x14ac:dyDescent="0.35">
      <c r="A74">
        <v>1</v>
      </c>
      <c r="B74" s="28" t="s">
        <v>28</v>
      </c>
      <c r="C74" s="29"/>
      <c r="D74" s="29"/>
      <c r="E74" s="30"/>
      <c r="F74" s="31"/>
      <c r="G74" s="28"/>
      <c r="H74" s="17"/>
      <c r="I74" s="17"/>
    </row>
    <row r="75" spans="1:9" x14ac:dyDescent="0.35">
      <c r="E75" s="17">
        <f>+SUM(E69:E73)</f>
        <v>15</v>
      </c>
    </row>
    <row r="76" spans="1:9" s="38" customFormat="1" x14ac:dyDescent="0.35">
      <c r="B76" s="38" t="s">
        <v>47</v>
      </c>
    </row>
    <row r="78" spans="1:9" x14ac:dyDescent="0.35">
      <c r="A78" s="2" t="s">
        <v>60</v>
      </c>
      <c r="B78" s="27" t="s">
        <v>49</v>
      </c>
      <c r="C78" s="27" t="s">
        <v>14</v>
      </c>
      <c r="D78" s="27" t="s">
        <v>15</v>
      </c>
      <c r="E78" s="27" t="s">
        <v>16</v>
      </c>
      <c r="F78" s="27" t="s">
        <v>17</v>
      </c>
      <c r="G78" s="17"/>
    </row>
    <row r="79" spans="1:9" x14ac:dyDescent="0.35">
      <c r="A79">
        <v>2</v>
      </c>
      <c r="B79" s="28" t="s">
        <v>18</v>
      </c>
      <c r="C79" s="29"/>
      <c r="D79" s="29"/>
      <c r="E79" s="30"/>
      <c r="F79" s="31"/>
      <c r="G79" s="28"/>
    </row>
    <row r="80" spans="1:9" x14ac:dyDescent="0.35">
      <c r="A80">
        <v>3</v>
      </c>
      <c r="B80" s="28" t="s">
        <v>19</v>
      </c>
      <c r="C80" s="32"/>
      <c r="D80" s="29"/>
      <c r="E80" s="30"/>
      <c r="F80" s="31"/>
      <c r="G80" s="28"/>
    </row>
    <row r="81" spans="1:7" x14ac:dyDescent="0.35">
      <c r="A81">
        <v>4</v>
      </c>
      <c r="B81" s="28" t="s">
        <v>20</v>
      </c>
      <c r="C81" s="33"/>
      <c r="D81" s="33"/>
      <c r="E81" s="30"/>
      <c r="F81" s="31"/>
      <c r="G81" s="17"/>
    </row>
    <row r="82" spans="1:7" x14ac:dyDescent="0.35">
      <c r="A82">
        <v>5</v>
      </c>
      <c r="B82" s="28" t="s">
        <v>22</v>
      </c>
      <c r="C82" s="33">
        <v>0.4375</v>
      </c>
      <c r="D82" s="33">
        <v>0.47916666666666669</v>
      </c>
      <c r="E82" s="17">
        <v>1</v>
      </c>
      <c r="F82" s="17"/>
      <c r="G82" s="17" t="s">
        <v>50</v>
      </c>
    </row>
    <row r="83" spans="1:7" x14ac:dyDescent="0.35">
      <c r="B83" s="28"/>
      <c r="C83" s="62">
        <v>4.1666666666666664E-2</v>
      </c>
      <c r="D83" s="62">
        <v>0.125</v>
      </c>
      <c r="E83" s="61">
        <v>2</v>
      </c>
      <c r="F83" s="65"/>
      <c r="G83" s="63" t="s">
        <v>23</v>
      </c>
    </row>
    <row r="84" spans="1:7" x14ac:dyDescent="0.35">
      <c r="A84">
        <v>6</v>
      </c>
      <c r="B84" s="28" t="s">
        <v>24</v>
      </c>
      <c r="C84" s="33"/>
      <c r="D84" s="33"/>
      <c r="E84" s="30"/>
      <c r="F84" s="31"/>
      <c r="G84" s="28"/>
    </row>
    <row r="85" spans="1:7" x14ac:dyDescent="0.35">
      <c r="A85">
        <v>7</v>
      </c>
      <c r="B85" s="28" t="s">
        <v>26</v>
      </c>
      <c r="C85" s="33">
        <v>0.4375</v>
      </c>
      <c r="D85" s="33">
        <v>0.5625</v>
      </c>
      <c r="E85" s="30">
        <v>2</v>
      </c>
      <c r="F85" s="31"/>
      <c r="G85" s="28" t="s">
        <v>51</v>
      </c>
    </row>
    <row r="86" spans="1:7" x14ac:dyDescent="0.35">
      <c r="A86">
        <v>8</v>
      </c>
      <c r="B86" s="28" t="s">
        <v>28</v>
      </c>
      <c r="C86" s="29"/>
      <c r="D86" s="29"/>
      <c r="E86" s="30"/>
      <c r="F86" s="31"/>
      <c r="G86" s="28"/>
    </row>
    <row r="87" spans="1:7" x14ac:dyDescent="0.35">
      <c r="E87">
        <f>+SUM(E79:E86)</f>
        <v>5</v>
      </c>
    </row>
    <row r="89" spans="1:7" x14ac:dyDescent="0.35">
      <c r="A89" s="2" t="s">
        <v>61</v>
      </c>
      <c r="B89" s="27" t="s">
        <v>52</v>
      </c>
      <c r="C89" s="27" t="s">
        <v>14</v>
      </c>
      <c r="D89" s="27" t="s">
        <v>15</v>
      </c>
      <c r="E89" s="27" t="s">
        <v>16</v>
      </c>
      <c r="F89" s="27" t="s">
        <v>17</v>
      </c>
      <c r="G89" s="17"/>
    </row>
    <row r="90" spans="1:7" x14ac:dyDescent="0.35">
      <c r="A90">
        <v>9</v>
      </c>
      <c r="B90" s="28" t="s">
        <v>18</v>
      </c>
      <c r="C90" s="29"/>
      <c r="D90" s="29"/>
      <c r="E90" s="30"/>
      <c r="F90" s="31"/>
      <c r="G90" s="28"/>
    </row>
    <row r="91" spans="1:7" x14ac:dyDescent="0.35">
      <c r="A91">
        <v>10</v>
      </c>
      <c r="B91" s="28" t="s">
        <v>19</v>
      </c>
      <c r="C91" s="32"/>
      <c r="D91" s="29"/>
      <c r="E91" s="30"/>
      <c r="F91" s="31"/>
      <c r="G91" s="28"/>
    </row>
    <row r="92" spans="1:7" x14ac:dyDescent="0.35">
      <c r="A92">
        <v>11</v>
      </c>
      <c r="B92" s="28" t="s">
        <v>20</v>
      </c>
      <c r="C92" s="33"/>
      <c r="D92" s="33"/>
      <c r="E92" s="30"/>
      <c r="F92" s="31"/>
      <c r="G92" s="17"/>
    </row>
    <row r="93" spans="1:7" x14ac:dyDescent="0.35">
      <c r="A93">
        <v>12</v>
      </c>
      <c r="B93" s="28" t="s">
        <v>22</v>
      </c>
      <c r="C93" s="33">
        <v>0.16666666666666666</v>
      </c>
      <c r="D93" s="33">
        <v>0.25</v>
      </c>
      <c r="E93" s="17">
        <v>2</v>
      </c>
      <c r="F93" s="17"/>
      <c r="G93" s="17" t="s">
        <v>53</v>
      </c>
    </row>
    <row r="94" spans="1:7" x14ac:dyDescent="0.35">
      <c r="A94">
        <v>13</v>
      </c>
      <c r="B94" s="28" t="s">
        <v>24</v>
      </c>
      <c r="C94" s="33"/>
      <c r="D94" s="33"/>
      <c r="E94" s="30"/>
      <c r="F94" s="31"/>
      <c r="G94" s="28"/>
    </row>
    <row r="95" spans="1:7" x14ac:dyDescent="0.35">
      <c r="A95">
        <v>14</v>
      </c>
      <c r="B95" s="28" t="s">
        <v>26</v>
      </c>
      <c r="C95" s="33"/>
      <c r="D95" s="33"/>
      <c r="E95" s="30"/>
      <c r="F95" s="31"/>
      <c r="G95" s="28"/>
    </row>
    <row r="96" spans="1:7" x14ac:dyDescent="0.35">
      <c r="A96">
        <v>15</v>
      </c>
      <c r="B96" s="28" t="s">
        <v>28</v>
      </c>
      <c r="C96" s="29"/>
      <c r="D96" s="29"/>
      <c r="E96" s="30"/>
      <c r="F96" s="31"/>
      <c r="G96" s="28"/>
    </row>
    <row r="98" spans="1:7" x14ac:dyDescent="0.35">
      <c r="A98" s="2" t="s">
        <v>62</v>
      </c>
      <c r="B98" s="27" t="s">
        <v>54</v>
      </c>
      <c r="C98" s="27" t="s">
        <v>14</v>
      </c>
      <c r="D98" s="27" t="s">
        <v>15</v>
      </c>
      <c r="E98" s="27" t="s">
        <v>16</v>
      </c>
      <c r="F98" s="27" t="s">
        <v>17</v>
      </c>
      <c r="G98" s="17"/>
    </row>
    <row r="99" spans="1:7" x14ac:dyDescent="0.35">
      <c r="A99">
        <v>16</v>
      </c>
      <c r="B99" s="28" t="s">
        <v>18</v>
      </c>
      <c r="C99" s="29"/>
      <c r="D99" s="29"/>
      <c r="E99" s="30"/>
      <c r="F99" s="31"/>
    </row>
    <row r="100" spans="1:7" x14ac:dyDescent="0.35">
      <c r="A100">
        <v>17</v>
      </c>
      <c r="B100" s="28" t="s">
        <v>19</v>
      </c>
      <c r="C100" s="32"/>
      <c r="D100" s="29"/>
      <c r="E100" s="30"/>
      <c r="F100" s="31"/>
    </row>
    <row r="101" spans="1:7" x14ac:dyDescent="0.35">
      <c r="A101">
        <v>18</v>
      </c>
      <c r="B101" s="28" t="s">
        <v>20</v>
      </c>
      <c r="C101" s="33"/>
      <c r="D101" s="33"/>
      <c r="E101" s="30"/>
      <c r="F101" s="31"/>
    </row>
    <row r="102" spans="1:7" x14ac:dyDescent="0.35">
      <c r="A102">
        <v>19</v>
      </c>
      <c r="B102" s="28" t="s">
        <v>22</v>
      </c>
      <c r="C102" s="33"/>
      <c r="D102" s="33"/>
      <c r="E102" s="17"/>
      <c r="F102" s="17"/>
    </row>
    <row r="103" spans="1:7" x14ac:dyDescent="0.35">
      <c r="A103">
        <v>20</v>
      </c>
      <c r="B103" s="28" t="s">
        <v>24</v>
      </c>
      <c r="C103" s="33">
        <v>0.125</v>
      </c>
      <c r="D103" s="33">
        <v>0.20833333333333334</v>
      </c>
      <c r="E103" s="30">
        <v>2</v>
      </c>
      <c r="F103" s="31" t="s">
        <v>141</v>
      </c>
    </row>
    <row r="104" spans="1:7" x14ac:dyDescent="0.35">
      <c r="A104">
        <v>21</v>
      </c>
      <c r="B104" s="28" t="s">
        <v>26</v>
      </c>
      <c r="C104" s="33"/>
      <c r="D104" s="33"/>
      <c r="E104" s="30"/>
      <c r="F104" s="31"/>
    </row>
    <row r="105" spans="1:7" x14ac:dyDescent="0.35">
      <c r="A105">
        <v>22</v>
      </c>
      <c r="B105" s="28" t="s">
        <v>28</v>
      </c>
      <c r="C105" s="29"/>
      <c r="D105" s="29"/>
      <c r="E105" s="30"/>
      <c r="F105" s="31"/>
    </row>
    <row r="107" spans="1:7" x14ac:dyDescent="0.35">
      <c r="A107" s="2" t="s">
        <v>63</v>
      </c>
      <c r="B107" s="27" t="s">
        <v>64</v>
      </c>
      <c r="C107" s="27" t="s">
        <v>14</v>
      </c>
      <c r="D107" s="27" t="s">
        <v>15</v>
      </c>
      <c r="E107" s="27" t="s">
        <v>16</v>
      </c>
      <c r="F107" s="27" t="s">
        <v>17</v>
      </c>
    </row>
    <row r="108" spans="1:7" x14ac:dyDescent="0.35">
      <c r="A108">
        <v>23</v>
      </c>
      <c r="B108" s="28" t="s">
        <v>18</v>
      </c>
      <c r="C108" s="29"/>
      <c r="D108" s="29"/>
      <c r="E108" s="30"/>
      <c r="F108" s="31"/>
      <c r="G108" s="17"/>
    </row>
    <row r="109" spans="1:7" x14ac:dyDescent="0.35">
      <c r="A109">
        <v>24</v>
      </c>
      <c r="B109" s="28" t="s">
        <v>19</v>
      </c>
      <c r="C109" s="32"/>
      <c r="D109" s="29"/>
      <c r="E109" s="30"/>
      <c r="F109" s="31"/>
    </row>
    <row r="110" spans="1:7" x14ac:dyDescent="0.35">
      <c r="A110">
        <v>25</v>
      </c>
      <c r="B110" s="28" t="s">
        <v>20</v>
      </c>
      <c r="C110" s="33"/>
      <c r="D110" s="33"/>
      <c r="E110" s="30"/>
      <c r="F110" s="31"/>
    </row>
    <row r="111" spans="1:7" x14ac:dyDescent="0.35">
      <c r="A111">
        <v>26</v>
      </c>
      <c r="B111" s="28" t="s">
        <v>22</v>
      </c>
      <c r="C111" s="33"/>
      <c r="D111" s="33"/>
      <c r="E111" s="17"/>
      <c r="F111" s="17"/>
    </row>
    <row r="112" spans="1:7" x14ac:dyDescent="0.35">
      <c r="A112">
        <v>27</v>
      </c>
      <c r="B112" s="28" t="s">
        <v>24</v>
      </c>
      <c r="C112" s="33">
        <v>0.125</v>
      </c>
      <c r="D112" s="33">
        <v>0.20833333333333334</v>
      </c>
      <c r="E112" s="30">
        <v>2</v>
      </c>
      <c r="F112" s="31" t="s">
        <v>142</v>
      </c>
    </row>
    <row r="113" spans="1:7" x14ac:dyDescent="0.35">
      <c r="A113">
        <v>28</v>
      </c>
      <c r="B113" s="28" t="s">
        <v>26</v>
      </c>
      <c r="C113" s="33"/>
      <c r="D113" s="33"/>
      <c r="E113" s="30"/>
      <c r="F113" s="31"/>
    </row>
    <row r="114" spans="1:7" x14ac:dyDescent="0.35">
      <c r="A114">
        <v>29</v>
      </c>
      <c r="B114" s="28" t="s">
        <v>28</v>
      </c>
      <c r="C114" s="29"/>
      <c r="D114" s="29"/>
      <c r="E114" s="30"/>
      <c r="F114" s="31"/>
    </row>
    <row r="116" spans="1:7" x14ac:dyDescent="0.35">
      <c r="A116" s="2" t="s">
        <v>65</v>
      </c>
      <c r="B116" s="27" t="s">
        <v>66</v>
      </c>
      <c r="C116" s="27" t="s">
        <v>14</v>
      </c>
      <c r="D116" s="27" t="s">
        <v>15</v>
      </c>
      <c r="E116" s="27" t="s">
        <v>16</v>
      </c>
      <c r="F116" s="27" t="s">
        <v>17</v>
      </c>
      <c r="G116" s="17"/>
    </row>
    <row r="117" spans="1:7" x14ac:dyDescent="0.35">
      <c r="A117">
        <v>30</v>
      </c>
      <c r="B117" s="28" t="s">
        <v>18</v>
      </c>
      <c r="C117" s="29"/>
      <c r="D117" s="29"/>
      <c r="E117" s="30"/>
      <c r="F117" s="31"/>
    </row>
    <row r="118" spans="1:7" x14ac:dyDescent="0.35">
      <c r="A118">
        <v>31</v>
      </c>
      <c r="B118" s="28" t="s">
        <v>19</v>
      </c>
      <c r="C118" s="32"/>
      <c r="D118" s="29"/>
      <c r="E118" s="30"/>
      <c r="F118" s="31"/>
    </row>
    <row r="119" spans="1:7" x14ac:dyDescent="0.35">
      <c r="A119">
        <v>1</v>
      </c>
      <c r="B119" s="28" t="s">
        <v>20</v>
      </c>
      <c r="C119" s="33"/>
      <c r="D119" s="33"/>
      <c r="E119" s="30"/>
      <c r="F119" s="31"/>
    </row>
    <row r="120" spans="1:7" x14ac:dyDescent="0.35">
      <c r="A120">
        <v>2</v>
      </c>
      <c r="B120" s="28" t="s">
        <v>22</v>
      </c>
      <c r="C120" s="33"/>
      <c r="D120" s="33"/>
      <c r="E120" s="17"/>
      <c r="F120" s="17"/>
    </row>
    <row r="121" spans="1:7" x14ac:dyDescent="0.35">
      <c r="A121">
        <v>3</v>
      </c>
      <c r="B121" s="28" t="s">
        <v>24</v>
      </c>
      <c r="C121" s="33">
        <v>0.125</v>
      </c>
      <c r="D121" s="33">
        <v>0.20833333333333334</v>
      </c>
      <c r="E121" s="30">
        <v>2</v>
      </c>
      <c r="F121" s="31" t="s">
        <v>143</v>
      </c>
    </row>
    <row r="122" spans="1:7" x14ac:dyDescent="0.35">
      <c r="A122">
        <v>4</v>
      </c>
      <c r="B122" s="28" t="s">
        <v>26</v>
      </c>
      <c r="C122" s="33"/>
      <c r="D122" s="33"/>
      <c r="E122" s="30"/>
      <c r="F122" s="31"/>
    </row>
    <row r="123" spans="1:7" x14ac:dyDescent="0.35">
      <c r="A123">
        <v>5</v>
      </c>
      <c r="B123" s="28" t="s">
        <v>28</v>
      </c>
      <c r="C123" s="29"/>
      <c r="D123" s="29"/>
      <c r="E123" s="30"/>
      <c r="F123" s="31"/>
    </row>
    <row r="125" spans="1:7" x14ac:dyDescent="0.35">
      <c r="A125" s="2" t="s">
        <v>67</v>
      </c>
      <c r="B125" s="27" t="s">
        <v>145</v>
      </c>
      <c r="C125" s="27" t="s">
        <v>14</v>
      </c>
      <c r="D125" s="27" t="s">
        <v>15</v>
      </c>
      <c r="E125" s="27" t="s">
        <v>16</v>
      </c>
      <c r="F125" s="27" t="s">
        <v>17</v>
      </c>
      <c r="G125" s="17"/>
    </row>
    <row r="126" spans="1:7" x14ac:dyDescent="0.35">
      <c r="A126">
        <v>6</v>
      </c>
      <c r="B126" s="28" t="s">
        <v>18</v>
      </c>
      <c r="C126" s="29"/>
      <c r="D126" s="29"/>
      <c r="E126" s="30"/>
      <c r="F126" s="31"/>
    </row>
    <row r="127" spans="1:7" x14ac:dyDescent="0.35">
      <c r="A127">
        <v>7</v>
      </c>
      <c r="B127" s="28" t="s">
        <v>19</v>
      </c>
      <c r="C127" s="32"/>
      <c r="D127" s="29"/>
      <c r="E127" s="30"/>
      <c r="F127" s="31"/>
    </row>
    <row r="128" spans="1:7" x14ac:dyDescent="0.35">
      <c r="A128">
        <v>8</v>
      </c>
      <c r="B128" s="28" t="s">
        <v>20</v>
      </c>
      <c r="C128" s="33"/>
      <c r="D128" s="33"/>
      <c r="E128" s="30"/>
      <c r="F128" s="31"/>
    </row>
    <row r="129" spans="1:6" x14ac:dyDescent="0.35">
      <c r="A129">
        <v>9</v>
      </c>
      <c r="B129" s="28" t="s">
        <v>22</v>
      </c>
      <c r="C129" s="33"/>
      <c r="D129" s="33"/>
      <c r="E129" s="17"/>
      <c r="F129" s="17"/>
    </row>
    <row r="130" spans="1:6" x14ac:dyDescent="0.35">
      <c r="A130">
        <v>10</v>
      </c>
      <c r="B130" s="28" t="s">
        <v>24</v>
      </c>
      <c r="C130" s="33">
        <v>0.125</v>
      </c>
      <c r="D130" s="33">
        <v>0.16666666666666666</v>
      </c>
      <c r="E130" s="30">
        <v>1</v>
      </c>
      <c r="F130" s="31" t="s">
        <v>139</v>
      </c>
    </row>
    <row r="131" spans="1:6" x14ac:dyDescent="0.35">
      <c r="A131">
        <v>11</v>
      </c>
      <c r="B131" s="28" t="s">
        <v>26</v>
      </c>
      <c r="C131" s="33"/>
      <c r="D131" s="33"/>
      <c r="E131" s="30"/>
      <c r="F131" s="31"/>
    </row>
    <row r="132" spans="1:6" x14ac:dyDescent="0.35">
      <c r="A132">
        <v>12</v>
      </c>
      <c r="B132" s="28" t="s">
        <v>28</v>
      </c>
      <c r="C132" s="29">
        <v>0.375</v>
      </c>
      <c r="D132" s="29">
        <v>0.54166666666666663</v>
      </c>
      <c r="E132" s="30">
        <v>4</v>
      </c>
      <c r="F132" s="31" t="s">
        <v>140</v>
      </c>
    </row>
    <row r="135" spans="1:6" x14ac:dyDescent="0.35">
      <c r="A135" s="2" t="s">
        <v>144</v>
      </c>
      <c r="B135" s="27" t="s">
        <v>146</v>
      </c>
      <c r="C135" s="27" t="s">
        <v>14</v>
      </c>
      <c r="D135" s="27" t="s">
        <v>15</v>
      </c>
      <c r="E135" s="27" t="s">
        <v>16</v>
      </c>
      <c r="F135" s="27" t="s">
        <v>17</v>
      </c>
    </row>
    <row r="136" spans="1:6" x14ac:dyDescent="0.35">
      <c r="A136">
        <v>13</v>
      </c>
      <c r="B136" s="28" t="s">
        <v>18</v>
      </c>
      <c r="C136" s="29"/>
      <c r="D136" s="29"/>
      <c r="E136" s="30"/>
      <c r="F136" s="31"/>
    </row>
    <row r="137" spans="1:6" x14ac:dyDescent="0.35">
      <c r="A137">
        <v>14</v>
      </c>
      <c r="B137" s="28" t="s">
        <v>19</v>
      </c>
      <c r="C137" s="32"/>
      <c r="D137" s="29"/>
      <c r="E137" s="30"/>
      <c r="F137" s="31"/>
    </row>
    <row r="138" spans="1:6" x14ac:dyDescent="0.35">
      <c r="A138">
        <v>15</v>
      </c>
      <c r="B138" s="28" t="s">
        <v>20</v>
      </c>
      <c r="C138" s="33"/>
      <c r="D138" s="33"/>
      <c r="E138" s="30"/>
      <c r="F138" s="31"/>
    </row>
    <row r="139" spans="1:6" x14ac:dyDescent="0.35">
      <c r="A139">
        <v>16</v>
      </c>
      <c r="B139" s="28" t="s">
        <v>22</v>
      </c>
      <c r="C139" s="33"/>
      <c r="D139" s="33"/>
      <c r="E139" s="17"/>
      <c r="F139" s="17"/>
    </row>
    <row r="140" spans="1:6" x14ac:dyDescent="0.35">
      <c r="A140">
        <v>17</v>
      </c>
      <c r="B140" s="28" t="s">
        <v>24</v>
      </c>
      <c r="C140" s="33"/>
      <c r="D140" s="33"/>
      <c r="E140" s="30"/>
      <c r="F140" s="31"/>
    </row>
    <row r="141" spans="1:6" x14ac:dyDescent="0.35">
      <c r="A141">
        <v>18</v>
      </c>
      <c r="B141" s="28" t="s">
        <v>26</v>
      </c>
      <c r="C141" s="33"/>
      <c r="D141" s="33"/>
      <c r="E141" s="30"/>
      <c r="F141" s="31"/>
    </row>
    <row r="142" spans="1:6" x14ac:dyDescent="0.35">
      <c r="A142">
        <v>19</v>
      </c>
      <c r="B142" s="28" t="s">
        <v>28</v>
      </c>
      <c r="C142" s="29"/>
      <c r="D142" s="29"/>
      <c r="E142" s="30"/>
      <c r="F142" s="31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E0DE-1B56-46B5-835D-FB6168CB29CD}">
  <dimension ref="A1:I54"/>
  <sheetViews>
    <sheetView topLeftCell="A10" zoomScaleNormal="100" workbookViewId="0">
      <selection activeCell="H28" sqref="H28"/>
    </sheetView>
  </sheetViews>
  <sheetFormatPr defaultRowHeight="14.5" x14ac:dyDescent="0.35"/>
  <cols>
    <col min="1" max="1" width="8.54296875" bestFit="1" customWidth="1"/>
    <col min="6" max="6" width="12.54296875" customWidth="1"/>
    <col min="8" max="8" width="12.1796875" bestFit="1" customWidth="1"/>
  </cols>
  <sheetData>
    <row r="1" spans="1:8" ht="42" x14ac:dyDescent="0.35">
      <c r="A1" s="66" t="s">
        <v>147</v>
      </c>
      <c r="B1" s="66" t="s">
        <v>148</v>
      </c>
      <c r="C1" s="66" t="s">
        <v>149</v>
      </c>
      <c r="D1" s="66" t="s">
        <v>150</v>
      </c>
      <c r="E1" s="66" t="s">
        <v>151</v>
      </c>
      <c r="F1" s="66" t="s">
        <v>152</v>
      </c>
      <c r="G1" s="66" t="s">
        <v>153</v>
      </c>
      <c r="H1" s="66" t="s">
        <v>154</v>
      </c>
    </row>
    <row r="2" spans="1:8" x14ac:dyDescent="0.35">
      <c r="A2" s="67">
        <v>43180</v>
      </c>
      <c r="B2" s="68"/>
      <c r="C2" s="68"/>
      <c r="D2" s="68"/>
      <c r="E2" s="68"/>
      <c r="F2" s="68"/>
      <c r="G2" s="68"/>
      <c r="H2" s="69"/>
    </row>
    <row r="3" spans="1:8" x14ac:dyDescent="0.35">
      <c r="A3" s="70">
        <v>43180</v>
      </c>
      <c r="B3" s="71" t="s">
        <v>155</v>
      </c>
      <c r="C3" s="71" t="s">
        <v>156</v>
      </c>
      <c r="D3" s="71" t="s">
        <v>157</v>
      </c>
      <c r="E3" s="71" t="s">
        <v>158</v>
      </c>
      <c r="F3" s="72" t="s">
        <v>159</v>
      </c>
      <c r="G3" s="73">
        <v>5</v>
      </c>
      <c r="H3" s="74">
        <v>226.4</v>
      </c>
    </row>
    <row r="4" spans="1:8" x14ac:dyDescent="0.35">
      <c r="A4" s="70">
        <v>43180</v>
      </c>
      <c r="B4" s="71" t="s">
        <v>155</v>
      </c>
      <c r="C4" s="71" t="s">
        <v>156</v>
      </c>
      <c r="D4" s="71" t="s">
        <v>160</v>
      </c>
      <c r="E4" s="71" t="s">
        <v>161</v>
      </c>
      <c r="F4" s="72" t="s">
        <v>160</v>
      </c>
      <c r="G4" s="73"/>
      <c r="H4" s="74">
        <v>15.51</v>
      </c>
    </row>
    <row r="5" spans="1:8" x14ac:dyDescent="0.35">
      <c r="A5" s="70">
        <v>43180</v>
      </c>
      <c r="B5" s="71" t="s">
        <v>155</v>
      </c>
      <c r="C5" s="71" t="s">
        <v>156</v>
      </c>
      <c r="D5" s="71" t="s">
        <v>160</v>
      </c>
      <c r="E5" s="71" t="s">
        <v>162</v>
      </c>
      <c r="F5" s="72" t="s">
        <v>160</v>
      </c>
      <c r="G5" s="73"/>
      <c r="H5" s="74">
        <v>1.47</v>
      </c>
    </row>
    <row r="6" spans="1:8" x14ac:dyDescent="0.35">
      <c r="A6" s="70">
        <v>43180</v>
      </c>
      <c r="B6" s="71" t="s">
        <v>155</v>
      </c>
      <c r="C6" s="71" t="s">
        <v>156</v>
      </c>
      <c r="D6" s="71" t="s">
        <v>160</v>
      </c>
      <c r="E6" s="71" t="s">
        <v>163</v>
      </c>
      <c r="F6" s="72" t="s">
        <v>160</v>
      </c>
      <c r="G6" s="73"/>
      <c r="H6" s="74">
        <v>2.83</v>
      </c>
    </row>
    <row r="7" spans="1:8" x14ac:dyDescent="0.35">
      <c r="A7" s="70">
        <v>43180</v>
      </c>
      <c r="B7" s="71" t="s">
        <v>155</v>
      </c>
      <c r="C7" s="71" t="s">
        <v>156</v>
      </c>
      <c r="D7" s="71" t="s">
        <v>164</v>
      </c>
      <c r="E7" s="71" t="s">
        <v>165</v>
      </c>
      <c r="F7" s="72" t="s">
        <v>166</v>
      </c>
      <c r="G7" s="73"/>
      <c r="H7" s="74">
        <v>21.51</v>
      </c>
    </row>
    <row r="8" spans="1:8" x14ac:dyDescent="0.35">
      <c r="A8" s="67">
        <v>43194</v>
      </c>
      <c r="B8" s="68"/>
      <c r="C8" s="68"/>
      <c r="D8" s="68"/>
      <c r="E8" s="68"/>
      <c r="F8" s="68"/>
      <c r="G8" s="68"/>
      <c r="H8" s="69"/>
    </row>
    <row r="9" spans="1:8" x14ac:dyDescent="0.35">
      <c r="A9" s="70">
        <v>43194</v>
      </c>
      <c r="B9" s="71" t="s">
        <v>155</v>
      </c>
      <c r="C9" s="71" t="s">
        <v>156</v>
      </c>
      <c r="D9" s="71" t="s">
        <v>157</v>
      </c>
      <c r="E9" s="71" t="s">
        <v>158</v>
      </c>
      <c r="F9" s="72" t="s">
        <v>159</v>
      </c>
      <c r="G9" s="73">
        <v>5</v>
      </c>
      <c r="H9" s="74">
        <v>226.4</v>
      </c>
    </row>
    <row r="10" spans="1:8" x14ac:dyDescent="0.35">
      <c r="A10" s="70">
        <v>43194</v>
      </c>
      <c r="B10" s="71" t="s">
        <v>155</v>
      </c>
      <c r="C10" s="71" t="s">
        <v>156</v>
      </c>
      <c r="D10" s="71" t="s">
        <v>160</v>
      </c>
      <c r="E10" s="71" t="s">
        <v>161</v>
      </c>
      <c r="F10" s="72" t="s">
        <v>160</v>
      </c>
      <c r="G10" s="73"/>
      <c r="H10" s="74">
        <v>15.51</v>
      </c>
    </row>
    <row r="11" spans="1:8" x14ac:dyDescent="0.35">
      <c r="A11" s="70">
        <v>43194</v>
      </c>
      <c r="B11" s="71" t="s">
        <v>155</v>
      </c>
      <c r="C11" s="71" t="s">
        <v>156</v>
      </c>
      <c r="D11" s="71" t="s">
        <v>160</v>
      </c>
      <c r="E11" s="71" t="s">
        <v>163</v>
      </c>
      <c r="F11" s="72" t="s">
        <v>160</v>
      </c>
      <c r="G11" s="73"/>
      <c r="H11" s="74">
        <v>2.83</v>
      </c>
    </row>
    <row r="12" spans="1:8" x14ac:dyDescent="0.35">
      <c r="A12" s="70">
        <v>43208</v>
      </c>
      <c r="B12" s="71" t="s">
        <v>155</v>
      </c>
      <c r="C12" s="71" t="s">
        <v>156</v>
      </c>
      <c r="D12" s="71" t="s">
        <v>160</v>
      </c>
      <c r="E12" s="71" t="s">
        <v>162</v>
      </c>
      <c r="F12" s="72" t="s">
        <v>160</v>
      </c>
      <c r="G12" s="73"/>
      <c r="H12" s="74">
        <v>1.47</v>
      </c>
    </row>
    <row r="13" spans="1:8" x14ac:dyDescent="0.35">
      <c r="A13" s="70">
        <v>43208</v>
      </c>
      <c r="B13" s="71" t="s">
        <v>155</v>
      </c>
      <c r="C13" s="71" t="s">
        <v>156</v>
      </c>
      <c r="D13" s="71" t="s">
        <v>164</v>
      </c>
      <c r="E13" s="71" t="s">
        <v>165</v>
      </c>
      <c r="F13" s="72" t="s">
        <v>166</v>
      </c>
      <c r="G13" s="73"/>
      <c r="H13" s="74">
        <v>21.51</v>
      </c>
    </row>
    <row r="14" spans="1:8" x14ac:dyDescent="0.35">
      <c r="A14" s="67">
        <v>43222</v>
      </c>
      <c r="B14" s="68"/>
      <c r="C14" s="68"/>
      <c r="D14" s="68"/>
      <c r="E14" s="68"/>
      <c r="F14" s="68"/>
      <c r="G14" s="68"/>
      <c r="H14" s="69"/>
    </row>
    <row r="15" spans="1:8" x14ac:dyDescent="0.35">
      <c r="A15" s="70">
        <v>43222</v>
      </c>
      <c r="B15" s="71" t="s">
        <v>155</v>
      </c>
      <c r="C15" s="71" t="s">
        <v>156</v>
      </c>
      <c r="D15" s="71" t="s">
        <v>157</v>
      </c>
      <c r="E15" s="71" t="s">
        <v>158</v>
      </c>
      <c r="F15" s="72" t="s">
        <v>159</v>
      </c>
      <c r="G15" s="73">
        <v>10</v>
      </c>
      <c r="H15" s="74">
        <v>452.78</v>
      </c>
    </row>
    <row r="16" spans="1:8" x14ac:dyDescent="0.35">
      <c r="A16" s="70">
        <v>43222</v>
      </c>
      <c r="B16" s="71" t="s">
        <v>155</v>
      </c>
      <c r="C16" s="71" t="s">
        <v>156</v>
      </c>
      <c r="D16" s="71" t="s">
        <v>160</v>
      </c>
      <c r="E16" s="71" t="s">
        <v>161</v>
      </c>
      <c r="F16" s="72" t="s">
        <v>160</v>
      </c>
      <c r="G16" s="73"/>
      <c r="H16" s="74">
        <v>31.02</v>
      </c>
    </row>
    <row r="17" spans="1:8" x14ac:dyDescent="0.35">
      <c r="A17" s="70">
        <v>43222</v>
      </c>
      <c r="B17" s="71" t="s">
        <v>155</v>
      </c>
      <c r="C17" s="71" t="s">
        <v>156</v>
      </c>
      <c r="D17" s="71" t="s">
        <v>160</v>
      </c>
      <c r="E17" s="71" t="s">
        <v>162</v>
      </c>
      <c r="F17" s="72" t="s">
        <v>160</v>
      </c>
      <c r="G17" s="73"/>
      <c r="H17" s="74">
        <v>2.95</v>
      </c>
    </row>
    <row r="18" spans="1:8" x14ac:dyDescent="0.35">
      <c r="A18" s="70">
        <v>43222</v>
      </c>
      <c r="B18" s="71" t="s">
        <v>155</v>
      </c>
      <c r="C18" s="71" t="s">
        <v>156</v>
      </c>
      <c r="D18" s="71" t="s">
        <v>160</v>
      </c>
      <c r="E18" s="71" t="s">
        <v>163</v>
      </c>
      <c r="F18" s="72" t="s">
        <v>160</v>
      </c>
      <c r="G18" s="73"/>
      <c r="H18" s="74">
        <v>5.66</v>
      </c>
    </row>
    <row r="19" spans="1:8" x14ac:dyDescent="0.35">
      <c r="A19" s="70">
        <v>43222</v>
      </c>
      <c r="B19" s="71" t="s">
        <v>155</v>
      </c>
      <c r="C19" s="71" t="s">
        <v>156</v>
      </c>
      <c r="D19" s="71" t="s">
        <v>164</v>
      </c>
      <c r="E19" s="71" t="s">
        <v>165</v>
      </c>
      <c r="F19" s="72" t="s">
        <v>166</v>
      </c>
      <c r="G19" s="73"/>
      <c r="H19" s="74">
        <v>43.01</v>
      </c>
    </row>
    <row r="20" spans="1:8" x14ac:dyDescent="0.35">
      <c r="A20" s="67">
        <v>43236</v>
      </c>
      <c r="B20" s="68"/>
      <c r="C20" s="68"/>
      <c r="D20" s="68"/>
      <c r="E20" s="68"/>
      <c r="F20" s="68"/>
      <c r="G20" s="68"/>
      <c r="H20" s="69"/>
    </row>
    <row r="21" spans="1:8" x14ac:dyDescent="0.35">
      <c r="A21" s="70">
        <v>43236</v>
      </c>
      <c r="B21" s="71" t="s">
        <v>155</v>
      </c>
      <c r="C21" s="71" t="s">
        <v>156</v>
      </c>
      <c r="D21" s="71" t="s">
        <v>157</v>
      </c>
      <c r="E21" s="71" t="s">
        <v>158</v>
      </c>
      <c r="F21" s="72" t="s">
        <v>167</v>
      </c>
      <c r="G21" s="73">
        <v>22.5</v>
      </c>
      <c r="H21" s="74">
        <v>1215.8699999999999</v>
      </c>
    </row>
    <row r="22" spans="1:8" x14ac:dyDescent="0.35">
      <c r="A22" s="70">
        <v>43236</v>
      </c>
      <c r="B22" s="71" t="s">
        <v>155</v>
      </c>
      <c r="C22" s="71" t="s">
        <v>156</v>
      </c>
      <c r="D22" s="71" t="s">
        <v>160</v>
      </c>
      <c r="E22" s="71" t="s">
        <v>161</v>
      </c>
      <c r="F22" s="72" t="s">
        <v>160</v>
      </c>
      <c r="G22" s="73"/>
      <c r="H22" s="74">
        <v>83.29</v>
      </c>
    </row>
    <row r="23" spans="1:8" x14ac:dyDescent="0.35">
      <c r="A23" s="70">
        <v>43236</v>
      </c>
      <c r="B23" s="71" t="s">
        <v>155</v>
      </c>
      <c r="C23" s="71" t="s">
        <v>156</v>
      </c>
      <c r="D23" s="71" t="s">
        <v>160</v>
      </c>
      <c r="E23" s="71" t="s">
        <v>162</v>
      </c>
      <c r="F23" s="72" t="s">
        <v>160</v>
      </c>
      <c r="G23" s="73"/>
      <c r="H23" s="74">
        <v>7.91</v>
      </c>
    </row>
    <row r="24" spans="1:8" x14ac:dyDescent="0.35">
      <c r="A24" s="70">
        <v>43236</v>
      </c>
      <c r="B24" s="71" t="s">
        <v>155</v>
      </c>
      <c r="C24" s="71" t="s">
        <v>156</v>
      </c>
      <c r="D24" s="71" t="s">
        <v>160</v>
      </c>
      <c r="E24" s="71" t="s">
        <v>163</v>
      </c>
      <c r="F24" s="72" t="s">
        <v>160</v>
      </c>
      <c r="G24" s="73"/>
      <c r="H24" s="74">
        <v>15.19</v>
      </c>
    </row>
    <row r="25" spans="1:8" x14ac:dyDescent="0.35">
      <c r="A25" s="70">
        <v>43236</v>
      </c>
      <c r="B25" s="71" t="s">
        <v>155</v>
      </c>
      <c r="C25" s="71" t="s">
        <v>156</v>
      </c>
      <c r="D25" s="71" t="s">
        <v>164</v>
      </c>
      <c r="E25" s="71" t="s">
        <v>165</v>
      </c>
      <c r="F25" s="72" t="s">
        <v>166</v>
      </c>
      <c r="G25" s="73"/>
      <c r="H25" s="74">
        <v>115.51</v>
      </c>
    </row>
    <row r="26" spans="1:8" x14ac:dyDescent="0.35">
      <c r="A26" s="67">
        <v>43250</v>
      </c>
      <c r="B26" s="68"/>
      <c r="C26" s="68"/>
      <c r="D26" s="68"/>
      <c r="E26" s="68"/>
      <c r="F26" s="68"/>
      <c r="G26" s="68"/>
      <c r="H26" s="69"/>
    </row>
    <row r="27" spans="1:8" x14ac:dyDescent="0.35">
      <c r="A27" s="70">
        <v>43250</v>
      </c>
      <c r="B27" s="71" t="s">
        <v>155</v>
      </c>
      <c r="C27" s="71" t="s">
        <v>156</v>
      </c>
      <c r="D27" s="71" t="s">
        <v>157</v>
      </c>
      <c r="E27" s="71" t="s">
        <v>158</v>
      </c>
      <c r="F27" s="72" t="s">
        <v>167</v>
      </c>
      <c r="G27" s="73">
        <v>-22.5</v>
      </c>
      <c r="H27" s="74">
        <v>-1215.8699999999999</v>
      </c>
    </row>
    <row r="28" spans="1:8" x14ac:dyDescent="0.35">
      <c r="A28" s="70">
        <v>43250</v>
      </c>
      <c r="B28" s="71" t="s">
        <v>155</v>
      </c>
      <c r="C28" s="71" t="s">
        <v>156</v>
      </c>
      <c r="D28" s="71" t="s">
        <v>157</v>
      </c>
      <c r="E28" s="71" t="s">
        <v>158</v>
      </c>
      <c r="F28" s="72" t="s">
        <v>159</v>
      </c>
      <c r="G28" s="75">
        <v>52.5</v>
      </c>
      <c r="H28" s="74">
        <v>2377.15</v>
      </c>
    </row>
    <row r="29" spans="1:8" x14ac:dyDescent="0.35">
      <c r="A29" s="70">
        <v>43250</v>
      </c>
      <c r="B29" s="71" t="s">
        <v>155</v>
      </c>
      <c r="C29" s="71" t="s">
        <v>156</v>
      </c>
      <c r="D29" s="71" t="s">
        <v>157</v>
      </c>
      <c r="E29" s="71" t="s">
        <v>158</v>
      </c>
      <c r="F29" s="72" t="s">
        <v>168</v>
      </c>
      <c r="G29" s="73">
        <v>25</v>
      </c>
      <c r="H29" s="74">
        <v>1350.96</v>
      </c>
    </row>
    <row r="30" spans="1:8" x14ac:dyDescent="0.35">
      <c r="A30" s="70">
        <v>43250</v>
      </c>
      <c r="B30" s="71" t="s">
        <v>155</v>
      </c>
      <c r="C30" s="71" t="s">
        <v>156</v>
      </c>
      <c r="D30" s="71" t="s">
        <v>160</v>
      </c>
      <c r="E30" s="71" t="s">
        <v>161</v>
      </c>
      <c r="F30" s="72" t="s">
        <v>160</v>
      </c>
      <c r="G30" s="73"/>
      <c r="H30" s="74">
        <v>172.08</v>
      </c>
    </row>
    <row r="31" spans="1:8" x14ac:dyDescent="0.35">
      <c r="A31" s="70">
        <v>43250</v>
      </c>
      <c r="B31" s="71" t="s">
        <v>155</v>
      </c>
      <c r="C31" s="71" t="s">
        <v>156</v>
      </c>
      <c r="D31" s="71" t="s">
        <v>160</v>
      </c>
      <c r="E31" s="71" t="s">
        <v>162</v>
      </c>
      <c r="F31" s="72" t="s">
        <v>160</v>
      </c>
      <c r="G31" s="73"/>
      <c r="H31" s="74">
        <v>17.82</v>
      </c>
    </row>
    <row r="32" spans="1:8" x14ac:dyDescent="0.35">
      <c r="A32" s="70">
        <v>43250</v>
      </c>
      <c r="B32" s="71" t="s">
        <v>155</v>
      </c>
      <c r="C32" s="71" t="s">
        <v>156</v>
      </c>
      <c r="D32" s="71" t="s">
        <v>160</v>
      </c>
      <c r="E32" s="71" t="s">
        <v>163</v>
      </c>
      <c r="F32" s="72" t="s">
        <v>160</v>
      </c>
      <c r="G32" s="73"/>
      <c r="H32" s="74">
        <v>31.4</v>
      </c>
    </row>
    <row r="33" spans="1:8" x14ac:dyDescent="0.35">
      <c r="A33" s="70">
        <v>43250</v>
      </c>
      <c r="B33" s="71" t="s">
        <v>155</v>
      </c>
      <c r="C33" s="71" t="s">
        <v>156</v>
      </c>
      <c r="D33" s="71" t="s">
        <v>164</v>
      </c>
      <c r="E33" s="71" t="s">
        <v>165</v>
      </c>
      <c r="F33" s="72" t="s">
        <v>166</v>
      </c>
      <c r="G33" s="73"/>
      <c r="H33" s="74">
        <v>260.17</v>
      </c>
    </row>
    <row r="34" spans="1:8" x14ac:dyDescent="0.35">
      <c r="A34" s="67">
        <v>43264</v>
      </c>
      <c r="B34" s="68"/>
      <c r="C34" s="68"/>
      <c r="D34" s="68"/>
      <c r="E34" s="68"/>
      <c r="F34" s="68"/>
      <c r="G34" s="68"/>
      <c r="H34" s="69"/>
    </row>
    <row r="35" spans="1:8" x14ac:dyDescent="0.35">
      <c r="A35" s="70">
        <v>43264</v>
      </c>
      <c r="B35" s="71" t="s">
        <v>155</v>
      </c>
      <c r="C35" s="71" t="s">
        <v>156</v>
      </c>
      <c r="D35" s="71" t="s">
        <v>157</v>
      </c>
      <c r="E35" s="71" t="s">
        <v>158</v>
      </c>
      <c r="F35" s="72" t="s">
        <v>159</v>
      </c>
      <c r="G35" s="75">
        <v>30</v>
      </c>
      <c r="H35" s="74">
        <v>1358.37</v>
      </c>
    </row>
    <row r="36" spans="1:8" x14ac:dyDescent="0.35">
      <c r="A36" s="70">
        <v>43264</v>
      </c>
      <c r="B36" s="71" t="s">
        <v>155</v>
      </c>
      <c r="C36" s="71" t="s">
        <v>156</v>
      </c>
      <c r="D36" s="71" t="s">
        <v>160</v>
      </c>
      <c r="E36" s="71" t="s">
        <v>161</v>
      </c>
      <c r="F36" s="72" t="s">
        <v>160</v>
      </c>
      <c r="G36" s="73"/>
      <c r="H36" s="74">
        <v>93.04</v>
      </c>
    </row>
    <row r="37" spans="1:8" x14ac:dyDescent="0.35">
      <c r="A37" s="70">
        <v>43264</v>
      </c>
      <c r="B37" s="71" t="s">
        <v>155</v>
      </c>
      <c r="C37" s="71" t="s">
        <v>156</v>
      </c>
      <c r="D37" s="71" t="s">
        <v>160</v>
      </c>
      <c r="E37" s="71" t="s">
        <v>162</v>
      </c>
      <c r="F37" s="72" t="s">
        <v>160</v>
      </c>
      <c r="G37" s="73"/>
      <c r="H37" s="74">
        <v>8.84</v>
      </c>
    </row>
    <row r="38" spans="1:8" x14ac:dyDescent="0.35">
      <c r="A38" s="70">
        <v>43264</v>
      </c>
      <c r="B38" s="71" t="s">
        <v>155</v>
      </c>
      <c r="C38" s="71" t="s">
        <v>156</v>
      </c>
      <c r="D38" s="71" t="s">
        <v>160</v>
      </c>
      <c r="E38" s="71" t="s">
        <v>163</v>
      </c>
      <c r="F38" s="72" t="s">
        <v>160</v>
      </c>
      <c r="G38" s="73"/>
      <c r="H38" s="74">
        <v>16.98</v>
      </c>
    </row>
    <row r="39" spans="1:8" x14ac:dyDescent="0.35">
      <c r="A39" s="70">
        <v>43264</v>
      </c>
      <c r="B39" s="71" t="s">
        <v>155</v>
      </c>
      <c r="C39" s="71" t="s">
        <v>156</v>
      </c>
      <c r="D39" s="71" t="s">
        <v>164</v>
      </c>
      <c r="E39" s="71" t="s">
        <v>165</v>
      </c>
      <c r="F39" s="72" t="s">
        <v>166</v>
      </c>
      <c r="G39" s="73"/>
      <c r="H39" s="74">
        <v>129.05000000000001</v>
      </c>
    </row>
    <row r="40" spans="1:8" x14ac:dyDescent="0.35">
      <c r="A40" s="67">
        <v>43278</v>
      </c>
      <c r="B40" s="68"/>
      <c r="C40" s="68"/>
      <c r="D40" s="68"/>
      <c r="E40" s="68"/>
      <c r="F40" s="68"/>
      <c r="G40" s="68"/>
      <c r="H40" s="69"/>
    </row>
    <row r="41" spans="1:8" x14ac:dyDescent="0.35">
      <c r="A41" s="70">
        <v>43278</v>
      </c>
      <c r="B41" s="71" t="s">
        <v>155</v>
      </c>
      <c r="C41" s="71" t="s">
        <v>156</v>
      </c>
      <c r="D41" s="71" t="s">
        <v>157</v>
      </c>
      <c r="E41" s="71" t="s">
        <v>158</v>
      </c>
      <c r="F41" s="72" t="s">
        <v>159</v>
      </c>
      <c r="G41" s="75">
        <v>30</v>
      </c>
      <c r="H41" s="74">
        <v>1358.37</v>
      </c>
    </row>
    <row r="42" spans="1:8" x14ac:dyDescent="0.35">
      <c r="A42" s="70">
        <v>43278</v>
      </c>
      <c r="B42" s="71" t="s">
        <v>155</v>
      </c>
      <c r="C42" s="71" t="s">
        <v>156</v>
      </c>
      <c r="D42" s="71" t="s">
        <v>160</v>
      </c>
      <c r="E42" s="71" t="s">
        <v>161</v>
      </c>
      <c r="F42" s="72" t="s">
        <v>160</v>
      </c>
      <c r="G42" s="73"/>
      <c r="H42" s="74">
        <v>93.04</v>
      </c>
    </row>
    <row r="43" spans="1:8" x14ac:dyDescent="0.35">
      <c r="A43" s="70">
        <v>43278</v>
      </c>
      <c r="B43" s="71" t="s">
        <v>155</v>
      </c>
      <c r="C43" s="71" t="s">
        <v>156</v>
      </c>
      <c r="D43" s="71" t="s">
        <v>160</v>
      </c>
      <c r="E43" s="71" t="s">
        <v>162</v>
      </c>
      <c r="F43" s="72" t="s">
        <v>160</v>
      </c>
      <c r="G43" s="73"/>
      <c r="H43" s="74">
        <v>8.84</v>
      </c>
    </row>
    <row r="44" spans="1:8" x14ac:dyDescent="0.35">
      <c r="A44" s="70">
        <v>43278</v>
      </c>
      <c r="B44" s="71" t="s">
        <v>155</v>
      </c>
      <c r="C44" s="71" t="s">
        <v>156</v>
      </c>
      <c r="D44" s="71" t="s">
        <v>160</v>
      </c>
      <c r="E44" s="71" t="s">
        <v>163</v>
      </c>
      <c r="F44" s="72" t="s">
        <v>160</v>
      </c>
      <c r="G44" s="73"/>
      <c r="H44" s="74">
        <v>16.98</v>
      </c>
    </row>
    <row r="45" spans="1:8" x14ac:dyDescent="0.35">
      <c r="A45" s="70">
        <v>43278</v>
      </c>
      <c r="B45" s="71" t="s">
        <v>155</v>
      </c>
      <c r="C45" s="71" t="s">
        <v>156</v>
      </c>
      <c r="D45" s="71" t="s">
        <v>164</v>
      </c>
      <c r="E45" s="71" t="s">
        <v>165</v>
      </c>
      <c r="F45" s="72" t="s">
        <v>166</v>
      </c>
      <c r="G45" s="73"/>
      <c r="H45" s="74">
        <v>129.05000000000001</v>
      </c>
    </row>
    <row r="46" spans="1:8" x14ac:dyDescent="0.35">
      <c r="A46" s="67">
        <v>43292</v>
      </c>
      <c r="B46" s="68"/>
      <c r="C46" s="68"/>
      <c r="D46" s="68"/>
      <c r="E46" s="68"/>
      <c r="F46" s="68"/>
      <c r="G46" s="68"/>
      <c r="H46" s="69"/>
    </row>
    <row r="47" spans="1:8" x14ac:dyDescent="0.35">
      <c r="A47" s="70">
        <v>43292</v>
      </c>
      <c r="B47" s="71" t="s">
        <v>155</v>
      </c>
      <c r="C47" s="71" t="s">
        <v>156</v>
      </c>
      <c r="D47" s="71" t="s">
        <v>157</v>
      </c>
      <c r="E47" s="71" t="s">
        <v>158</v>
      </c>
      <c r="F47" s="72" t="s">
        <v>159</v>
      </c>
      <c r="G47" s="75">
        <v>15</v>
      </c>
      <c r="H47" s="74">
        <v>679.19</v>
      </c>
    </row>
    <row r="48" spans="1:8" x14ac:dyDescent="0.35">
      <c r="A48" s="70">
        <v>43292</v>
      </c>
      <c r="B48" s="71" t="s">
        <v>155</v>
      </c>
      <c r="C48" s="71" t="s">
        <v>156</v>
      </c>
      <c r="D48" s="71" t="s">
        <v>157</v>
      </c>
      <c r="E48" s="71" t="s">
        <v>158</v>
      </c>
      <c r="F48" s="72" t="s">
        <v>168</v>
      </c>
      <c r="G48" s="73">
        <v>16</v>
      </c>
      <c r="H48" s="74">
        <v>864.62</v>
      </c>
    </row>
    <row r="49" spans="1:9" x14ac:dyDescent="0.35">
      <c r="A49" s="70">
        <v>43292</v>
      </c>
      <c r="B49" s="71" t="s">
        <v>155</v>
      </c>
      <c r="C49" s="71" t="s">
        <v>156</v>
      </c>
      <c r="D49" s="71" t="s">
        <v>160</v>
      </c>
      <c r="E49" s="71" t="s">
        <v>161</v>
      </c>
      <c r="F49" s="72" t="s">
        <v>160</v>
      </c>
      <c r="G49" s="73"/>
      <c r="H49" s="74">
        <v>105.75</v>
      </c>
    </row>
    <row r="50" spans="1:9" x14ac:dyDescent="0.35">
      <c r="A50" s="70">
        <v>43292</v>
      </c>
      <c r="B50" s="71" t="s">
        <v>155</v>
      </c>
      <c r="C50" s="71" t="s">
        <v>156</v>
      </c>
      <c r="D50" s="71" t="s">
        <v>160</v>
      </c>
      <c r="E50" s="71" t="s">
        <v>162</v>
      </c>
      <c r="F50" s="72" t="s">
        <v>160</v>
      </c>
      <c r="G50" s="73"/>
      <c r="H50" s="74">
        <v>10.050000000000001</v>
      </c>
    </row>
    <row r="51" spans="1:9" x14ac:dyDescent="0.35">
      <c r="A51" s="70">
        <v>43292</v>
      </c>
      <c r="B51" s="71" t="s">
        <v>155</v>
      </c>
      <c r="C51" s="71" t="s">
        <v>156</v>
      </c>
      <c r="D51" s="71" t="s">
        <v>160</v>
      </c>
      <c r="E51" s="71" t="s">
        <v>163</v>
      </c>
      <c r="F51" s="72" t="s">
        <v>160</v>
      </c>
      <c r="G51" s="73"/>
      <c r="H51" s="74">
        <v>19.3</v>
      </c>
    </row>
    <row r="52" spans="1:9" x14ac:dyDescent="0.35">
      <c r="A52" s="70">
        <v>43292</v>
      </c>
      <c r="B52" s="71" t="s">
        <v>155</v>
      </c>
      <c r="C52" s="71" t="s">
        <v>156</v>
      </c>
      <c r="D52" s="71" t="s">
        <v>164</v>
      </c>
      <c r="E52" s="71" t="s">
        <v>165</v>
      </c>
      <c r="F52" s="72" t="s">
        <v>166</v>
      </c>
      <c r="G52" s="73"/>
      <c r="H52" s="74">
        <v>146.66</v>
      </c>
    </row>
    <row r="54" spans="1:9" x14ac:dyDescent="0.35">
      <c r="A54" s="76" t="s">
        <v>106</v>
      </c>
      <c r="B54" s="77"/>
      <c r="C54" s="77"/>
      <c r="D54" s="77"/>
      <c r="E54" s="77"/>
      <c r="F54" s="77"/>
      <c r="G54" s="78">
        <f>SUM(G47:G52,G41:G45,G35:G39,G27:G33,G21:G25,G15:G19,G9:G13,G3:G7)</f>
        <v>188.5</v>
      </c>
      <c r="H54" s="78">
        <f>SUM(H47:H52,H41:H45,H35:H39,H27:H33,H21:H25,H15:H19,H9:H13,H3:H7)</f>
        <v>10540.470000000001</v>
      </c>
      <c r="I54" s="76">
        <f>SUM(H54/G54)</f>
        <v>55.917612732095499</v>
      </c>
    </row>
  </sheetData>
  <mergeCells count="8">
    <mergeCell ref="A40:H40"/>
    <mergeCell ref="A46:H46"/>
    <mergeCell ref="A2:H2"/>
    <mergeCell ref="A8:H8"/>
    <mergeCell ref="A14:H14"/>
    <mergeCell ref="A20:H20"/>
    <mergeCell ref="A26:H26"/>
    <mergeCell ref="A34:H3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Summary_Payments_vs dates</vt:lpstr>
      <vt:lpstr>W10-W19</vt:lpstr>
      <vt:lpstr>W20-W32</vt:lpstr>
      <vt:lpstr>Angelica_hist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Lopez</dc:creator>
  <cp:lastModifiedBy>Angelica Lopez</cp:lastModifiedBy>
  <dcterms:created xsi:type="dcterms:W3CDTF">2018-08-12T01:49:52Z</dcterms:created>
  <dcterms:modified xsi:type="dcterms:W3CDTF">2018-08-12T04:12:11Z</dcterms:modified>
</cp:coreProperties>
</file>