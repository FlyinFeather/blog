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35389\Dropbox\Statistical Support Network\Current_folder_July_2018\Stocktake_24072018\"/>
    </mc:Choice>
  </mc:AlternateContent>
  <xr:revisionPtr revIDLastSave="0" documentId="13_ncr:1_{C49B3DA6-00B3-422A-BA07-88418A4AA9BB}" xr6:coauthVersionLast="33" xr6:coauthVersionMax="33" xr10:uidLastSave="{00000000-0000-0000-0000-000000000000}"/>
  <bookViews>
    <workbookView xWindow="0" yWindow="0" windowWidth="21570" windowHeight="7980" xr2:uid="{5DC503AC-E569-42CE-9609-A765FCF27A07}"/>
  </bookViews>
  <sheets>
    <sheet name="Angelica" sheetId="1" r:id="rId1"/>
    <sheet name="Angelica_hist" sheetId="2" r:id="rId2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9" i="1" l="1"/>
  <c r="E275" i="1"/>
  <c r="G205" i="1"/>
  <c r="G229" i="1"/>
  <c r="G254" i="1"/>
  <c r="G275" i="1"/>
  <c r="B347" i="1"/>
  <c r="B345" i="1"/>
  <c r="B348" i="1"/>
  <c r="B344" i="1"/>
  <c r="B346" i="1"/>
  <c r="E103" i="1"/>
  <c r="E65" i="1"/>
  <c r="E338" i="1"/>
  <c r="E317" i="1"/>
  <c r="E296" i="1"/>
  <c r="F254" i="1"/>
  <c r="H54" i="2"/>
  <c r="G54" i="2"/>
  <c r="I54" i="2"/>
  <c r="E327" i="1"/>
  <c r="E264" i="1"/>
  <c r="E253" i="1"/>
  <c r="E228" i="1"/>
  <c r="E204" i="1"/>
  <c r="E193" i="1"/>
  <c r="E168" i="1"/>
  <c r="E179" i="1"/>
  <c r="E156" i="1"/>
  <c r="E102" i="1"/>
  <c r="E90" i="1"/>
  <c r="E76" i="1"/>
  <c r="E42" i="1"/>
  <c r="E54" i="1"/>
  <c r="E64" i="1"/>
  <c r="E119" i="1"/>
  <c r="E132" i="1"/>
  <c r="E240" i="1"/>
  <c r="E145" i="1"/>
  <c r="E254" i="1"/>
  <c r="E205" i="1"/>
  <c r="E133" i="1"/>
  <c r="E43" i="1"/>
  <c r="F43" i="1"/>
  <c r="G43" i="1"/>
  <c r="F65" i="1"/>
  <c r="G65" i="1"/>
  <c r="G104" i="1"/>
  <c r="F133" i="1"/>
  <c r="G133" i="1"/>
  <c r="E157" i="1"/>
  <c r="F157" i="1"/>
  <c r="G157" i="1"/>
  <c r="E180" i="1"/>
  <c r="F180" i="1"/>
  <c r="G180" i="1"/>
  <c r="F205" i="1"/>
  <c r="F229" i="1"/>
  <c r="G296" i="1"/>
  <c r="G317" i="1"/>
  <c r="G338" i="1"/>
  <c r="E218" i="1"/>
  <c r="E25" i="1"/>
</calcChain>
</file>

<file path=xl/sharedStrings.xml><?xml version="1.0" encoding="utf-8"?>
<sst xmlns="http://schemas.openxmlformats.org/spreadsheetml/2006/main" count="790" uniqueCount="160">
  <si>
    <t>Angelica Lopez</t>
  </si>
  <si>
    <t>Week of 26/02/2018</t>
  </si>
  <si>
    <t>Start</t>
  </si>
  <si>
    <t>Finish</t>
  </si>
  <si>
    <t>Hrs worked</t>
  </si>
  <si>
    <t xml:space="preserve"> Total Pay </t>
  </si>
  <si>
    <t>Description</t>
  </si>
  <si>
    <t>Monday</t>
  </si>
  <si>
    <t>Tuesday</t>
  </si>
  <si>
    <t>Wednesday</t>
  </si>
  <si>
    <t>Thursday</t>
  </si>
  <si>
    <t>Friday</t>
  </si>
  <si>
    <t>Saturday</t>
  </si>
  <si>
    <t>Sunday</t>
  </si>
  <si>
    <t>Week of 05/03/2018</t>
  </si>
  <si>
    <t>before this point all work was PAID IN VOUCHERS…</t>
  </si>
  <si>
    <t>ANTHONY's INPUT</t>
  </si>
  <si>
    <t>Week of 12/03/2018</t>
  </si>
  <si>
    <t>Hrs Paid</t>
  </si>
  <si>
    <t>Payment received</t>
  </si>
  <si>
    <t>Seaching by courses using different terminology to list the list of statistical courses offered at UC. The whole dataset is complete it</t>
  </si>
  <si>
    <t>Regular Drop in</t>
  </si>
  <si>
    <t>organized files. In dropbox. Reading and organized the whole files and build a dataset of files.</t>
  </si>
  <si>
    <t>TOTAL</t>
  </si>
  <si>
    <t>Hours submitted</t>
  </si>
  <si>
    <t>Hours owing</t>
  </si>
  <si>
    <t>Tuesday 21 March</t>
  </si>
  <si>
    <t>Payday</t>
  </si>
  <si>
    <t>Week of 19/03/2018</t>
  </si>
  <si>
    <t>Statistical Network project process and possible tasks. In dropbox.</t>
  </si>
  <si>
    <t xml:space="preserve"> </t>
  </si>
  <si>
    <t>Week of 26/03/2018</t>
  </si>
  <si>
    <t>meeting with Anthony check face</t>
  </si>
  <si>
    <t>Wednesday 28 march</t>
  </si>
  <si>
    <t>Drop in session</t>
  </si>
  <si>
    <t xml:space="preserve">Buiding document for stats process. </t>
  </si>
  <si>
    <t>Writing Process document</t>
  </si>
  <si>
    <t>Tuesday 4th April</t>
  </si>
  <si>
    <t>Week of 02/04/2018</t>
  </si>
  <si>
    <t xml:space="preserve">Tuesday 3 April </t>
  </si>
  <si>
    <t>Easter monday</t>
  </si>
  <si>
    <t>meeting Anthony, set up email and tasks</t>
  </si>
  <si>
    <t>Coding Anna meta analysis</t>
  </si>
  <si>
    <t>Emails and fixing plots for Anna</t>
  </si>
  <si>
    <t>Emails, follow up (Abel Zhou, conversation with Anna)</t>
  </si>
  <si>
    <t>minus5previous pay</t>
  </si>
  <si>
    <t>Week of 09/04/2018</t>
  </si>
  <si>
    <t>Individual consultation Anna</t>
  </si>
  <si>
    <t>15:30 PM</t>
  </si>
  <si>
    <t>Admin, answering and writing emails (Sam Kosari and Sucholana)</t>
  </si>
  <si>
    <t>Tuesday 17payday</t>
  </si>
  <si>
    <t>Meeting Anthony</t>
  </si>
  <si>
    <t>MISSED</t>
  </si>
  <si>
    <t>hours owing</t>
  </si>
  <si>
    <t>n/a</t>
  </si>
  <si>
    <t>This includes missed hours from this pay</t>
  </si>
  <si>
    <t>Week of 16/04/2018</t>
  </si>
  <si>
    <t>11.30 am</t>
  </si>
  <si>
    <t>Response emails, references to Anna and ackwoledgement</t>
  </si>
  <si>
    <t>Meeting with Kym</t>
  </si>
  <si>
    <t>First report Kym, see the email</t>
  </si>
  <si>
    <t>END CONTRACT START A NEW ONE</t>
  </si>
  <si>
    <t>Week of 23/04/2018</t>
  </si>
  <si>
    <t>Update dataset of drop-in sessions and emails.</t>
  </si>
  <si>
    <t>4:30pm</t>
  </si>
  <si>
    <t>Response to Michelle Montgomery about her Logistic regression problem</t>
  </si>
  <si>
    <t>Second response to kym, analysis of survey II part</t>
  </si>
  <si>
    <t>ANZAC DAY</t>
  </si>
  <si>
    <t>10 (Ant Bank)</t>
  </si>
  <si>
    <t>planned please check after</t>
  </si>
  <si>
    <t>Meeting Kym</t>
  </si>
  <si>
    <t>Tuesday 2nd May 2018</t>
  </si>
  <si>
    <t>Behind including pay missed from previous pay cycle</t>
  </si>
  <si>
    <t>Week of 30/04/2018</t>
  </si>
  <si>
    <t>Child survey Kym report</t>
  </si>
  <si>
    <t>Check, write and response email</t>
  </si>
  <si>
    <t>Week of 07/05/2018</t>
  </si>
  <si>
    <t>Meeting with Sam Kosari.</t>
  </si>
  <si>
    <t>Tuesday 16th May 2018</t>
  </si>
  <si>
    <t>Week of 14/05/2018</t>
  </si>
  <si>
    <t>Office consultation</t>
  </si>
  <si>
    <t xml:space="preserve"> Reading information for Petrarki consultation</t>
  </si>
  <si>
    <t xml:space="preserve">Answering email and sending references </t>
  </si>
  <si>
    <t>Week of 21/05/2018</t>
  </si>
  <si>
    <t>Meeting preparation for Rebecca data management data</t>
  </si>
  <si>
    <t>Preparation, meeting and data exploration Mohammed.</t>
  </si>
  <si>
    <t>30th May 2018</t>
  </si>
  <si>
    <t>Week of 28/05/2018</t>
  </si>
  <si>
    <t xml:space="preserve">Consultation Sam Kosari (at university) and meeting Reihaneh </t>
  </si>
  <si>
    <t>Week of 04/06/2018</t>
  </si>
  <si>
    <t>Office consultation (Florence)</t>
  </si>
  <si>
    <t>Finishing consultation for E. Petraki/ Mohammed</t>
  </si>
  <si>
    <t>Answer mails and sending documentation.</t>
  </si>
  <si>
    <t>13th June 2018</t>
  </si>
  <si>
    <t>Week of 11/06/2018</t>
  </si>
  <si>
    <t>Preparing and sending plots (Sam and Robert)</t>
  </si>
  <si>
    <t>Answering mails and consultations</t>
  </si>
  <si>
    <t>Week of 18/06/2018</t>
  </si>
  <si>
    <t>Where did this come from???</t>
  </si>
  <si>
    <t>27th June 2018</t>
  </si>
  <si>
    <t>Week of 25/06/2018</t>
  </si>
  <si>
    <t>,</t>
  </si>
  <si>
    <t xml:space="preserve">Preparing consulation Jonathon </t>
  </si>
  <si>
    <t>Answer email and consultations</t>
  </si>
  <si>
    <t>Week of 02/07/2018</t>
  </si>
  <si>
    <t>Cleaning database, sending invitation email</t>
  </si>
  <si>
    <t>Answering mails</t>
  </si>
  <si>
    <t>11th July 2018</t>
  </si>
  <si>
    <t>Week of 09/07/2018</t>
  </si>
  <si>
    <t>Answering Sam Kusori consultation</t>
  </si>
  <si>
    <t>Week of 16/07/2018</t>
  </si>
  <si>
    <t>Week of 23/07/2018</t>
  </si>
  <si>
    <t>Week of 30/07/2018</t>
  </si>
  <si>
    <t>SUMIT ON 31st July 2018</t>
  </si>
  <si>
    <t>9th August 2018</t>
  </si>
  <si>
    <t>Week of 06/08/2018</t>
  </si>
  <si>
    <t>Week of 13/08/2018</t>
  </si>
  <si>
    <t>23rd August 2018</t>
  </si>
  <si>
    <t>Week of 20/08/2018</t>
  </si>
  <si>
    <t>Week of 26/08/2018</t>
  </si>
  <si>
    <t>6th September 2018</t>
  </si>
  <si>
    <t>TOTALS THAT SHOULD MATCH PAYSHEET ON ALTERNATE SHEET (Angelica_hist)</t>
  </si>
  <si>
    <t>Sheet</t>
  </si>
  <si>
    <t>Total hours</t>
  </si>
  <si>
    <t>Notes</t>
  </si>
  <si>
    <t>Angelica_hist</t>
  </si>
  <si>
    <t>This is the offical payment record from the university of canberra.</t>
  </si>
  <si>
    <t>Timesheet_recorded above</t>
  </si>
  <si>
    <t xml:space="preserve">This is the timesheet recorded here as I understand it. Your raw timesheet is to the left of the finalised timesheet above. If I have miss translated something please highlight this for me. </t>
  </si>
  <si>
    <t>Difference</t>
  </si>
  <si>
    <t>Period End Date</t>
  </si>
  <si>
    <t>Surname</t>
  </si>
  <si>
    <t>Preferred Name</t>
  </si>
  <si>
    <t>GL Record Type Description</t>
  </si>
  <si>
    <t>Account Number Prefix</t>
  </si>
  <si>
    <t>Paycode</t>
  </si>
  <si>
    <t>Salary Hours</t>
  </si>
  <si>
    <t>Amt$</t>
  </si>
  <si>
    <t>LOPEZ</t>
  </si>
  <si>
    <t>Angelica</t>
  </si>
  <si>
    <t>Earnings</t>
  </si>
  <si>
    <t>50002</t>
  </si>
  <si>
    <t>Rate P - Other</t>
  </si>
  <si>
    <t>Oncosts</t>
  </si>
  <si>
    <t>50018</t>
  </si>
  <si>
    <t>50020</t>
  </si>
  <si>
    <t>50021</t>
  </si>
  <si>
    <t>Subsidies</t>
  </si>
  <si>
    <t>50016</t>
  </si>
  <si>
    <t>Super</t>
  </si>
  <si>
    <t>Rate O - Marking</t>
  </si>
  <si>
    <t>Rate Q - Other</t>
  </si>
  <si>
    <t>Where did this come from? I Have added this in as hours but not sure if this was a mistake or actual hours</t>
  </si>
  <si>
    <t>Hours to be paid if current timesheet and timetable is followed.</t>
  </si>
  <si>
    <t>Statistic network will pay 15hrs over over the next two payment cycles as shown above…</t>
  </si>
  <si>
    <t>Expected input total</t>
  </si>
  <si>
    <t>Finishing balance</t>
  </si>
  <si>
    <t>Record hours for this week (hopefully 10??)</t>
  </si>
  <si>
    <t>Record hours for this week (only 2 is fine to catch up)</t>
  </si>
  <si>
    <t>Record hours for 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</si>
</sst>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d\/mm\/yyyy"/>
    <numFmt numFmtId="165" formatCode="\$#,##0.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24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175B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/>
      <top style="thin">
        <color rgb="FFCAC9D9"/>
      </top>
      <bottom style="thin">
        <color rgb="FFCAC9D9"/>
      </bottom>
      <diagonal/>
    </border>
    <border>
      <left/>
      <right/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2">
    <xf numFmtId="0" fontId="0" fillId="0" borderId="0"/>
    <xf numFmtId="0" fontId="11" fillId="0" borderId="0"/>
  </cellStyleXfs>
  <cellXfs count="12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8" fontId="0" fillId="0" borderId="0" xfId="0" applyNumberFormat="1" applyAlignment="1" applyProtection="1">
      <alignment wrapText="1"/>
      <protection locked="0"/>
    </xf>
    <xf numFmtId="8" fontId="0" fillId="0" borderId="0" xfId="0" applyNumberFormat="1" applyAlignment="1" applyProtection="1">
      <alignment wrapText="1"/>
      <protection locked="0"/>
    </xf>
    <xf numFmtId="20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 applyProtection="1">
      <alignment wrapText="1"/>
      <protection locked="0"/>
    </xf>
    <xf numFmtId="0" fontId="2" fillId="4" borderId="0" xfId="0" applyFont="1" applyFill="1" applyAlignment="1" applyProtection="1">
      <alignment wrapText="1"/>
      <protection locked="0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 applyProtection="1">
      <alignment wrapText="1"/>
      <protection locked="0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0" fillId="9" borderId="0" xfId="0" applyFill="1" applyAlignment="1">
      <alignment wrapText="1"/>
    </xf>
    <xf numFmtId="18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  <xf numFmtId="20" fontId="5" fillId="0" borderId="0" xfId="0" applyNumberFormat="1" applyFont="1" applyAlignment="1" applyProtection="1">
      <alignment wrapText="1"/>
      <protection locked="0"/>
    </xf>
    <xf numFmtId="0" fontId="2" fillId="3" borderId="0" xfId="0" applyFont="1" applyFill="1" applyAlignment="1" applyProtection="1">
      <alignment wrapText="1"/>
      <protection locked="0"/>
    </xf>
    <xf numFmtId="8" fontId="5" fillId="0" borderId="0" xfId="0" applyNumberFormat="1" applyFont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2" fillId="0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2" fillId="10" borderId="0" xfId="0" applyFont="1" applyFill="1" applyAlignment="1" applyProtection="1">
      <alignment wrapText="1"/>
      <protection locked="0"/>
    </xf>
    <xf numFmtId="0" fontId="2" fillId="10" borderId="0" xfId="0" applyFont="1" applyFill="1" applyAlignment="1">
      <alignment wrapText="1"/>
    </xf>
    <xf numFmtId="0" fontId="0" fillId="10" borderId="0" xfId="0" applyFill="1" applyAlignment="1" applyProtection="1">
      <alignment wrapText="1"/>
      <protection locked="0"/>
    </xf>
    <xf numFmtId="18" fontId="0" fillId="10" borderId="0" xfId="0" applyNumberFormat="1" applyFill="1" applyAlignment="1" applyProtection="1">
      <alignment wrapText="1"/>
      <protection locked="0"/>
    </xf>
    <xf numFmtId="8" fontId="0" fillId="10" borderId="0" xfId="0" applyNumberFormat="1" applyFill="1" applyAlignment="1" applyProtection="1">
      <alignment wrapText="1"/>
      <protection locked="0"/>
    </xf>
    <xf numFmtId="20" fontId="0" fillId="10" borderId="0" xfId="0" applyNumberFormat="1" applyFill="1" applyAlignment="1">
      <alignment wrapText="1"/>
    </xf>
    <xf numFmtId="20" fontId="0" fillId="10" borderId="0" xfId="0" applyNumberFormat="1" applyFill="1" applyAlignment="1" applyProtection="1">
      <alignment wrapText="1"/>
      <protection locked="0"/>
    </xf>
    <xf numFmtId="20" fontId="0" fillId="0" borderId="0" xfId="0" applyNumberFormat="1" applyAlignment="1" applyProtection="1">
      <alignment wrapText="1"/>
      <protection locked="0"/>
    </xf>
    <xf numFmtId="0" fontId="0" fillId="0" borderId="0" xfId="0" applyFill="1" applyAlignment="1" applyProtection="1">
      <alignment wrapText="1"/>
      <protection locked="0"/>
    </xf>
    <xf numFmtId="18" fontId="0" fillId="0" borderId="0" xfId="0" applyNumberFormat="1" applyFill="1" applyAlignment="1">
      <alignment wrapText="1"/>
    </xf>
    <xf numFmtId="18" fontId="0" fillId="0" borderId="0" xfId="0" applyNumberFormat="1" applyFill="1" applyAlignment="1" applyProtection="1">
      <alignment wrapText="1"/>
      <protection locked="0"/>
    </xf>
    <xf numFmtId="8" fontId="0" fillId="0" borderId="0" xfId="0" applyNumberFormat="1" applyFill="1" applyAlignment="1" applyProtection="1">
      <alignment wrapText="1"/>
      <protection locked="0"/>
    </xf>
    <xf numFmtId="18" fontId="2" fillId="7" borderId="0" xfId="0" applyNumberFormat="1" applyFont="1" applyFill="1" applyAlignment="1" applyProtection="1">
      <alignment wrapText="1"/>
      <protection locked="0"/>
    </xf>
    <xf numFmtId="2" fontId="0" fillId="0" borderId="0" xfId="0" applyNumberFormat="1" applyAlignment="1">
      <alignment wrapText="1"/>
    </xf>
    <xf numFmtId="0" fontId="0" fillId="11" borderId="0" xfId="0" applyFill="1" applyAlignment="1">
      <alignment wrapText="1"/>
    </xf>
    <xf numFmtId="0" fontId="2" fillId="0" borderId="0" xfId="0" applyFont="1" applyFill="1" applyAlignment="1" applyProtection="1">
      <alignment wrapText="1"/>
      <protection locked="0"/>
    </xf>
    <xf numFmtId="18" fontId="2" fillId="0" borderId="0" xfId="0" applyNumberFormat="1" applyFont="1" applyFill="1" applyAlignment="1">
      <alignment wrapText="1"/>
    </xf>
    <xf numFmtId="18" fontId="2" fillId="0" borderId="0" xfId="0" applyNumberFormat="1" applyFont="1" applyFill="1" applyAlignment="1" applyProtection="1">
      <alignment wrapText="1"/>
      <protection locked="0"/>
    </xf>
    <xf numFmtId="0" fontId="1" fillId="0" borderId="0" xfId="0" applyFont="1" applyFill="1" applyAlignment="1">
      <alignment wrapText="1"/>
    </xf>
    <xf numFmtId="20" fontId="0" fillId="0" borderId="0" xfId="0" applyNumberFormat="1" applyFill="1" applyAlignment="1">
      <alignment wrapText="1"/>
    </xf>
    <xf numFmtId="20" fontId="5" fillId="0" borderId="0" xfId="0" applyNumberFormat="1" applyFont="1" applyFill="1" applyAlignment="1" applyProtection="1">
      <alignment wrapText="1"/>
      <protection locked="0"/>
    </xf>
    <xf numFmtId="0" fontId="5" fillId="0" borderId="0" xfId="0" applyFont="1" applyFill="1" applyAlignment="1" applyProtection="1">
      <alignment wrapText="1"/>
      <protection locked="0"/>
    </xf>
    <xf numFmtId="8" fontId="5" fillId="0" borderId="0" xfId="0" applyNumberFormat="1" applyFont="1" applyFill="1" applyAlignment="1" applyProtection="1">
      <alignment wrapText="1"/>
      <protection locked="0"/>
    </xf>
    <xf numFmtId="0" fontId="0" fillId="9" borderId="0" xfId="0" applyFill="1" applyAlignment="1" applyProtection="1">
      <alignment wrapText="1"/>
      <protection locked="0"/>
    </xf>
    <xf numFmtId="8" fontId="1" fillId="0" borderId="0" xfId="0" applyNumberFormat="1" applyFont="1" applyFill="1" applyAlignment="1" applyProtection="1">
      <alignment wrapText="1"/>
      <protection locked="0"/>
    </xf>
    <xf numFmtId="20" fontId="0" fillId="0" borderId="0" xfId="0" applyNumberFormat="1" applyFill="1" applyAlignment="1" applyProtection="1">
      <alignment wrapText="1"/>
      <protection locked="0"/>
    </xf>
    <xf numFmtId="18" fontId="2" fillId="7" borderId="0" xfId="0" applyNumberFormat="1" applyFont="1" applyFill="1" applyAlignment="1">
      <alignment wrapText="1"/>
    </xf>
    <xf numFmtId="2" fontId="2" fillId="7" borderId="0" xfId="0" applyNumberFormat="1" applyFont="1" applyFill="1" applyAlignment="1" applyProtection="1">
      <alignment wrapText="1"/>
      <protection locked="0"/>
    </xf>
    <xf numFmtId="2" fontId="2" fillId="8" borderId="0" xfId="0" applyNumberFormat="1" applyFont="1" applyFill="1" applyAlignment="1">
      <alignment wrapText="1"/>
    </xf>
    <xf numFmtId="20" fontId="7" fillId="0" borderId="0" xfId="0" applyNumberFormat="1" applyFont="1" applyAlignment="1" applyProtection="1">
      <alignment wrapText="1"/>
      <protection locked="0"/>
    </xf>
    <xf numFmtId="20" fontId="7" fillId="0" borderId="0" xfId="0" applyNumberFormat="1" applyFont="1" applyFill="1" applyAlignment="1" applyProtection="1">
      <alignment wrapText="1"/>
      <protection locked="0"/>
    </xf>
    <xf numFmtId="0" fontId="7" fillId="0" borderId="0" xfId="0" applyFont="1" applyFill="1" applyAlignment="1" applyProtection="1">
      <alignment wrapText="1"/>
      <protection locked="0"/>
    </xf>
    <xf numFmtId="8" fontId="7" fillId="0" borderId="0" xfId="0" applyNumberFormat="1" applyFont="1" applyFill="1" applyAlignment="1" applyProtection="1">
      <alignment wrapText="1"/>
      <protection locked="0"/>
    </xf>
    <xf numFmtId="8" fontId="2" fillId="0" borderId="0" xfId="0" applyNumberFormat="1" applyFont="1" applyFill="1" applyAlignment="1" applyProtection="1">
      <alignment wrapText="1"/>
      <protection locked="0"/>
    </xf>
    <xf numFmtId="0" fontId="0" fillId="0" borderId="0" xfId="0" applyNumberFormat="1" applyFill="1" applyAlignment="1" applyProtection="1">
      <alignment wrapText="1"/>
      <protection locked="0"/>
    </xf>
    <xf numFmtId="0" fontId="5" fillId="0" borderId="0" xfId="0" applyNumberFormat="1" applyFont="1" applyFill="1" applyAlignment="1" applyProtection="1">
      <alignment wrapText="1"/>
      <protection locked="0"/>
    </xf>
    <xf numFmtId="0" fontId="0" fillId="0" borderId="0" xfId="0" applyFont="1" applyAlignment="1">
      <alignment wrapText="1"/>
    </xf>
    <xf numFmtId="2" fontId="2" fillId="0" borderId="0" xfId="0" applyNumberFormat="1" applyFont="1" applyFill="1" applyAlignment="1">
      <alignment wrapText="1"/>
    </xf>
    <xf numFmtId="2" fontId="2" fillId="4" borderId="0" xfId="0" applyNumberFormat="1" applyFont="1" applyFill="1" applyAlignment="1" applyProtection="1">
      <alignment wrapText="1"/>
      <protection locked="0"/>
    </xf>
    <xf numFmtId="15" fontId="2" fillId="6" borderId="0" xfId="0" applyNumberFormat="1" applyFont="1" applyFill="1" applyAlignment="1">
      <alignment wrapText="1"/>
    </xf>
    <xf numFmtId="18" fontId="0" fillId="7" borderId="0" xfId="0" applyNumberFormat="1" applyFill="1" applyAlignment="1">
      <alignment wrapText="1"/>
    </xf>
    <xf numFmtId="18" fontId="0" fillId="7" borderId="0" xfId="0" applyNumberFormat="1" applyFill="1" applyAlignment="1" applyProtection="1">
      <alignment wrapText="1"/>
      <protection locked="0"/>
    </xf>
    <xf numFmtId="0" fontId="8" fillId="0" borderId="1" xfId="0" applyFont="1" applyFill="1" applyBorder="1" applyAlignment="1">
      <alignment horizontal="center" wrapText="1"/>
    </xf>
    <xf numFmtId="0" fontId="0" fillId="5" borderId="0" xfId="0" applyFill="1" applyAlignment="1">
      <alignment wrapText="1"/>
    </xf>
    <xf numFmtId="2" fontId="0" fillId="5" borderId="0" xfId="0" applyNumberFormat="1" applyFill="1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Fill="1" applyBorder="1" applyProtection="1">
      <protection locked="0"/>
    </xf>
    <xf numFmtId="20" fontId="0" fillId="0" borderId="0" xfId="0" applyNumberFormat="1" applyFill="1" applyBorder="1" applyProtection="1">
      <protection locked="0"/>
    </xf>
    <xf numFmtId="0" fontId="0" fillId="0" borderId="0" xfId="0" applyFill="1" applyBorder="1"/>
    <xf numFmtId="8" fontId="0" fillId="0" borderId="0" xfId="0" applyNumberFormat="1" applyFill="1" applyBorder="1" applyProtection="1">
      <protection locked="0"/>
    </xf>
    <xf numFmtId="0" fontId="0" fillId="0" borderId="0" xfId="0" applyFill="1" applyBorder="1" applyAlignment="1">
      <alignment wrapText="1"/>
    </xf>
    <xf numFmtId="18" fontId="0" fillId="0" borderId="0" xfId="0" applyNumberForma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2" fillId="0" borderId="0" xfId="0" applyFont="1" applyFill="1" applyBorder="1"/>
    <xf numFmtId="0" fontId="2" fillId="0" borderId="0" xfId="0" applyFont="1" applyFill="1" applyBorder="1" applyAlignment="1" applyProtection="1">
      <alignment wrapText="1"/>
      <protection locked="0"/>
    </xf>
    <xf numFmtId="18" fontId="2" fillId="0" borderId="0" xfId="0" applyNumberFormat="1" applyFont="1" applyFill="1" applyBorder="1" applyAlignment="1">
      <alignment wrapText="1"/>
    </xf>
    <xf numFmtId="18" fontId="2" fillId="0" borderId="0" xfId="0" applyNumberFormat="1" applyFont="1" applyFill="1" applyBorder="1" applyAlignment="1" applyProtection="1">
      <alignment wrapText="1"/>
      <protection locked="0"/>
    </xf>
    <xf numFmtId="0" fontId="10" fillId="0" borderId="0" xfId="0" applyFont="1" applyFill="1" applyBorder="1" applyAlignment="1" applyProtection="1">
      <alignment wrapText="1"/>
      <protection locked="0"/>
    </xf>
    <xf numFmtId="49" fontId="12" fillId="14" borderId="2" xfId="1" applyNumberFormat="1" applyFont="1" applyFill="1" applyBorder="1" applyAlignment="1">
      <alignment horizontal="center" vertical="center" wrapText="1"/>
    </xf>
    <xf numFmtId="164" fontId="14" fillId="15" borderId="6" xfId="1" applyNumberFormat="1" applyFont="1" applyFill="1" applyBorder="1" applyAlignment="1">
      <alignment horizontal="center" vertical="top"/>
    </xf>
    <xf numFmtId="49" fontId="14" fillId="15" borderId="6" xfId="1" applyNumberFormat="1" applyFont="1" applyFill="1" applyBorder="1" applyAlignment="1">
      <alignment horizontal="left" vertical="center"/>
    </xf>
    <xf numFmtId="49" fontId="14" fillId="15" borderId="6" xfId="1" applyNumberFormat="1" applyFont="1" applyFill="1" applyBorder="1" applyAlignment="1">
      <alignment horizontal="left" wrapText="1"/>
    </xf>
    <xf numFmtId="2" fontId="14" fillId="15" borderId="6" xfId="1" applyNumberFormat="1" applyFont="1" applyFill="1" applyBorder="1" applyAlignment="1">
      <alignment horizontal="center"/>
    </xf>
    <xf numFmtId="165" fontId="14" fillId="15" borderId="6" xfId="1" applyNumberFormat="1" applyFont="1" applyFill="1" applyBorder="1" applyAlignment="1">
      <alignment horizontal="right"/>
    </xf>
    <xf numFmtId="0" fontId="2" fillId="16" borderId="1" xfId="0" applyFont="1" applyFill="1" applyBorder="1"/>
    <xf numFmtId="0" fontId="10" fillId="0" borderId="0" xfId="0" applyFont="1" applyFill="1" applyBorder="1"/>
    <xf numFmtId="2" fontId="2" fillId="16" borderId="1" xfId="0" applyNumberFormat="1" applyFont="1" applyFill="1" applyBorder="1"/>
    <xf numFmtId="2" fontId="3" fillId="16" borderId="0" xfId="0" applyNumberFormat="1" applyFont="1" applyFill="1" applyAlignment="1">
      <alignment wrapText="1"/>
    </xf>
    <xf numFmtId="0" fontId="2" fillId="9" borderId="0" xfId="0" applyFont="1" applyFill="1" applyAlignment="1" applyProtection="1">
      <alignment wrapText="1"/>
      <protection locked="0"/>
    </xf>
    <xf numFmtId="18" fontId="0" fillId="9" borderId="0" xfId="0" applyNumberFormat="1" applyFill="1" applyAlignment="1">
      <alignment wrapText="1"/>
    </xf>
    <xf numFmtId="18" fontId="0" fillId="9" borderId="0" xfId="0" applyNumberFormat="1" applyFill="1" applyAlignment="1" applyProtection="1">
      <alignment wrapText="1"/>
      <protection locked="0"/>
    </xf>
    <xf numFmtId="8" fontId="0" fillId="9" borderId="0" xfId="0" applyNumberFormat="1" applyFill="1" applyAlignment="1" applyProtection="1">
      <alignment wrapText="1"/>
      <protection locked="0"/>
    </xf>
    <xf numFmtId="20" fontId="0" fillId="9" borderId="0" xfId="0" applyNumberFormat="1" applyFill="1" applyAlignment="1">
      <alignment wrapText="1"/>
    </xf>
    <xf numFmtId="20" fontId="0" fillId="9" borderId="0" xfId="0" applyNumberFormat="1" applyFill="1" applyAlignment="1" applyProtection="1">
      <alignment wrapText="1"/>
      <protection locked="0"/>
    </xf>
    <xf numFmtId="0" fontId="2" fillId="9" borderId="0" xfId="0" applyFont="1" applyFill="1" applyAlignment="1">
      <alignment wrapText="1"/>
    </xf>
    <xf numFmtId="0" fontId="0" fillId="9" borderId="0" xfId="0" applyFill="1" applyAlignment="1">
      <alignment horizontal="center" wrapText="1"/>
    </xf>
    <xf numFmtId="0" fontId="6" fillId="12" borderId="0" xfId="0" applyFont="1" applyFill="1" applyAlignment="1">
      <alignment horizontal="center" wrapText="1"/>
    </xf>
    <xf numFmtId="0" fontId="8" fillId="12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164" fontId="13" fillId="15" borderId="3" xfId="1" applyNumberFormat="1" applyFont="1" applyFill="1" applyBorder="1" applyAlignment="1">
      <alignment horizontal="center" vertical="top"/>
    </xf>
    <xf numFmtId="164" fontId="13" fillId="15" borderId="4" xfId="1" applyNumberFormat="1" applyFont="1" applyFill="1" applyBorder="1" applyAlignment="1">
      <alignment horizontal="center" vertical="top"/>
    </xf>
    <xf numFmtId="164" fontId="13" fillId="15" borderId="5" xfId="1" applyNumberFormat="1" applyFont="1" applyFill="1" applyBorder="1" applyAlignment="1">
      <alignment horizontal="center" vertical="top"/>
    </xf>
    <xf numFmtId="0" fontId="2" fillId="13" borderId="0" xfId="0" applyNumberFormat="1" applyFont="1" applyFill="1" applyAlignment="1" applyProtection="1">
      <alignment wrapText="1"/>
      <protection locked="0"/>
    </xf>
    <xf numFmtId="0" fontId="9" fillId="16" borderId="0" xfId="0" applyFont="1" applyFill="1" applyBorder="1" applyAlignment="1">
      <alignment horizontal="center" wrapText="1"/>
    </xf>
    <xf numFmtId="2" fontId="15" fillId="3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18" fontId="5" fillId="0" borderId="0" xfId="0" applyNumberFormat="1" applyFont="1" applyFill="1" applyAlignment="1">
      <alignment wrapText="1"/>
    </xf>
    <xf numFmtId="18" fontId="5" fillId="0" borderId="0" xfId="0" applyNumberFormat="1" applyFont="1" applyFill="1" applyAlignment="1" applyProtection="1">
      <alignment wrapText="1"/>
      <protection locked="0"/>
    </xf>
    <xf numFmtId="0" fontId="5" fillId="0" borderId="0" xfId="0" applyFont="1" applyFill="1" applyAlignment="1">
      <alignment wrapText="1"/>
    </xf>
    <xf numFmtId="0" fontId="1" fillId="0" borderId="0" xfId="0" applyFont="1" applyFill="1" applyAlignment="1" applyProtection="1">
      <alignment wrapText="1"/>
      <protection locked="0"/>
    </xf>
    <xf numFmtId="0" fontId="6" fillId="0" borderId="0" xfId="0" applyFont="1" applyFill="1" applyAlignment="1">
      <alignment wrapText="1"/>
    </xf>
    <xf numFmtId="20" fontId="0" fillId="9" borderId="0" xfId="0" applyNumberFormat="1" applyFill="1" applyAlignment="1">
      <alignment horizontal="center" wrapText="1"/>
    </xf>
    <xf numFmtId="2" fontId="2" fillId="17" borderId="0" xfId="0" applyNumberFormat="1" applyFont="1" applyFill="1" applyAlignment="1">
      <alignment wrapText="1"/>
    </xf>
  </cellXfs>
  <cellStyles count="2">
    <cellStyle name="Normal" xfId="0" builtinId="0"/>
    <cellStyle name="Normal 2" xfId="1" xr:uid="{4D1B6085-1847-4F55-ACAF-065A27B28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5A05-1E59-4555-8812-7049C66BBEA0}">
  <dimension ref="A1:Y563"/>
  <sheetViews>
    <sheetView tabSelected="1" zoomScale="55" zoomScaleNormal="55" workbookViewId="0">
      <selection activeCell="G296" sqref="G296"/>
    </sheetView>
  </sheetViews>
  <sheetFormatPr defaultColWidth="41.7109375" defaultRowHeight="15" x14ac:dyDescent="0.25"/>
  <cols>
    <col min="1" max="1" width="18.5703125" style="2" customWidth="1"/>
    <col min="2" max="2" width="27.42578125" style="2" bestFit="1" customWidth="1"/>
    <col min="3" max="3" width="36" style="2" customWidth="1"/>
    <col min="4" max="4" width="39.42578125" style="2" customWidth="1"/>
    <col min="5" max="5" width="15.42578125" style="2" bestFit="1" customWidth="1"/>
    <col min="6" max="6" width="14.42578125" style="2" bestFit="1" customWidth="1"/>
    <col min="7" max="7" width="52.140625" style="2" bestFit="1" customWidth="1"/>
    <col min="8" max="8" width="36.28515625" style="1" bestFit="1" customWidth="1"/>
    <col min="9" max="9" width="2.28515625" style="1" bestFit="1" customWidth="1"/>
    <col min="10" max="10" width="7.140625" style="1" customWidth="1"/>
    <col min="11" max="11" width="5.85546875" style="1" bestFit="1" customWidth="1"/>
    <col min="12" max="12" width="27.140625" style="1" bestFit="1" customWidth="1"/>
    <col min="13" max="13" width="26.85546875" style="1" bestFit="1" customWidth="1"/>
    <col min="14" max="14" width="11" style="1" bestFit="1" customWidth="1"/>
    <col min="15" max="15" width="15.42578125" style="1" bestFit="1" customWidth="1"/>
    <col min="16" max="16" width="32.140625" style="1" bestFit="1" customWidth="1"/>
    <col min="17" max="17" width="47.140625" style="1" bestFit="1" customWidth="1"/>
    <col min="18" max="18" width="15.42578125" style="1" bestFit="1" customWidth="1"/>
    <col min="19" max="19" width="54.42578125" style="1" bestFit="1" customWidth="1"/>
    <col min="20" max="20" width="19.85546875" style="1" bestFit="1" customWidth="1"/>
    <col min="21" max="21" width="8.42578125" style="1" bestFit="1" customWidth="1"/>
    <col min="22" max="25" width="41.7109375" style="1"/>
    <col min="26" max="16384" width="41.7109375" style="2"/>
  </cols>
  <sheetData>
    <row r="1" spans="1:7" x14ac:dyDescent="0.25">
      <c r="A1" s="105" t="s">
        <v>0</v>
      </c>
      <c r="B1" s="105"/>
      <c r="C1" s="105"/>
      <c r="D1" s="105"/>
      <c r="E1" s="105"/>
      <c r="F1" s="105"/>
      <c r="G1" s="105"/>
    </row>
    <row r="2" spans="1:7" x14ac:dyDescent="0.25">
      <c r="A2" s="105"/>
      <c r="B2" s="105"/>
      <c r="C2" s="105"/>
      <c r="D2" s="105"/>
      <c r="E2" s="105"/>
      <c r="F2" s="105"/>
      <c r="G2" s="105"/>
    </row>
    <row r="3" spans="1:7" x14ac:dyDescent="0.25">
      <c r="A3" s="105"/>
      <c r="B3" s="105"/>
      <c r="C3" s="105"/>
      <c r="D3" s="105"/>
      <c r="E3" s="105"/>
      <c r="F3" s="105"/>
      <c r="G3" s="105"/>
    </row>
    <row r="5" spans="1:7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1:7" x14ac:dyDescent="0.25">
      <c r="B6" s="4" t="s">
        <v>7</v>
      </c>
      <c r="C6" s="5"/>
      <c r="D6" s="5"/>
      <c r="E6" s="4"/>
      <c r="F6" s="6"/>
      <c r="G6" s="4"/>
    </row>
    <row r="7" spans="1:7" x14ac:dyDescent="0.25">
      <c r="B7" s="4" t="s">
        <v>8</v>
      </c>
      <c r="C7" s="5"/>
      <c r="D7" s="5"/>
      <c r="E7" s="4"/>
      <c r="F7" s="6"/>
      <c r="G7" s="4"/>
    </row>
    <row r="8" spans="1:7" x14ac:dyDescent="0.25">
      <c r="B8" s="4" t="s">
        <v>9</v>
      </c>
      <c r="C8" s="5"/>
      <c r="D8" s="5"/>
      <c r="E8" s="4"/>
      <c r="F8" s="6"/>
      <c r="G8" s="4"/>
    </row>
    <row r="9" spans="1:7" x14ac:dyDescent="0.25">
      <c r="B9" s="4" t="s">
        <v>10</v>
      </c>
      <c r="C9" s="5">
        <v>0.54166666666666663</v>
      </c>
      <c r="D9" s="5">
        <v>0.625</v>
      </c>
      <c r="E9" s="4">
        <v>2</v>
      </c>
      <c r="F9" s="6"/>
      <c r="G9" s="4"/>
    </row>
    <row r="10" spans="1:7" x14ac:dyDescent="0.25">
      <c r="B10" s="4" t="s">
        <v>11</v>
      </c>
      <c r="C10" s="5">
        <v>0.54166666666666663</v>
      </c>
      <c r="D10" s="5">
        <v>0.625</v>
      </c>
      <c r="E10" s="4">
        <v>2</v>
      </c>
      <c r="F10" s="6"/>
      <c r="G10" s="4"/>
    </row>
    <row r="11" spans="1:7" x14ac:dyDescent="0.25">
      <c r="B11" s="4" t="s">
        <v>12</v>
      </c>
      <c r="C11" s="5"/>
      <c r="D11" s="5"/>
      <c r="E11" s="4"/>
      <c r="F11" s="6"/>
      <c r="G11" s="4"/>
    </row>
    <row r="12" spans="1:7" x14ac:dyDescent="0.25">
      <c r="B12" s="4" t="s">
        <v>13</v>
      </c>
      <c r="C12" s="5"/>
      <c r="D12" s="5"/>
      <c r="E12" s="4"/>
      <c r="F12" s="6"/>
      <c r="G12" s="4"/>
    </row>
    <row r="16" spans="1:7" x14ac:dyDescent="0.25">
      <c r="B16" s="3" t="s">
        <v>14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</row>
    <row r="17" spans="1:19" x14ac:dyDescent="0.25">
      <c r="B17" s="4" t="s">
        <v>7</v>
      </c>
      <c r="C17" s="5"/>
      <c r="D17" s="5"/>
      <c r="E17" s="4"/>
      <c r="F17" s="6"/>
      <c r="G17" s="4"/>
    </row>
    <row r="18" spans="1:19" x14ac:dyDescent="0.25">
      <c r="B18" s="4" t="s">
        <v>8</v>
      </c>
      <c r="C18" s="5"/>
      <c r="D18" s="5"/>
      <c r="E18" s="4"/>
      <c r="F18" s="6"/>
      <c r="G18" s="4"/>
    </row>
    <row r="19" spans="1:19" x14ac:dyDescent="0.25">
      <c r="B19" s="4" t="s">
        <v>9</v>
      </c>
      <c r="C19" s="5"/>
      <c r="D19" s="4"/>
      <c r="E19" s="4">
        <v>3</v>
      </c>
      <c r="F19" s="6"/>
      <c r="G19" s="4"/>
    </row>
    <row r="20" spans="1:19" x14ac:dyDescent="0.25">
      <c r="B20" s="4" t="s">
        <v>10</v>
      </c>
      <c r="C20" s="7">
        <v>0.39583333333333331</v>
      </c>
      <c r="D20" s="7">
        <v>0.45833333333333331</v>
      </c>
      <c r="E20" s="2">
        <v>1.5</v>
      </c>
      <c r="F20" s="6"/>
      <c r="G20" s="4"/>
    </row>
    <row r="21" spans="1:19" x14ac:dyDescent="0.25">
      <c r="B21" s="4"/>
      <c r="C21" s="5">
        <v>0.54166666666666663</v>
      </c>
      <c r="D21" s="5">
        <v>0.625</v>
      </c>
      <c r="E21" s="4">
        <v>2</v>
      </c>
      <c r="F21" s="6"/>
      <c r="G21" s="4"/>
    </row>
    <row r="22" spans="1:19" x14ac:dyDescent="0.25">
      <c r="B22" s="4" t="s">
        <v>11</v>
      </c>
      <c r="C22" s="4"/>
      <c r="D22" s="4"/>
      <c r="E22" s="4"/>
      <c r="F22" s="6"/>
      <c r="G22" s="4"/>
    </row>
    <row r="23" spans="1:19" x14ac:dyDescent="0.25">
      <c r="B23" s="4" t="s">
        <v>12</v>
      </c>
      <c r="C23" s="4"/>
      <c r="D23" s="4"/>
      <c r="E23" s="4"/>
      <c r="F23" s="6"/>
      <c r="G23" s="4"/>
    </row>
    <row r="24" spans="1:19" x14ac:dyDescent="0.25">
      <c r="B24" s="4" t="s">
        <v>13</v>
      </c>
      <c r="C24" s="5"/>
      <c r="D24" s="5"/>
      <c r="E24" s="4"/>
      <c r="F24" s="6"/>
      <c r="G24" s="4"/>
    </row>
    <row r="25" spans="1:19" x14ac:dyDescent="0.25">
      <c r="E25" s="2">
        <f>SUM(E9:E10,E19:E21)</f>
        <v>10.5</v>
      </c>
    </row>
    <row r="27" spans="1:19" ht="28.5" customHeight="1" x14ac:dyDescent="0.45">
      <c r="A27" s="106" t="s">
        <v>15</v>
      </c>
      <c r="B27" s="106"/>
      <c r="C27" s="106"/>
      <c r="D27" s="106"/>
      <c r="E27" s="106"/>
      <c r="F27" s="106"/>
      <c r="G27" s="106"/>
      <c r="H27" s="106"/>
      <c r="I27" s="106"/>
      <c r="J27" s="116"/>
      <c r="K27" s="116"/>
      <c r="L27" s="116"/>
      <c r="M27" s="116"/>
      <c r="N27" s="116"/>
      <c r="O27" s="116"/>
      <c r="P27" s="116"/>
      <c r="Q27" s="116"/>
      <c r="R27" s="116"/>
      <c r="S27" s="116"/>
    </row>
    <row r="28" spans="1:19" x14ac:dyDescent="0.25">
      <c r="A28" s="8"/>
      <c r="B28" s="8"/>
      <c r="C28" s="8"/>
      <c r="D28" s="8"/>
      <c r="E28" s="8"/>
      <c r="F28" s="8"/>
      <c r="G28" s="8"/>
      <c r="H28" s="8"/>
      <c r="I28" s="8"/>
    </row>
    <row r="29" spans="1:19" x14ac:dyDescent="0.25">
      <c r="B29" s="107" t="s">
        <v>16</v>
      </c>
      <c r="C29" s="107"/>
      <c r="D29" s="107"/>
      <c r="E29" s="107"/>
      <c r="F29" s="107"/>
      <c r="G29" s="107"/>
      <c r="H29" s="107"/>
      <c r="I29" s="8"/>
      <c r="J29" s="108"/>
      <c r="K29" s="108"/>
      <c r="L29" s="108"/>
      <c r="M29" s="108"/>
      <c r="N29" s="108"/>
      <c r="O29" s="108"/>
      <c r="P29" s="108"/>
      <c r="Q29" s="108"/>
    </row>
    <row r="30" spans="1:19" x14ac:dyDescent="0.25">
      <c r="B30" s="107"/>
      <c r="C30" s="107"/>
      <c r="D30" s="107"/>
      <c r="E30" s="107"/>
      <c r="F30" s="107"/>
      <c r="G30" s="107"/>
      <c r="H30" s="107"/>
      <c r="I30" s="8"/>
      <c r="J30" s="108"/>
      <c r="K30" s="108"/>
      <c r="L30" s="108"/>
      <c r="M30" s="108"/>
      <c r="N30" s="108"/>
      <c r="O30" s="108"/>
      <c r="P30" s="108"/>
      <c r="Q30" s="108"/>
    </row>
    <row r="31" spans="1:19" x14ac:dyDescent="0.25">
      <c r="B31" s="107"/>
      <c r="C31" s="107"/>
      <c r="D31" s="107"/>
      <c r="E31" s="107"/>
      <c r="F31" s="107"/>
      <c r="G31" s="107"/>
      <c r="H31" s="107"/>
      <c r="I31" s="8"/>
      <c r="J31" s="108"/>
      <c r="K31" s="108"/>
      <c r="L31" s="108"/>
      <c r="M31" s="108"/>
      <c r="N31" s="108"/>
      <c r="O31" s="108"/>
      <c r="P31" s="108"/>
      <c r="Q31" s="108"/>
    </row>
    <row r="32" spans="1:19" x14ac:dyDescent="0.25">
      <c r="I32" s="8"/>
    </row>
    <row r="33" spans="1:17" x14ac:dyDescent="0.25">
      <c r="I33" s="8"/>
    </row>
    <row r="34" spans="1:17" x14ac:dyDescent="0.25">
      <c r="B34" s="3" t="s">
        <v>17</v>
      </c>
      <c r="C34" s="3" t="s">
        <v>2</v>
      </c>
      <c r="D34" s="3" t="s">
        <v>3</v>
      </c>
      <c r="E34" s="3" t="s">
        <v>4</v>
      </c>
      <c r="F34" s="9" t="s">
        <v>18</v>
      </c>
      <c r="G34" s="3" t="s">
        <v>6</v>
      </c>
      <c r="H34" s="3" t="s">
        <v>19</v>
      </c>
      <c r="I34" s="8"/>
      <c r="L34" s="41"/>
      <c r="M34" s="41"/>
      <c r="N34" s="41"/>
      <c r="O34" s="41"/>
      <c r="P34" s="41"/>
    </row>
    <row r="35" spans="1:17" x14ac:dyDescent="0.25">
      <c r="A35" s="9">
        <v>12</v>
      </c>
      <c r="B35" s="4" t="s">
        <v>7</v>
      </c>
      <c r="I35" s="8"/>
      <c r="L35" s="34"/>
      <c r="M35" s="36"/>
      <c r="N35" s="36"/>
      <c r="O35" s="34"/>
    </row>
    <row r="36" spans="1:17" ht="45" x14ac:dyDescent="0.25">
      <c r="A36" s="9">
        <v>13</v>
      </c>
      <c r="B36" s="4" t="s">
        <v>8</v>
      </c>
      <c r="C36" s="7">
        <v>0.375</v>
      </c>
      <c r="D36" s="7">
        <v>0.5</v>
      </c>
      <c r="E36" s="2">
        <v>3</v>
      </c>
      <c r="G36" s="2" t="s">
        <v>20</v>
      </c>
      <c r="I36" s="8"/>
      <c r="L36" s="34"/>
      <c r="M36" s="117"/>
      <c r="N36" s="118"/>
      <c r="O36" s="47"/>
      <c r="Q36" s="119"/>
    </row>
    <row r="37" spans="1:17" x14ac:dyDescent="0.25">
      <c r="A37" s="9">
        <v>14</v>
      </c>
      <c r="B37" s="4" t="s">
        <v>9</v>
      </c>
      <c r="I37" s="8"/>
      <c r="L37" s="34"/>
      <c r="M37" s="45"/>
      <c r="N37" s="45"/>
      <c r="O37" s="34"/>
      <c r="Q37" s="119"/>
    </row>
    <row r="38" spans="1:17" x14ac:dyDescent="0.25">
      <c r="A38" s="9">
        <v>15</v>
      </c>
      <c r="B38" s="4" t="s">
        <v>10</v>
      </c>
      <c r="C38" s="5">
        <v>0.54166666666666663</v>
      </c>
      <c r="D38" s="5">
        <v>0.625</v>
      </c>
      <c r="E38" s="2">
        <v>2</v>
      </c>
      <c r="G38" s="2" t="s">
        <v>21</v>
      </c>
      <c r="I38" s="8"/>
      <c r="L38" s="34"/>
      <c r="M38" s="118"/>
      <c r="N38" s="118"/>
      <c r="O38" s="47"/>
      <c r="Q38" s="119"/>
    </row>
    <row r="39" spans="1:17" ht="30" x14ac:dyDescent="0.25">
      <c r="A39" s="9">
        <v>16</v>
      </c>
      <c r="B39" s="4" t="s">
        <v>11</v>
      </c>
      <c r="C39" s="7">
        <v>0.375</v>
      </c>
      <c r="D39" s="7">
        <v>0.5</v>
      </c>
      <c r="E39" s="2">
        <v>3</v>
      </c>
      <c r="G39" s="2" t="s">
        <v>22</v>
      </c>
      <c r="I39" s="8"/>
      <c r="L39" s="34"/>
      <c r="M39" s="117"/>
      <c r="N39" s="118"/>
      <c r="O39" s="47"/>
      <c r="Q39" s="119"/>
    </row>
    <row r="40" spans="1:17" x14ac:dyDescent="0.25">
      <c r="A40" s="9">
        <v>17</v>
      </c>
      <c r="B40" s="4" t="s">
        <v>12</v>
      </c>
      <c r="I40" s="8"/>
      <c r="L40" s="34"/>
      <c r="M40" s="34"/>
      <c r="N40" s="34"/>
      <c r="O40" s="34"/>
    </row>
    <row r="41" spans="1:17" x14ac:dyDescent="0.25">
      <c r="A41" s="9">
        <v>18</v>
      </c>
      <c r="B41" s="4" t="s">
        <v>13</v>
      </c>
      <c r="I41" s="8"/>
      <c r="L41" s="34"/>
      <c r="M41" s="36"/>
      <c r="N41" s="36"/>
      <c r="O41" s="34"/>
    </row>
    <row r="42" spans="1:17" ht="30" x14ac:dyDescent="0.25">
      <c r="B42" s="3" t="s">
        <v>23</v>
      </c>
      <c r="C42" s="9"/>
      <c r="D42" s="9"/>
      <c r="E42" s="9">
        <f>SUM(E35:E41)</f>
        <v>8</v>
      </c>
      <c r="F42" s="11" t="s">
        <v>24</v>
      </c>
      <c r="G42" s="12" t="s">
        <v>25</v>
      </c>
      <c r="I42" s="8"/>
      <c r="L42" s="34"/>
      <c r="M42" s="36"/>
      <c r="N42" s="36"/>
      <c r="O42" s="34"/>
    </row>
    <row r="43" spans="1:17" x14ac:dyDescent="0.25">
      <c r="A43" s="13" t="s">
        <v>26</v>
      </c>
      <c r="B43" s="14" t="s">
        <v>27</v>
      </c>
      <c r="C43" s="15"/>
      <c r="D43" s="15"/>
      <c r="E43" s="15">
        <f>SUM(E35:E39)</f>
        <v>8</v>
      </c>
      <c r="F43" s="11">
        <f>SUM(1*Angelica_hist!G3)</f>
        <v>5</v>
      </c>
      <c r="G43" s="16">
        <f>SUM(E43-F43)</f>
        <v>3</v>
      </c>
      <c r="H43" s="17"/>
      <c r="I43" s="8"/>
      <c r="L43" s="41"/>
      <c r="M43" s="24"/>
      <c r="N43" s="24"/>
      <c r="O43" s="24"/>
    </row>
    <row r="44" spans="1:17" x14ac:dyDescent="0.25">
      <c r="A44" s="9"/>
      <c r="I44" s="8"/>
    </row>
    <row r="45" spans="1:17" x14ac:dyDescent="0.25">
      <c r="A45" s="9"/>
      <c r="I45" s="8"/>
    </row>
    <row r="46" spans="1:17" x14ac:dyDescent="0.25">
      <c r="A46" s="9"/>
      <c r="B46" s="3" t="s">
        <v>28</v>
      </c>
      <c r="C46" s="3" t="s">
        <v>2</v>
      </c>
      <c r="D46" s="3" t="s">
        <v>3</v>
      </c>
      <c r="E46" s="3" t="s">
        <v>4</v>
      </c>
      <c r="F46" s="9" t="s">
        <v>18</v>
      </c>
      <c r="G46" s="3" t="s">
        <v>6</v>
      </c>
      <c r="H46" s="3" t="s">
        <v>19</v>
      </c>
      <c r="I46" s="8"/>
      <c r="L46" s="41"/>
      <c r="M46" s="41"/>
      <c r="N46" s="41"/>
      <c r="O46" s="41"/>
    </row>
    <row r="47" spans="1:17" x14ac:dyDescent="0.25">
      <c r="A47" s="9">
        <v>19</v>
      </c>
      <c r="B47" s="4" t="s">
        <v>7</v>
      </c>
      <c r="I47" s="8"/>
      <c r="L47" s="34"/>
      <c r="M47" s="36"/>
      <c r="N47" s="36"/>
      <c r="O47" s="34"/>
    </row>
    <row r="48" spans="1:17" x14ac:dyDescent="0.25">
      <c r="A48" s="9">
        <v>20</v>
      </c>
      <c r="B48" s="4" t="s">
        <v>8</v>
      </c>
      <c r="I48" s="8"/>
      <c r="L48" s="34"/>
      <c r="M48" s="35"/>
      <c r="N48" s="36"/>
      <c r="O48" s="34"/>
    </row>
    <row r="49" spans="1:17" x14ac:dyDescent="0.25">
      <c r="A49" s="9">
        <v>21</v>
      </c>
      <c r="B49" s="4" t="s">
        <v>9</v>
      </c>
      <c r="I49" s="8"/>
      <c r="L49" s="34"/>
      <c r="M49" s="45"/>
      <c r="N49" s="45"/>
      <c r="O49" s="34"/>
    </row>
    <row r="50" spans="1:17" x14ac:dyDescent="0.25">
      <c r="A50" s="9">
        <v>22</v>
      </c>
      <c r="B50" s="4" t="s">
        <v>10</v>
      </c>
      <c r="C50" s="5">
        <v>0.54166666666666663</v>
      </c>
      <c r="D50" s="5">
        <v>0.625</v>
      </c>
      <c r="E50" s="2">
        <v>2</v>
      </c>
      <c r="G50" s="2" t="s">
        <v>21</v>
      </c>
      <c r="I50" s="8"/>
      <c r="L50" s="34"/>
      <c r="M50" s="36"/>
      <c r="N50" s="36"/>
      <c r="O50" s="34"/>
    </row>
    <row r="51" spans="1:17" ht="30" x14ac:dyDescent="0.25">
      <c r="A51" s="9">
        <v>23</v>
      </c>
      <c r="B51" s="4" t="s">
        <v>11</v>
      </c>
      <c r="C51" s="7">
        <v>0.375</v>
      </c>
      <c r="D51" s="7">
        <v>0.45833333333333331</v>
      </c>
      <c r="E51" s="2">
        <v>2</v>
      </c>
      <c r="G51" s="2" t="s">
        <v>29</v>
      </c>
      <c r="I51" s="19"/>
      <c r="L51" s="34"/>
      <c r="M51" s="46"/>
      <c r="N51" s="46"/>
      <c r="O51" s="47"/>
      <c r="Q51" s="119"/>
    </row>
    <row r="52" spans="1:17" x14ac:dyDescent="0.25">
      <c r="A52" s="9">
        <v>24</v>
      </c>
      <c r="B52" s="4" t="s">
        <v>12</v>
      </c>
      <c r="I52" s="8"/>
      <c r="L52" s="34"/>
      <c r="M52" s="34"/>
      <c r="N52" s="34"/>
      <c r="O52" s="34"/>
    </row>
    <row r="53" spans="1:17" x14ac:dyDescent="0.25">
      <c r="A53" s="9">
        <v>25</v>
      </c>
      <c r="B53" s="4" t="s">
        <v>13</v>
      </c>
      <c r="I53" s="21" t="s">
        <v>30</v>
      </c>
      <c r="L53" s="34"/>
      <c r="M53" s="36"/>
      <c r="N53" s="36"/>
      <c r="O53" s="34"/>
    </row>
    <row r="54" spans="1:17" x14ac:dyDescent="0.25">
      <c r="A54" s="9"/>
      <c r="B54" s="3" t="s">
        <v>23</v>
      </c>
      <c r="C54" s="9"/>
      <c r="D54" s="9"/>
      <c r="E54" s="9">
        <f>SUM(E46:E53)</f>
        <v>4</v>
      </c>
      <c r="I54" s="21"/>
      <c r="L54" s="41"/>
      <c r="M54" s="24"/>
      <c r="N54" s="24"/>
      <c r="O54" s="24"/>
    </row>
    <row r="55" spans="1:17" x14ac:dyDescent="0.25">
      <c r="A55" s="9"/>
      <c r="B55" s="4"/>
      <c r="I55" s="21"/>
      <c r="L55" s="34"/>
      <c r="M55" s="36"/>
      <c r="N55" s="36"/>
      <c r="O55" s="34"/>
    </row>
    <row r="56" spans="1:17" x14ac:dyDescent="0.25">
      <c r="A56" s="9"/>
      <c r="B56" s="3" t="s">
        <v>31</v>
      </c>
      <c r="C56" s="3" t="s">
        <v>2</v>
      </c>
      <c r="D56" s="3" t="s">
        <v>3</v>
      </c>
      <c r="E56" s="3" t="s">
        <v>4</v>
      </c>
      <c r="F56" s="3" t="s">
        <v>5</v>
      </c>
      <c r="G56" s="3" t="s">
        <v>6</v>
      </c>
      <c r="I56" s="8"/>
      <c r="L56" s="41"/>
      <c r="M56" s="41"/>
      <c r="N56" s="41"/>
      <c r="O56" s="41"/>
      <c r="P56" s="41"/>
      <c r="Q56" s="41"/>
    </row>
    <row r="57" spans="1:17" x14ac:dyDescent="0.25">
      <c r="A57" s="9">
        <v>26</v>
      </c>
      <c r="B57" s="4" t="s">
        <v>7</v>
      </c>
      <c r="C57" s="7">
        <v>0.375</v>
      </c>
      <c r="D57" s="7">
        <v>0.41666666666666669</v>
      </c>
      <c r="E57" s="2">
        <v>1</v>
      </c>
      <c r="G57" s="2" t="s">
        <v>32</v>
      </c>
      <c r="I57" s="8"/>
      <c r="L57" s="34"/>
      <c r="M57" s="118"/>
      <c r="N57" s="118"/>
      <c r="O57" s="47"/>
      <c r="P57" s="48"/>
      <c r="Q57" s="47"/>
    </row>
    <row r="58" spans="1:17" x14ac:dyDescent="0.25">
      <c r="A58" s="9">
        <v>27</v>
      </c>
      <c r="B58" s="4" t="s">
        <v>8</v>
      </c>
      <c r="I58" s="8"/>
      <c r="L58" s="34"/>
      <c r="M58" s="35"/>
      <c r="N58" s="36"/>
      <c r="O58" s="34"/>
      <c r="P58" s="37"/>
      <c r="Q58" s="34"/>
    </row>
    <row r="59" spans="1:17" x14ac:dyDescent="0.25">
      <c r="A59" s="9">
        <v>28</v>
      </c>
      <c r="B59" s="4" t="s">
        <v>33</v>
      </c>
      <c r="I59" s="8"/>
      <c r="L59" s="34"/>
      <c r="M59" s="45"/>
      <c r="N59" s="45"/>
      <c r="O59" s="34"/>
      <c r="P59" s="37"/>
      <c r="Q59" s="34"/>
    </row>
    <row r="60" spans="1:17" x14ac:dyDescent="0.25">
      <c r="A60" s="9">
        <v>29</v>
      </c>
      <c r="B60" s="4" t="s">
        <v>10</v>
      </c>
      <c r="C60" s="5">
        <v>0.54166666666666663</v>
      </c>
      <c r="D60" s="5">
        <v>0.625</v>
      </c>
      <c r="E60" s="2">
        <v>2</v>
      </c>
      <c r="G60" s="2" t="s">
        <v>21</v>
      </c>
      <c r="I60" s="8"/>
      <c r="L60" s="34"/>
      <c r="M60" s="36"/>
      <c r="N60" s="36"/>
      <c r="O60" s="34"/>
      <c r="P60" s="37"/>
      <c r="Q60" s="34"/>
    </row>
    <row r="61" spans="1:17" x14ac:dyDescent="0.25">
      <c r="A61" s="9">
        <v>30</v>
      </c>
      <c r="B61" s="4" t="s">
        <v>11</v>
      </c>
      <c r="C61" s="7">
        <v>0.375</v>
      </c>
      <c r="D61" s="7">
        <v>0.45833333333333331</v>
      </c>
      <c r="E61" s="2">
        <v>2</v>
      </c>
      <c r="G61" s="2" t="s">
        <v>35</v>
      </c>
      <c r="I61" s="8"/>
      <c r="L61" s="34"/>
      <c r="M61" s="36"/>
      <c r="N61" s="36"/>
      <c r="O61" s="34"/>
      <c r="P61" s="37"/>
      <c r="Q61" s="34"/>
    </row>
    <row r="62" spans="1:17" x14ac:dyDescent="0.25">
      <c r="A62" s="9">
        <v>31</v>
      </c>
      <c r="B62" s="4" t="s">
        <v>12</v>
      </c>
      <c r="I62" s="8"/>
      <c r="L62" s="34"/>
      <c r="M62" s="46"/>
      <c r="N62" s="46"/>
      <c r="O62" s="47"/>
      <c r="P62" s="120"/>
      <c r="Q62" s="47"/>
    </row>
    <row r="63" spans="1:17" x14ac:dyDescent="0.25">
      <c r="A63" s="9">
        <v>1</v>
      </c>
      <c r="B63" s="4" t="s">
        <v>13</v>
      </c>
      <c r="I63" s="8"/>
      <c r="L63" s="34"/>
      <c r="M63" s="34"/>
      <c r="N63" s="34"/>
      <c r="O63" s="34"/>
      <c r="P63" s="37"/>
      <c r="Q63" s="34"/>
    </row>
    <row r="64" spans="1:17" ht="30" x14ac:dyDescent="0.25">
      <c r="B64" s="3" t="s">
        <v>23</v>
      </c>
      <c r="C64" s="9"/>
      <c r="D64" s="9"/>
      <c r="E64" s="9">
        <f>SUM(E57:E63)</f>
        <v>5</v>
      </c>
      <c r="F64" s="11" t="s">
        <v>24</v>
      </c>
      <c r="G64" s="12" t="s">
        <v>25</v>
      </c>
      <c r="I64" s="8"/>
      <c r="J64" s="24"/>
      <c r="L64" s="34"/>
      <c r="M64" s="36"/>
      <c r="N64" s="36"/>
      <c r="O64" s="34"/>
      <c r="P64" s="37"/>
      <c r="Q64" s="34"/>
    </row>
    <row r="65" spans="1:19" x14ac:dyDescent="0.25">
      <c r="A65" s="13" t="s">
        <v>37</v>
      </c>
      <c r="B65" s="14" t="s">
        <v>27</v>
      </c>
      <c r="C65" s="15"/>
      <c r="D65" s="15"/>
      <c r="E65" s="15">
        <f>SUM(E64,E54)</f>
        <v>9</v>
      </c>
      <c r="F65" s="11">
        <f>SUM(1*Angelica_hist!G9)</f>
        <v>5</v>
      </c>
      <c r="G65" s="16">
        <f>SUM(E65+G43)-F65</f>
        <v>7</v>
      </c>
      <c r="H65" s="17"/>
      <c r="I65" s="8"/>
      <c r="L65" s="41"/>
      <c r="M65" s="24"/>
      <c r="N65" s="24"/>
      <c r="O65" s="24"/>
      <c r="S65" s="119"/>
    </row>
    <row r="66" spans="1:19" x14ac:dyDescent="0.25">
      <c r="I66" s="8"/>
    </row>
    <row r="67" spans="1:19" x14ac:dyDescent="0.25">
      <c r="A67" s="25"/>
      <c r="B67" s="26" t="s">
        <v>38</v>
      </c>
      <c r="C67" s="26" t="s">
        <v>2</v>
      </c>
      <c r="D67" s="26" t="s">
        <v>3</v>
      </c>
      <c r="E67" s="26" t="s">
        <v>4</v>
      </c>
      <c r="F67" s="26" t="s">
        <v>5</v>
      </c>
      <c r="G67" s="26" t="s">
        <v>6</v>
      </c>
      <c r="H67" s="109" t="s">
        <v>152</v>
      </c>
      <c r="I67" s="8"/>
    </row>
    <row r="68" spans="1:19" x14ac:dyDescent="0.25">
      <c r="A68" s="27">
        <v>2</v>
      </c>
      <c r="B68" s="28" t="s">
        <v>7</v>
      </c>
      <c r="C68" s="29"/>
      <c r="D68" s="29"/>
      <c r="E68" s="28"/>
      <c r="F68" s="30"/>
      <c r="G68" s="28"/>
      <c r="H68" s="109"/>
      <c r="I68" s="8"/>
    </row>
    <row r="69" spans="1:19" x14ac:dyDescent="0.25">
      <c r="A69" s="27">
        <v>3</v>
      </c>
      <c r="B69" s="25" t="s">
        <v>39</v>
      </c>
      <c r="C69" s="25"/>
      <c r="D69" s="25"/>
      <c r="E69" s="25"/>
      <c r="F69" s="25"/>
      <c r="G69" s="25"/>
      <c r="H69" s="109"/>
      <c r="I69" s="8"/>
    </row>
    <row r="70" spans="1:19" x14ac:dyDescent="0.25">
      <c r="A70" s="27">
        <v>4</v>
      </c>
      <c r="B70" s="28" t="s">
        <v>9</v>
      </c>
      <c r="C70" s="31"/>
      <c r="D70" s="31"/>
      <c r="E70" s="28"/>
      <c r="F70" s="30"/>
      <c r="G70" s="28"/>
      <c r="H70" s="109"/>
      <c r="I70" s="8"/>
    </row>
    <row r="71" spans="1:19" x14ac:dyDescent="0.25">
      <c r="A71" s="27">
        <v>5</v>
      </c>
      <c r="B71" s="28" t="s">
        <v>10</v>
      </c>
      <c r="C71" s="29">
        <v>0.54166666666666663</v>
      </c>
      <c r="D71" s="29">
        <v>0.125</v>
      </c>
      <c r="E71" s="28">
        <v>2</v>
      </c>
      <c r="F71" s="30"/>
      <c r="G71" s="28" t="s">
        <v>34</v>
      </c>
      <c r="H71" s="109"/>
      <c r="I71" s="8"/>
    </row>
    <row r="72" spans="1:19" x14ac:dyDescent="0.25">
      <c r="A72" s="27">
        <v>6</v>
      </c>
      <c r="B72" s="28"/>
      <c r="C72" s="29">
        <v>0.625</v>
      </c>
      <c r="D72" s="29">
        <v>0.70833333333333337</v>
      </c>
      <c r="E72" s="28">
        <v>2</v>
      </c>
      <c r="F72" s="30"/>
      <c r="G72" s="28" t="s">
        <v>36</v>
      </c>
      <c r="H72" s="109"/>
      <c r="I72" s="8"/>
    </row>
    <row r="73" spans="1:19" x14ac:dyDescent="0.25">
      <c r="A73" s="27">
        <v>7</v>
      </c>
      <c r="B73" s="28" t="s">
        <v>11</v>
      </c>
      <c r="C73" s="32"/>
      <c r="D73" s="32"/>
      <c r="E73" s="28"/>
      <c r="F73" s="30"/>
      <c r="G73" s="28"/>
      <c r="H73" s="109"/>
      <c r="I73" s="8"/>
    </row>
    <row r="74" spans="1:19" x14ac:dyDescent="0.25">
      <c r="A74" s="27">
        <v>8</v>
      </c>
      <c r="B74" s="28" t="s">
        <v>12</v>
      </c>
      <c r="C74" s="28"/>
      <c r="D74" s="28"/>
      <c r="E74" s="28"/>
      <c r="F74" s="30"/>
      <c r="G74" s="28"/>
      <c r="H74" s="109"/>
      <c r="I74" s="8"/>
    </row>
    <row r="75" spans="1:19" x14ac:dyDescent="0.25">
      <c r="A75" s="27">
        <v>9</v>
      </c>
      <c r="B75" s="28" t="s">
        <v>13</v>
      </c>
      <c r="C75" s="29"/>
      <c r="D75" s="29"/>
      <c r="E75" s="28"/>
      <c r="F75" s="30"/>
      <c r="G75" s="28"/>
      <c r="H75" s="109"/>
      <c r="I75" s="8"/>
    </row>
    <row r="76" spans="1:19" x14ac:dyDescent="0.25">
      <c r="A76" s="25"/>
      <c r="B76" s="26" t="s">
        <v>23</v>
      </c>
      <c r="C76" s="27"/>
      <c r="D76" s="27"/>
      <c r="E76" s="27">
        <f>SUM(E68:E75)</f>
        <v>4</v>
      </c>
      <c r="F76" s="25"/>
      <c r="G76" s="25"/>
      <c r="H76" s="109"/>
      <c r="I76" s="8"/>
    </row>
    <row r="77" spans="1:19" x14ac:dyDescent="0.25">
      <c r="I77" s="8"/>
    </row>
    <row r="78" spans="1:19" x14ac:dyDescent="0.25">
      <c r="I78" s="8"/>
    </row>
    <row r="79" spans="1:19" x14ac:dyDescent="0.25">
      <c r="I79" s="8"/>
    </row>
    <row r="80" spans="1:19" x14ac:dyDescent="0.25">
      <c r="B80" s="3" t="s">
        <v>38</v>
      </c>
      <c r="C80" s="3" t="s">
        <v>2</v>
      </c>
      <c r="D80" s="3" t="s">
        <v>3</v>
      </c>
      <c r="E80" s="3" t="s">
        <v>4</v>
      </c>
      <c r="F80" s="3" t="s">
        <v>5</v>
      </c>
      <c r="G80" s="3" t="s">
        <v>6</v>
      </c>
      <c r="I80" s="8"/>
      <c r="L80" s="41"/>
      <c r="M80" s="41"/>
      <c r="N80" s="41"/>
      <c r="O80" s="41"/>
      <c r="P80" s="41"/>
      <c r="Q80" s="41"/>
    </row>
    <row r="81" spans="1:17" x14ac:dyDescent="0.25">
      <c r="B81" s="4" t="s">
        <v>7</v>
      </c>
      <c r="C81" s="5"/>
      <c r="D81" s="5"/>
      <c r="E81" s="4"/>
      <c r="F81" s="6"/>
      <c r="G81" s="4" t="s">
        <v>40</v>
      </c>
      <c r="I81" s="8"/>
      <c r="L81" s="34"/>
      <c r="M81" s="36"/>
      <c r="N81" s="36"/>
      <c r="O81" s="34"/>
      <c r="P81" s="37"/>
      <c r="Q81" s="34"/>
    </row>
    <row r="82" spans="1:17" x14ac:dyDescent="0.25">
      <c r="B82" s="4" t="s">
        <v>8</v>
      </c>
      <c r="C82" s="18"/>
      <c r="D82" s="5"/>
      <c r="E82" s="4"/>
      <c r="F82" s="6"/>
      <c r="G82" s="4"/>
      <c r="I82" s="8"/>
      <c r="L82" s="34"/>
      <c r="M82" s="35"/>
      <c r="N82" s="36"/>
      <c r="O82" s="34"/>
      <c r="P82" s="37"/>
      <c r="Q82" s="34"/>
    </row>
    <row r="83" spans="1:17" x14ac:dyDescent="0.25">
      <c r="B83" s="4" t="s">
        <v>9</v>
      </c>
      <c r="C83" s="7"/>
      <c r="D83" s="7"/>
      <c r="E83" s="4"/>
      <c r="F83" s="6"/>
      <c r="G83" s="4"/>
      <c r="I83" s="8"/>
      <c r="L83" s="34"/>
      <c r="M83" s="45"/>
      <c r="N83" s="45"/>
      <c r="O83" s="34"/>
      <c r="P83" s="37"/>
      <c r="Q83" s="34"/>
    </row>
    <row r="84" spans="1:17" x14ac:dyDescent="0.25">
      <c r="B84" s="4" t="s">
        <v>10</v>
      </c>
      <c r="C84" s="33">
        <v>0.5</v>
      </c>
      <c r="D84" s="33">
        <v>0.54166666666666663</v>
      </c>
      <c r="E84" s="4">
        <v>1</v>
      </c>
      <c r="F84" s="6"/>
      <c r="G84" s="4" t="s">
        <v>41</v>
      </c>
      <c r="I84" s="8"/>
      <c r="L84" s="34"/>
      <c r="M84" s="51"/>
      <c r="N84" s="51"/>
      <c r="O84" s="34"/>
      <c r="P84" s="37"/>
      <c r="Q84" s="34"/>
    </row>
    <row r="85" spans="1:17" x14ac:dyDescent="0.25">
      <c r="B85" s="4"/>
      <c r="C85" s="5">
        <v>0.54166666666666663</v>
      </c>
      <c r="D85" s="5">
        <v>0.125</v>
      </c>
      <c r="E85" s="4">
        <v>2</v>
      </c>
      <c r="F85" s="6"/>
      <c r="G85" s="4" t="s">
        <v>34</v>
      </c>
      <c r="I85" s="8"/>
      <c r="L85" s="34"/>
      <c r="M85" s="36"/>
      <c r="N85" s="36"/>
      <c r="O85" s="34"/>
      <c r="P85" s="37"/>
      <c r="Q85" s="34"/>
    </row>
    <row r="86" spans="1:17" x14ac:dyDescent="0.25">
      <c r="B86" s="4"/>
      <c r="C86" s="5">
        <v>0.75</v>
      </c>
      <c r="D86" s="5">
        <v>0.83333333333333337</v>
      </c>
      <c r="E86" s="4">
        <v>2</v>
      </c>
      <c r="F86" s="6"/>
      <c r="G86" s="4" t="s">
        <v>42</v>
      </c>
      <c r="I86" s="8"/>
      <c r="L86" s="34"/>
      <c r="M86" s="36"/>
      <c r="N86" s="36"/>
      <c r="O86" s="34"/>
      <c r="P86" s="37"/>
      <c r="Q86" s="34"/>
    </row>
    <row r="87" spans="1:17" x14ac:dyDescent="0.25">
      <c r="B87" s="4" t="s">
        <v>11</v>
      </c>
      <c r="C87" s="33">
        <v>0.70833333333333337</v>
      </c>
      <c r="D87" s="33">
        <v>0.75</v>
      </c>
      <c r="E87" s="4">
        <v>1</v>
      </c>
      <c r="F87" s="6"/>
      <c r="G87" s="4" t="s">
        <v>43</v>
      </c>
      <c r="I87" s="8"/>
      <c r="L87" s="34"/>
      <c r="M87" s="51"/>
      <c r="N87" s="51"/>
      <c r="O87" s="34"/>
      <c r="P87" s="120"/>
      <c r="Q87" s="34"/>
    </row>
    <row r="88" spans="1:17" x14ac:dyDescent="0.25">
      <c r="B88" s="4" t="s">
        <v>12</v>
      </c>
      <c r="C88" s="33">
        <v>0.41666666666666669</v>
      </c>
      <c r="D88" s="33">
        <v>0.47916666666666669</v>
      </c>
      <c r="E88" s="4">
        <v>1.5</v>
      </c>
      <c r="F88" s="6"/>
      <c r="G88" s="4" t="s">
        <v>44</v>
      </c>
      <c r="I88" s="8"/>
      <c r="L88" s="34"/>
      <c r="M88" s="51"/>
      <c r="N88" s="51"/>
      <c r="O88" s="34"/>
      <c r="P88" s="37"/>
      <c r="Q88" s="34"/>
    </row>
    <row r="89" spans="1:17" x14ac:dyDescent="0.25">
      <c r="B89" s="4" t="s">
        <v>13</v>
      </c>
      <c r="C89" s="5"/>
      <c r="D89" s="5"/>
      <c r="E89" s="4"/>
      <c r="F89" s="6"/>
      <c r="G89" s="4"/>
      <c r="I89" s="8"/>
      <c r="L89" s="34"/>
      <c r="M89" s="36"/>
      <c r="N89" s="36"/>
      <c r="O89" s="34"/>
      <c r="P89" s="37"/>
      <c r="Q89" s="34"/>
    </row>
    <row r="90" spans="1:17" x14ac:dyDescent="0.25">
      <c r="B90" s="3" t="s">
        <v>23</v>
      </c>
      <c r="C90" s="9"/>
      <c r="D90" s="9"/>
      <c r="E90" s="9">
        <f>SUM(E81:E89)</f>
        <v>7.5</v>
      </c>
      <c r="G90" s="2" t="s">
        <v>45</v>
      </c>
      <c r="I90" s="8"/>
      <c r="L90" s="41"/>
      <c r="M90" s="24"/>
      <c r="N90" s="24"/>
      <c r="O90" s="24"/>
    </row>
    <row r="91" spans="1:17" x14ac:dyDescent="0.25">
      <c r="I91" s="8"/>
    </row>
    <row r="92" spans="1:17" x14ac:dyDescent="0.25">
      <c r="I92" s="8"/>
    </row>
    <row r="93" spans="1:17" x14ac:dyDescent="0.25">
      <c r="B93" s="3" t="s">
        <v>46</v>
      </c>
      <c r="C93" s="3" t="s">
        <v>2</v>
      </c>
      <c r="D93" s="3" t="s">
        <v>3</v>
      </c>
      <c r="E93" s="3" t="s">
        <v>4</v>
      </c>
      <c r="F93" s="3" t="s">
        <v>5</v>
      </c>
      <c r="G93" s="3" t="s">
        <v>6</v>
      </c>
      <c r="I93" s="8"/>
      <c r="L93" s="41"/>
      <c r="M93" s="41"/>
      <c r="N93" s="41"/>
      <c r="O93" s="41"/>
      <c r="P93" s="41"/>
      <c r="Q93" s="41"/>
    </row>
    <row r="94" spans="1:17" x14ac:dyDescent="0.25">
      <c r="B94" s="4" t="s">
        <v>7</v>
      </c>
      <c r="C94" s="5">
        <v>0.45833333333333331</v>
      </c>
      <c r="D94" s="5">
        <v>0.54166666666666663</v>
      </c>
      <c r="E94" s="4">
        <v>2</v>
      </c>
      <c r="F94" s="6"/>
      <c r="G94" s="4" t="s">
        <v>47</v>
      </c>
      <c r="I94" s="8"/>
      <c r="L94" s="34"/>
      <c r="M94" s="36"/>
      <c r="N94" s="36"/>
      <c r="O94" s="34"/>
      <c r="P94" s="37"/>
      <c r="Q94" s="34"/>
    </row>
    <row r="95" spans="1:17" ht="30" x14ac:dyDescent="0.25">
      <c r="B95" s="4"/>
      <c r="C95" s="5">
        <v>0.58333333333333337</v>
      </c>
      <c r="D95" s="5" t="s">
        <v>48</v>
      </c>
      <c r="E95" s="4">
        <v>1.5</v>
      </c>
      <c r="F95" s="6"/>
      <c r="G95" s="4" t="s">
        <v>49</v>
      </c>
      <c r="I95" s="8"/>
      <c r="L95" s="34"/>
      <c r="M95" s="36"/>
      <c r="N95" s="36"/>
      <c r="O95" s="34"/>
      <c r="P95" s="37"/>
      <c r="Q95" s="34"/>
    </row>
    <row r="96" spans="1:17" x14ac:dyDescent="0.25">
      <c r="A96" s="1"/>
      <c r="B96" s="34" t="s">
        <v>50</v>
      </c>
      <c r="C96" s="35"/>
      <c r="D96" s="36"/>
      <c r="E96" s="34"/>
      <c r="F96" s="37"/>
      <c r="G96" s="34"/>
      <c r="I96" s="8"/>
      <c r="L96" s="34"/>
      <c r="M96" s="35"/>
      <c r="N96" s="36"/>
      <c r="O96" s="34"/>
      <c r="P96" s="37"/>
      <c r="Q96" s="34"/>
    </row>
    <row r="97" spans="1:17" x14ac:dyDescent="0.25">
      <c r="B97" s="4" t="s">
        <v>9</v>
      </c>
      <c r="C97" s="7"/>
      <c r="D97" s="7"/>
      <c r="E97" s="4"/>
      <c r="F97" s="6"/>
      <c r="G97" s="4"/>
      <c r="I97" s="8"/>
      <c r="L97" s="34"/>
      <c r="M97" s="45"/>
      <c r="N97" s="45"/>
      <c r="O97" s="34"/>
      <c r="P97" s="37"/>
      <c r="Q97" s="34"/>
    </row>
    <row r="98" spans="1:17" x14ac:dyDescent="0.25">
      <c r="B98" s="4" t="s">
        <v>10</v>
      </c>
      <c r="C98" s="20">
        <v>4.1666666666666664E-2</v>
      </c>
      <c r="D98" s="20">
        <v>0.125</v>
      </c>
      <c r="E98" s="10">
        <v>2</v>
      </c>
      <c r="F98" s="22"/>
      <c r="G98" s="10" t="s">
        <v>34</v>
      </c>
      <c r="I98" s="8"/>
      <c r="L98" s="34"/>
      <c r="M98" s="46"/>
      <c r="N98" s="46"/>
      <c r="O98" s="47"/>
      <c r="P98" s="48"/>
      <c r="Q98" s="47"/>
    </row>
    <row r="99" spans="1:17" x14ac:dyDescent="0.25">
      <c r="B99" s="4" t="s">
        <v>11</v>
      </c>
      <c r="C99" s="20">
        <v>0.125</v>
      </c>
      <c r="D99" s="20">
        <v>0.16666666666666666</v>
      </c>
      <c r="E99" s="10">
        <v>1</v>
      </c>
      <c r="F99" s="22"/>
      <c r="G99" s="10" t="s">
        <v>51</v>
      </c>
      <c r="I99" s="8"/>
      <c r="L99" s="34"/>
      <c r="M99" s="46"/>
      <c r="N99" s="46"/>
      <c r="O99" s="47"/>
      <c r="P99" s="48"/>
      <c r="Q99" s="47"/>
    </row>
    <row r="100" spans="1:17" x14ac:dyDescent="0.25">
      <c r="B100" s="4" t="s">
        <v>12</v>
      </c>
      <c r="C100" s="33"/>
      <c r="D100" s="33"/>
      <c r="E100" s="4"/>
      <c r="F100" s="23">
        <v>3.5</v>
      </c>
      <c r="G100" s="4"/>
      <c r="I100" s="8"/>
      <c r="L100" s="34"/>
      <c r="M100" s="51"/>
      <c r="N100" s="51"/>
      <c r="O100" s="34"/>
      <c r="P100" s="120"/>
      <c r="Q100" s="34"/>
    </row>
    <row r="101" spans="1:17" x14ac:dyDescent="0.25">
      <c r="B101" s="4" t="s">
        <v>13</v>
      </c>
      <c r="C101" s="4"/>
      <c r="D101" s="4"/>
      <c r="E101" s="4"/>
      <c r="F101" s="6"/>
      <c r="G101" s="4"/>
      <c r="I101" s="8"/>
      <c r="L101" s="34"/>
      <c r="M101" s="34"/>
      <c r="N101" s="34"/>
      <c r="O101" s="34"/>
      <c r="P101" s="37"/>
      <c r="Q101" s="34"/>
    </row>
    <row r="102" spans="1:17" x14ac:dyDescent="0.25">
      <c r="B102" s="3" t="s">
        <v>23</v>
      </c>
      <c r="C102" s="5"/>
      <c r="D102" s="5"/>
      <c r="E102" s="9">
        <f>SUM(E94:E101)</f>
        <v>6.5</v>
      </c>
      <c r="F102" s="6"/>
      <c r="G102" s="4"/>
      <c r="I102" s="8"/>
      <c r="L102" s="34"/>
      <c r="M102" s="36"/>
      <c r="N102" s="36"/>
      <c r="O102" s="34"/>
      <c r="P102" s="37"/>
      <c r="Q102" s="34"/>
    </row>
    <row r="103" spans="1:17" ht="30" x14ac:dyDescent="0.25">
      <c r="A103" s="38" t="s">
        <v>52</v>
      </c>
      <c r="B103" s="3" t="s">
        <v>23</v>
      </c>
      <c r="C103" s="9"/>
      <c r="D103" s="9"/>
      <c r="E103" s="9">
        <f>SUM(E102,E90,E76)</f>
        <v>18</v>
      </c>
      <c r="F103" s="11" t="s">
        <v>24</v>
      </c>
      <c r="G103" s="12" t="s">
        <v>53</v>
      </c>
      <c r="I103" s="8"/>
      <c r="L103" s="41"/>
      <c r="M103" s="24"/>
      <c r="N103" s="24"/>
      <c r="O103" s="24"/>
    </row>
    <row r="104" spans="1:17" ht="30" x14ac:dyDescent="0.25">
      <c r="A104" s="13"/>
      <c r="B104" s="14" t="s">
        <v>27</v>
      </c>
      <c r="C104" s="15"/>
      <c r="D104" s="15"/>
      <c r="E104" s="15" t="s">
        <v>52</v>
      </c>
      <c r="F104" s="39" t="s">
        <v>54</v>
      </c>
      <c r="G104" s="16">
        <f>SUM(E103+G65)</f>
        <v>25</v>
      </c>
      <c r="H104" s="17" t="s">
        <v>55</v>
      </c>
      <c r="I104" s="8"/>
      <c r="P104" s="44"/>
    </row>
    <row r="105" spans="1:17" x14ac:dyDescent="0.25">
      <c r="A105" s="24"/>
      <c r="B105" s="41"/>
      <c r="C105" s="42"/>
      <c r="D105" s="43"/>
      <c r="E105" s="41"/>
      <c r="F105" s="41"/>
      <c r="G105" s="24"/>
      <c r="I105" s="8"/>
      <c r="P105" s="44"/>
    </row>
    <row r="106" spans="1:17" x14ac:dyDescent="0.25">
      <c r="B106" s="3" t="s">
        <v>56</v>
      </c>
      <c r="C106" s="3" t="s">
        <v>2</v>
      </c>
      <c r="D106" s="3" t="s">
        <v>3</v>
      </c>
      <c r="E106" s="3" t="s">
        <v>4</v>
      </c>
      <c r="F106" s="3" t="s">
        <v>5</v>
      </c>
      <c r="G106" s="41" t="s">
        <v>6</v>
      </c>
      <c r="I106" s="8"/>
      <c r="L106" s="41"/>
      <c r="M106" s="41"/>
      <c r="N106" s="41"/>
      <c r="O106" s="41"/>
      <c r="P106" s="41"/>
      <c r="Q106" s="41"/>
    </row>
    <row r="107" spans="1:17" ht="30" x14ac:dyDescent="0.25">
      <c r="B107" s="4" t="s">
        <v>7</v>
      </c>
      <c r="C107" s="5" t="s">
        <v>57</v>
      </c>
      <c r="D107" s="5">
        <v>0.5</v>
      </c>
      <c r="E107" s="4">
        <v>0.5</v>
      </c>
      <c r="F107" s="6"/>
      <c r="G107" s="4" t="s">
        <v>58</v>
      </c>
      <c r="I107" s="8"/>
      <c r="L107" s="34"/>
      <c r="M107" s="36"/>
      <c r="N107" s="36"/>
      <c r="O107" s="34"/>
      <c r="P107" s="37"/>
      <c r="Q107" s="34"/>
    </row>
    <row r="108" spans="1:17" x14ac:dyDescent="0.25">
      <c r="B108" s="4" t="s">
        <v>8</v>
      </c>
      <c r="C108" s="18"/>
      <c r="D108" s="5"/>
      <c r="E108" s="4"/>
      <c r="F108" s="6"/>
      <c r="G108" s="4"/>
      <c r="I108" s="8"/>
      <c r="L108" s="34"/>
      <c r="M108" s="35"/>
      <c r="N108" s="36"/>
      <c r="O108" s="34"/>
      <c r="P108" s="37"/>
      <c r="Q108" s="34"/>
    </row>
    <row r="109" spans="1:17" x14ac:dyDescent="0.25">
      <c r="B109" s="4" t="s">
        <v>9</v>
      </c>
      <c r="C109" s="7"/>
      <c r="D109" s="7"/>
      <c r="E109" s="4"/>
      <c r="F109" s="6"/>
      <c r="G109" s="4"/>
      <c r="I109" s="8"/>
      <c r="L109" s="34"/>
      <c r="M109" s="45"/>
      <c r="N109" s="45"/>
      <c r="O109" s="34"/>
      <c r="P109" s="37"/>
      <c r="Q109" s="34"/>
    </row>
    <row r="110" spans="1:17" x14ac:dyDescent="0.25">
      <c r="B110" s="4" t="s">
        <v>10</v>
      </c>
      <c r="C110" s="7">
        <v>0.5</v>
      </c>
      <c r="D110" s="45">
        <v>4.1666666666666664E-2</v>
      </c>
      <c r="E110" s="1">
        <v>1</v>
      </c>
      <c r="F110" s="1"/>
      <c r="G110" s="1" t="s">
        <v>51</v>
      </c>
      <c r="I110" s="8"/>
      <c r="L110" s="34"/>
      <c r="M110" s="45"/>
      <c r="N110" s="45"/>
    </row>
    <row r="111" spans="1:17" x14ac:dyDescent="0.25">
      <c r="C111" s="20">
        <v>4.1666666666666664E-2</v>
      </c>
      <c r="D111" s="46">
        <v>0.125</v>
      </c>
      <c r="E111" s="47">
        <v>2</v>
      </c>
      <c r="F111" s="48"/>
      <c r="G111" s="47" t="s">
        <v>34</v>
      </c>
      <c r="I111" s="8"/>
      <c r="L111" s="34"/>
      <c r="M111" s="46"/>
      <c r="N111" s="46"/>
      <c r="O111" s="47"/>
      <c r="P111" s="48"/>
      <c r="Q111" s="47"/>
    </row>
    <row r="112" spans="1:17" x14ac:dyDescent="0.25">
      <c r="C112" s="20">
        <v>0.125</v>
      </c>
      <c r="D112" s="46">
        <v>0.14583333333333334</v>
      </c>
      <c r="E112" s="47">
        <v>0.5</v>
      </c>
      <c r="F112" s="48"/>
      <c r="G112" s="47" t="s">
        <v>59</v>
      </c>
      <c r="I112" s="8"/>
      <c r="L112" s="34"/>
      <c r="M112" s="46"/>
      <c r="N112" s="46"/>
      <c r="O112" s="47"/>
      <c r="P112" s="48"/>
      <c r="Q112" s="47"/>
    </row>
    <row r="113" spans="1:19" x14ac:dyDescent="0.25">
      <c r="B113" s="4" t="s">
        <v>11</v>
      </c>
      <c r="D113" s="1"/>
      <c r="E113" s="1"/>
      <c r="F113" s="1"/>
      <c r="G113" s="1"/>
      <c r="I113" s="8"/>
      <c r="L113" s="34"/>
    </row>
    <row r="114" spans="1:19" x14ac:dyDescent="0.25">
      <c r="B114" s="4"/>
      <c r="D114" s="1"/>
      <c r="E114" s="1"/>
      <c r="F114" s="1"/>
      <c r="G114" s="1"/>
      <c r="I114" s="8"/>
      <c r="L114" s="34"/>
    </row>
    <row r="115" spans="1:19" x14ac:dyDescent="0.25">
      <c r="B115" s="4"/>
      <c r="D115" s="1"/>
      <c r="E115" s="1"/>
      <c r="F115" s="1"/>
      <c r="G115" s="1"/>
      <c r="I115" s="8"/>
      <c r="L115" s="34"/>
    </row>
    <row r="116" spans="1:19" x14ac:dyDescent="0.25">
      <c r="B116" s="4"/>
      <c r="D116" s="1"/>
      <c r="E116" s="1"/>
      <c r="F116" s="1"/>
      <c r="G116" s="1"/>
      <c r="I116" s="8"/>
      <c r="L116" s="34"/>
    </row>
    <row r="117" spans="1:19" x14ac:dyDescent="0.25">
      <c r="B117" s="4" t="s">
        <v>12</v>
      </c>
      <c r="C117" s="4"/>
      <c r="D117" s="34"/>
      <c r="E117" s="34"/>
      <c r="F117" s="37"/>
      <c r="G117" s="34"/>
      <c r="I117" s="8"/>
      <c r="L117" s="34"/>
      <c r="M117" s="34"/>
      <c r="N117" s="34"/>
      <c r="O117" s="34"/>
      <c r="P117" s="37"/>
      <c r="Q117" s="34"/>
    </row>
    <row r="118" spans="1:19" x14ac:dyDescent="0.25">
      <c r="B118" s="4" t="s">
        <v>13</v>
      </c>
      <c r="C118" s="5">
        <v>0.54166666666666663</v>
      </c>
      <c r="D118" s="36">
        <v>0.64583333333333337</v>
      </c>
      <c r="E118" s="34">
        <v>2.5</v>
      </c>
      <c r="F118" s="37"/>
      <c r="G118" s="34" t="s">
        <v>60</v>
      </c>
      <c r="I118" s="8"/>
      <c r="L118" s="34"/>
      <c r="M118" s="36"/>
      <c r="N118" s="36"/>
      <c r="O118" s="34"/>
      <c r="P118" s="37"/>
      <c r="Q118" s="34"/>
    </row>
    <row r="119" spans="1:19" x14ac:dyDescent="0.25">
      <c r="B119" s="3" t="s">
        <v>23</v>
      </c>
      <c r="C119" s="9"/>
      <c r="D119" s="9"/>
      <c r="E119" s="9">
        <f>SUM(E107:E118)</f>
        <v>6.5</v>
      </c>
      <c r="I119" s="8"/>
      <c r="L119" s="41"/>
      <c r="M119" s="24"/>
      <c r="N119" s="24"/>
      <c r="O119" s="24"/>
    </row>
    <row r="120" spans="1:19" ht="61.5" customHeight="1" x14ac:dyDescent="0.9">
      <c r="A120" s="103" t="s">
        <v>61</v>
      </c>
      <c r="B120" s="103"/>
      <c r="C120" s="103"/>
      <c r="D120" s="103"/>
      <c r="E120" s="103"/>
      <c r="F120" s="103"/>
      <c r="G120" s="103"/>
      <c r="H120" s="103"/>
      <c r="I120" s="103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</row>
    <row r="121" spans="1:19" x14ac:dyDescent="0.25">
      <c r="I121" s="8"/>
    </row>
    <row r="122" spans="1:19" x14ac:dyDescent="0.25">
      <c r="B122" s="3" t="s">
        <v>62</v>
      </c>
      <c r="C122" s="3" t="s">
        <v>2</v>
      </c>
      <c r="D122" s="3" t="s">
        <v>3</v>
      </c>
      <c r="E122" s="3" t="s">
        <v>4</v>
      </c>
      <c r="F122" s="3" t="s">
        <v>5</v>
      </c>
      <c r="G122" s="41" t="s">
        <v>6</v>
      </c>
      <c r="I122" s="8"/>
      <c r="L122" s="41"/>
      <c r="M122" s="41"/>
      <c r="N122" s="41"/>
      <c r="O122" s="41"/>
      <c r="P122" s="41"/>
      <c r="Q122" s="41"/>
    </row>
    <row r="123" spans="1:19" x14ac:dyDescent="0.25">
      <c r="A123" s="2">
        <v>23</v>
      </c>
      <c r="B123" s="4" t="s">
        <v>7</v>
      </c>
      <c r="C123" s="5" t="s">
        <v>57</v>
      </c>
      <c r="D123" s="5">
        <v>0.5</v>
      </c>
      <c r="E123" s="4">
        <v>0.5</v>
      </c>
      <c r="F123" s="6"/>
      <c r="G123" s="4" t="s">
        <v>63</v>
      </c>
      <c r="H123" s="2"/>
      <c r="I123" s="8"/>
      <c r="L123" s="34"/>
      <c r="M123" s="36"/>
      <c r="N123" s="36"/>
      <c r="O123" s="34"/>
      <c r="P123" s="37"/>
      <c r="Q123" s="34"/>
    </row>
    <row r="124" spans="1:19" ht="30" x14ac:dyDescent="0.25">
      <c r="B124" s="4"/>
      <c r="C124" s="5" t="s">
        <v>64</v>
      </c>
      <c r="D124" s="36">
        <v>0.70833333333333337</v>
      </c>
      <c r="E124" s="34">
        <v>0.5</v>
      </c>
      <c r="F124" s="37"/>
      <c r="G124" s="34" t="s">
        <v>65</v>
      </c>
      <c r="H124" s="2"/>
      <c r="I124" s="8"/>
      <c r="L124" s="34"/>
      <c r="M124" s="36"/>
      <c r="N124" s="36"/>
      <c r="O124" s="34"/>
      <c r="P124" s="37"/>
      <c r="Q124" s="34"/>
    </row>
    <row r="125" spans="1:19" x14ac:dyDescent="0.25">
      <c r="A125" s="2">
        <v>24</v>
      </c>
      <c r="B125" s="4" t="s">
        <v>8</v>
      </c>
      <c r="C125" s="18">
        <v>0.625</v>
      </c>
      <c r="D125" s="36">
        <v>0.70833333333333337</v>
      </c>
      <c r="E125" s="34">
        <v>2</v>
      </c>
      <c r="F125" s="37"/>
      <c r="G125" s="34" t="s">
        <v>66</v>
      </c>
      <c r="H125" s="2"/>
      <c r="I125" s="8"/>
      <c r="L125" s="34"/>
      <c r="M125" s="35"/>
      <c r="N125" s="36"/>
      <c r="O125" s="34"/>
      <c r="P125" s="37"/>
      <c r="Q125" s="34"/>
    </row>
    <row r="126" spans="1:19" x14ac:dyDescent="0.25">
      <c r="A126" s="2">
        <v>25</v>
      </c>
      <c r="B126" s="4" t="s">
        <v>9</v>
      </c>
      <c r="C126" s="7"/>
      <c r="D126" s="45"/>
      <c r="E126" s="34"/>
      <c r="F126" s="37"/>
      <c r="G126" s="34" t="s">
        <v>67</v>
      </c>
      <c r="H126" s="2"/>
      <c r="I126" s="8"/>
      <c r="L126" s="34"/>
      <c r="M126" s="45"/>
      <c r="N126" s="45"/>
      <c r="O126" s="34"/>
      <c r="P126" s="37"/>
      <c r="Q126" s="34"/>
    </row>
    <row r="127" spans="1:19" x14ac:dyDescent="0.25">
      <c r="A127" s="2">
        <v>26</v>
      </c>
      <c r="B127" s="4" t="s">
        <v>10</v>
      </c>
      <c r="C127" s="20">
        <v>4.1666666666666664E-2</v>
      </c>
      <c r="D127" s="46">
        <v>0.125</v>
      </c>
      <c r="E127" s="47">
        <v>2</v>
      </c>
      <c r="F127" s="50" t="s">
        <v>68</v>
      </c>
      <c r="G127" s="47" t="s">
        <v>34</v>
      </c>
      <c r="H127" s="2" t="s">
        <v>69</v>
      </c>
      <c r="I127" s="8"/>
      <c r="L127" s="34"/>
      <c r="M127" s="46"/>
      <c r="N127" s="46"/>
      <c r="O127" s="47"/>
      <c r="P127" s="50"/>
      <c r="Q127" s="47"/>
    </row>
    <row r="128" spans="1:19" x14ac:dyDescent="0.25">
      <c r="B128" s="4"/>
      <c r="C128" s="20">
        <v>0.125</v>
      </c>
      <c r="D128" s="46">
        <v>0.16666666666666666</v>
      </c>
      <c r="E128" s="47">
        <v>1</v>
      </c>
      <c r="F128" s="48"/>
      <c r="G128" s="47" t="s">
        <v>70</v>
      </c>
      <c r="H128" s="2" t="s">
        <v>69</v>
      </c>
      <c r="I128" s="8"/>
      <c r="L128" s="34"/>
      <c r="M128" s="46"/>
      <c r="N128" s="46"/>
      <c r="O128" s="47"/>
      <c r="P128" s="48"/>
      <c r="Q128" s="47"/>
    </row>
    <row r="129" spans="1:17" x14ac:dyDescent="0.25">
      <c r="A129" s="2">
        <v>27</v>
      </c>
      <c r="B129" s="4" t="s">
        <v>11</v>
      </c>
      <c r="C129" s="33"/>
      <c r="D129" s="51"/>
      <c r="E129" s="34"/>
      <c r="F129" s="37"/>
      <c r="G129" s="34"/>
      <c r="H129" s="2"/>
      <c r="I129" s="8"/>
      <c r="L129" s="34"/>
      <c r="M129" s="51"/>
      <c r="N129" s="51"/>
      <c r="O129" s="34"/>
      <c r="P129" s="37"/>
      <c r="Q129" s="34"/>
    </row>
    <row r="130" spans="1:17" x14ac:dyDescent="0.25">
      <c r="A130" s="2">
        <v>28</v>
      </c>
      <c r="B130" s="4" t="s">
        <v>12</v>
      </c>
      <c r="C130" s="4"/>
      <c r="D130" s="4"/>
      <c r="E130" s="4"/>
      <c r="F130" s="6"/>
      <c r="G130" s="4"/>
      <c r="H130" s="2"/>
      <c r="I130" s="8"/>
      <c r="L130" s="34"/>
      <c r="M130" s="34"/>
      <c r="N130" s="34"/>
      <c r="O130" s="34"/>
      <c r="P130" s="37"/>
      <c r="Q130" s="34"/>
    </row>
    <row r="131" spans="1:17" x14ac:dyDescent="0.25">
      <c r="A131" s="2">
        <v>29</v>
      </c>
      <c r="B131" s="4" t="s">
        <v>13</v>
      </c>
      <c r="C131" s="4"/>
      <c r="D131" s="4"/>
      <c r="E131" s="4"/>
      <c r="F131" s="6"/>
      <c r="G131" s="4"/>
      <c r="H131" s="2"/>
      <c r="I131" s="8"/>
      <c r="L131" s="34"/>
      <c r="M131" s="34"/>
      <c r="N131" s="34"/>
      <c r="O131" s="34"/>
      <c r="P131" s="37"/>
      <c r="Q131" s="34"/>
    </row>
    <row r="132" spans="1:17" ht="30" x14ac:dyDescent="0.25">
      <c r="B132" s="3" t="s">
        <v>23</v>
      </c>
      <c r="C132" s="9"/>
      <c r="D132" s="9"/>
      <c r="E132" s="9">
        <f>SUM(E123:E131)</f>
        <v>6</v>
      </c>
      <c r="F132" s="11" t="s">
        <v>24</v>
      </c>
      <c r="G132" s="12" t="s">
        <v>25</v>
      </c>
      <c r="H132" s="2"/>
      <c r="I132" s="8"/>
      <c r="L132" s="34"/>
      <c r="M132" s="36"/>
      <c r="N132" s="36"/>
      <c r="O132" s="34"/>
      <c r="P132" s="37"/>
      <c r="Q132" s="34"/>
    </row>
    <row r="133" spans="1:17" ht="30" x14ac:dyDescent="0.25">
      <c r="A133" s="13" t="s">
        <v>71</v>
      </c>
      <c r="B133" s="14" t="s">
        <v>27</v>
      </c>
      <c r="C133" s="52"/>
      <c r="D133" s="38"/>
      <c r="E133" s="53">
        <f>SUM(E119,E132)</f>
        <v>12.5</v>
      </c>
      <c r="F133" s="11">
        <f>SUM(1*Angelica_hist!G15)</f>
        <v>10</v>
      </c>
      <c r="G133" s="54">
        <f>SUM(E133 + G104)-F133</f>
        <v>27.5</v>
      </c>
      <c r="H133" s="17" t="s">
        <v>72</v>
      </c>
      <c r="I133" s="8"/>
      <c r="L133" s="34"/>
      <c r="M133" s="36"/>
      <c r="N133" s="36"/>
      <c r="O133" s="34"/>
      <c r="P133" s="37"/>
      <c r="Q133" s="34"/>
    </row>
    <row r="134" spans="1:17" x14ac:dyDescent="0.25">
      <c r="H134" s="2"/>
      <c r="I134" s="8"/>
      <c r="L134" s="34"/>
      <c r="M134" s="36"/>
      <c r="N134" s="36"/>
      <c r="O134" s="34"/>
      <c r="P134" s="37"/>
      <c r="Q134" s="34"/>
    </row>
    <row r="135" spans="1:17" x14ac:dyDescent="0.25">
      <c r="I135" s="8"/>
    </row>
    <row r="136" spans="1:17" x14ac:dyDescent="0.25">
      <c r="B136" s="3" t="s">
        <v>73</v>
      </c>
      <c r="C136" s="3" t="s">
        <v>2</v>
      </c>
      <c r="D136" s="3" t="s">
        <v>3</v>
      </c>
      <c r="E136" s="3" t="s">
        <v>4</v>
      </c>
      <c r="F136" s="3" t="s">
        <v>5</v>
      </c>
      <c r="G136" s="41" t="s">
        <v>6</v>
      </c>
      <c r="I136" s="8"/>
      <c r="O136" s="24"/>
    </row>
    <row r="137" spans="1:17" x14ac:dyDescent="0.25">
      <c r="A137" s="2">
        <v>30</v>
      </c>
      <c r="B137" s="4" t="s">
        <v>7</v>
      </c>
      <c r="C137" s="5"/>
      <c r="D137" s="36"/>
      <c r="E137" s="34">
        <v>5</v>
      </c>
      <c r="F137" s="37"/>
      <c r="G137" s="34" t="s">
        <v>74</v>
      </c>
      <c r="H137" s="2"/>
      <c r="I137" s="8"/>
    </row>
    <row r="138" spans="1:17" x14ac:dyDescent="0.25">
      <c r="A138" s="2">
        <v>1</v>
      </c>
      <c r="B138" s="4" t="s">
        <v>8</v>
      </c>
      <c r="C138" s="18"/>
      <c r="D138" s="36"/>
      <c r="E138" s="34">
        <v>4</v>
      </c>
      <c r="F138" s="37"/>
      <c r="G138" s="34" t="s">
        <v>74</v>
      </c>
      <c r="H138" s="2"/>
      <c r="I138" s="8"/>
      <c r="L138" s="41"/>
      <c r="M138" s="41"/>
      <c r="N138" s="41"/>
      <c r="O138" s="41"/>
      <c r="P138" s="41"/>
      <c r="Q138" s="41"/>
    </row>
    <row r="139" spans="1:17" x14ac:dyDescent="0.25">
      <c r="A139" s="2">
        <v>2</v>
      </c>
      <c r="B139" s="4" t="s">
        <v>9</v>
      </c>
      <c r="C139" s="7"/>
      <c r="D139" s="45"/>
      <c r="E139" s="34">
        <v>3</v>
      </c>
      <c r="F139" s="37"/>
      <c r="G139" s="34" t="s">
        <v>74</v>
      </c>
      <c r="H139" s="2"/>
      <c r="I139" s="8"/>
      <c r="L139" s="34"/>
      <c r="M139" s="36"/>
      <c r="N139" s="36"/>
      <c r="O139" s="34"/>
      <c r="P139" s="37"/>
      <c r="Q139" s="34"/>
    </row>
    <row r="140" spans="1:17" x14ac:dyDescent="0.25">
      <c r="A140" s="2">
        <v>3</v>
      </c>
      <c r="B140" s="4" t="s">
        <v>10</v>
      </c>
      <c r="C140" s="20">
        <v>4.1666666666666664E-2</v>
      </c>
      <c r="D140" s="46">
        <v>0.125</v>
      </c>
      <c r="E140" s="47">
        <v>2</v>
      </c>
      <c r="F140" s="48"/>
      <c r="G140" s="47" t="s">
        <v>34</v>
      </c>
      <c r="H140" s="2" t="s">
        <v>69</v>
      </c>
      <c r="I140" s="8"/>
      <c r="L140" s="34"/>
      <c r="M140" s="35"/>
      <c r="N140" s="36"/>
      <c r="O140" s="34"/>
      <c r="P140" s="37"/>
      <c r="Q140" s="34"/>
    </row>
    <row r="141" spans="1:17" x14ac:dyDescent="0.25">
      <c r="B141" s="4"/>
      <c r="C141" s="55">
        <v>0.33333333333333331</v>
      </c>
      <c r="D141" s="56">
        <v>0.375</v>
      </c>
      <c r="E141" s="57">
        <v>1</v>
      </c>
      <c r="F141" s="58"/>
      <c r="G141" s="57" t="s">
        <v>75</v>
      </c>
      <c r="H141" s="2"/>
      <c r="I141" s="8"/>
      <c r="L141" s="34"/>
      <c r="M141" s="45"/>
      <c r="N141" s="45"/>
      <c r="O141" s="34"/>
      <c r="P141" s="37"/>
      <c r="Q141" s="34"/>
    </row>
    <row r="142" spans="1:17" x14ac:dyDescent="0.25">
      <c r="A142" s="2">
        <v>4</v>
      </c>
      <c r="B142" s="4" t="s">
        <v>11</v>
      </c>
      <c r="C142" s="33"/>
      <c r="D142" s="51"/>
      <c r="E142" s="34">
        <v>2</v>
      </c>
      <c r="F142" s="37"/>
      <c r="G142" s="34" t="s">
        <v>74</v>
      </c>
      <c r="H142" s="2"/>
      <c r="I142" s="8"/>
      <c r="L142" s="34"/>
      <c r="M142" s="46"/>
      <c r="N142" s="46"/>
      <c r="O142" s="47"/>
      <c r="P142" s="48"/>
      <c r="Q142" s="47"/>
    </row>
    <row r="143" spans="1:17" x14ac:dyDescent="0.25">
      <c r="A143" s="2">
        <v>5</v>
      </c>
      <c r="B143" s="4" t="s">
        <v>12</v>
      </c>
      <c r="C143" s="4"/>
      <c r="D143" s="34"/>
      <c r="E143" s="1"/>
      <c r="F143" s="37"/>
      <c r="G143" s="34"/>
      <c r="H143" s="2"/>
      <c r="I143" s="8"/>
      <c r="L143" s="34"/>
      <c r="M143" s="56"/>
      <c r="N143" s="56"/>
      <c r="O143" s="57"/>
      <c r="P143" s="58"/>
      <c r="Q143" s="57"/>
    </row>
    <row r="144" spans="1:17" x14ac:dyDescent="0.25">
      <c r="A144" s="2">
        <v>6</v>
      </c>
      <c r="B144" s="4" t="s">
        <v>13</v>
      </c>
      <c r="C144" s="5"/>
      <c r="D144" s="5"/>
      <c r="E144" s="4"/>
      <c r="F144" s="6"/>
      <c r="G144" s="4"/>
      <c r="H144" s="2"/>
      <c r="I144" s="8"/>
      <c r="L144" s="34"/>
      <c r="M144" s="51"/>
      <c r="N144" s="51"/>
      <c r="O144" s="34"/>
      <c r="P144" s="37"/>
      <c r="Q144" s="34"/>
    </row>
    <row r="145" spans="1:17" x14ac:dyDescent="0.25">
      <c r="B145" s="3" t="s">
        <v>23</v>
      </c>
      <c r="C145" s="9"/>
      <c r="D145" s="9"/>
      <c r="E145" s="9">
        <f>SUM(E137:E144)</f>
        <v>17</v>
      </c>
      <c r="G145" s="1"/>
      <c r="I145" s="8"/>
      <c r="L145" s="34"/>
      <c r="M145" s="34"/>
      <c r="N145" s="34"/>
      <c r="P145" s="37"/>
      <c r="Q145" s="34"/>
    </row>
    <row r="146" spans="1:17" x14ac:dyDescent="0.25">
      <c r="G146" s="1"/>
      <c r="I146" s="8"/>
      <c r="L146" s="34"/>
      <c r="M146" s="36"/>
      <c r="N146" s="36"/>
      <c r="O146" s="34"/>
      <c r="P146" s="37"/>
      <c r="Q146" s="34"/>
    </row>
    <row r="147" spans="1:17" x14ac:dyDescent="0.25">
      <c r="B147" s="3" t="s">
        <v>76</v>
      </c>
      <c r="C147" s="3" t="s">
        <v>2</v>
      </c>
      <c r="D147" s="3" t="s">
        <v>3</v>
      </c>
      <c r="E147" s="3" t="s">
        <v>4</v>
      </c>
      <c r="F147" s="3" t="s">
        <v>5</v>
      </c>
      <c r="G147" s="41" t="s">
        <v>6</v>
      </c>
      <c r="I147" s="8"/>
    </row>
    <row r="148" spans="1:17" x14ac:dyDescent="0.25">
      <c r="A148" s="2">
        <v>7</v>
      </c>
      <c r="B148" s="4" t="s">
        <v>7</v>
      </c>
      <c r="C148" s="5">
        <v>0.47916666666666669</v>
      </c>
      <c r="D148" s="5">
        <v>0.52083333333333337</v>
      </c>
      <c r="E148" s="4">
        <v>1</v>
      </c>
      <c r="F148" s="6"/>
      <c r="G148" s="4" t="s">
        <v>77</v>
      </c>
      <c r="H148" s="2"/>
      <c r="I148" s="8"/>
    </row>
    <row r="149" spans="1:17" x14ac:dyDescent="0.25">
      <c r="A149" s="2">
        <v>8</v>
      </c>
      <c r="B149" s="4" t="s">
        <v>8</v>
      </c>
      <c r="C149" s="18"/>
      <c r="D149" s="5"/>
      <c r="E149" s="4"/>
      <c r="F149" s="6"/>
      <c r="G149" s="4"/>
      <c r="H149" s="2"/>
      <c r="I149" s="8"/>
      <c r="L149" s="41"/>
      <c r="M149" s="41"/>
      <c r="N149" s="41"/>
      <c r="O149" s="41"/>
      <c r="P149" s="41"/>
      <c r="Q149" s="41"/>
    </row>
    <row r="150" spans="1:17" x14ac:dyDescent="0.25">
      <c r="A150" s="2">
        <v>9</v>
      </c>
      <c r="B150" s="4" t="s">
        <v>9</v>
      </c>
      <c r="C150" s="7"/>
      <c r="D150" s="7"/>
      <c r="E150" s="4"/>
      <c r="F150" s="6"/>
      <c r="G150" s="4"/>
      <c r="H150" s="2"/>
      <c r="I150" s="8"/>
      <c r="L150" s="34"/>
      <c r="M150" s="36"/>
      <c r="N150" s="36"/>
      <c r="O150" s="34"/>
      <c r="P150" s="37"/>
      <c r="Q150" s="34"/>
    </row>
    <row r="151" spans="1:17" x14ac:dyDescent="0.25">
      <c r="A151" s="2">
        <v>10</v>
      </c>
      <c r="B151" s="4" t="s">
        <v>10</v>
      </c>
      <c r="C151" s="20">
        <v>4.1666666666666664E-2</v>
      </c>
      <c r="D151" s="20">
        <v>0.125</v>
      </c>
      <c r="E151" s="10">
        <v>2</v>
      </c>
      <c r="F151" s="22"/>
      <c r="G151" s="10" t="s">
        <v>34</v>
      </c>
      <c r="H151" s="2" t="s">
        <v>69</v>
      </c>
      <c r="I151" s="8"/>
      <c r="L151" s="34"/>
      <c r="M151" s="35"/>
      <c r="N151" s="36"/>
      <c r="O151" s="34"/>
      <c r="P151" s="37"/>
      <c r="Q151" s="34"/>
    </row>
    <row r="152" spans="1:17" x14ac:dyDescent="0.25">
      <c r="B152" s="4"/>
      <c r="C152" s="20">
        <v>0.125</v>
      </c>
      <c r="D152" s="20">
        <v>0.16666666666666666</v>
      </c>
      <c r="E152" s="10">
        <v>1</v>
      </c>
      <c r="F152" s="22"/>
      <c r="G152" s="10" t="s">
        <v>51</v>
      </c>
      <c r="H152" s="2" t="s">
        <v>69</v>
      </c>
      <c r="I152" s="8"/>
      <c r="L152" s="34"/>
      <c r="M152" s="45"/>
      <c r="N152" s="45"/>
      <c r="O152" s="34"/>
      <c r="P152" s="37"/>
      <c r="Q152" s="34"/>
    </row>
    <row r="153" spans="1:17" x14ac:dyDescent="0.25">
      <c r="A153" s="2">
        <v>11</v>
      </c>
      <c r="B153" s="4" t="s">
        <v>11</v>
      </c>
      <c r="C153" s="33"/>
      <c r="D153" s="33"/>
      <c r="E153" s="4"/>
      <c r="F153" s="6"/>
      <c r="G153" s="4"/>
      <c r="H153" s="2"/>
      <c r="I153" s="8"/>
      <c r="L153" s="34"/>
      <c r="M153" s="46"/>
      <c r="N153" s="46"/>
      <c r="O153" s="47"/>
      <c r="P153" s="48"/>
      <c r="Q153" s="47"/>
    </row>
    <row r="154" spans="1:17" x14ac:dyDescent="0.25">
      <c r="A154" s="2">
        <v>12</v>
      </c>
      <c r="B154" s="4" t="s">
        <v>12</v>
      </c>
      <c r="C154" s="4"/>
      <c r="D154" s="4"/>
      <c r="E154" s="4"/>
      <c r="F154" s="6"/>
      <c r="G154" s="4"/>
      <c r="H154" s="2"/>
      <c r="I154" s="8"/>
      <c r="L154" s="34"/>
      <c r="M154" s="46"/>
      <c r="N154" s="46"/>
      <c r="O154" s="47"/>
      <c r="P154" s="48"/>
      <c r="Q154" s="47"/>
    </row>
    <row r="155" spans="1:17" x14ac:dyDescent="0.25">
      <c r="A155" s="2">
        <v>13</v>
      </c>
      <c r="B155" s="4" t="s">
        <v>13</v>
      </c>
      <c r="C155" s="5"/>
      <c r="D155" s="5"/>
      <c r="E155" s="4"/>
      <c r="F155" s="6"/>
      <c r="G155" s="4"/>
      <c r="H155" s="2"/>
      <c r="I155" s="8"/>
      <c r="L155" s="34"/>
      <c r="M155" s="51"/>
      <c r="N155" s="51"/>
      <c r="O155" s="34"/>
      <c r="P155" s="37"/>
      <c r="Q155" s="34"/>
    </row>
    <row r="156" spans="1:17" ht="30" x14ac:dyDescent="0.25">
      <c r="B156" s="3" t="s">
        <v>23</v>
      </c>
      <c r="C156" s="9"/>
      <c r="D156" s="9"/>
      <c r="E156" s="9">
        <f>SUM(E148:E155)</f>
        <v>4</v>
      </c>
      <c r="F156" s="11" t="s">
        <v>24</v>
      </c>
      <c r="G156" s="12" t="s">
        <v>25</v>
      </c>
      <c r="I156" s="8"/>
      <c r="L156" s="34"/>
      <c r="M156" s="34"/>
      <c r="N156" s="34"/>
      <c r="O156" s="34"/>
      <c r="P156" s="37"/>
      <c r="Q156" s="34"/>
    </row>
    <row r="157" spans="1:17" ht="30" x14ac:dyDescent="0.25">
      <c r="A157" s="13" t="s">
        <v>78</v>
      </c>
      <c r="B157" s="14" t="s">
        <v>27</v>
      </c>
      <c r="C157" s="15"/>
      <c r="D157" s="15"/>
      <c r="E157" s="14">
        <f>SUM(E137:E144,E148:E155)</f>
        <v>21</v>
      </c>
      <c r="F157" s="11">
        <f>SUM(1*Angelica_hist!G21)</f>
        <v>22.5</v>
      </c>
      <c r="G157" s="16">
        <f>SUM(G133+E157)-F157</f>
        <v>26</v>
      </c>
      <c r="H157" s="17"/>
      <c r="I157" s="8"/>
      <c r="L157" s="34"/>
      <c r="M157" s="36"/>
      <c r="N157" s="36"/>
      <c r="O157" s="34"/>
      <c r="P157" s="37"/>
      <c r="Q157" s="34"/>
    </row>
    <row r="158" spans="1:17" x14ac:dyDescent="0.25">
      <c r="A158" s="34"/>
      <c r="B158" s="41"/>
      <c r="C158" s="35"/>
      <c r="D158" s="36"/>
      <c r="E158" s="34"/>
      <c r="F158" s="59"/>
      <c r="G158" s="34"/>
      <c r="I158" s="8"/>
      <c r="L158" s="34"/>
      <c r="M158" s="36"/>
      <c r="N158" s="36"/>
      <c r="O158" s="34"/>
      <c r="P158" s="37"/>
      <c r="Q158" s="34"/>
    </row>
    <row r="159" spans="1:17" x14ac:dyDescent="0.25">
      <c r="B159" s="3" t="s">
        <v>79</v>
      </c>
      <c r="C159" s="3" t="s">
        <v>2</v>
      </c>
      <c r="D159" s="3" t="s">
        <v>3</v>
      </c>
      <c r="E159" s="3" t="s">
        <v>4</v>
      </c>
      <c r="F159" s="3" t="s">
        <v>5</v>
      </c>
      <c r="G159" s="41" t="s">
        <v>6</v>
      </c>
      <c r="I159" s="8"/>
      <c r="L159" s="34"/>
      <c r="M159" s="36"/>
      <c r="N159" s="36"/>
      <c r="O159" s="34"/>
      <c r="P159" s="37"/>
      <c r="Q159" s="34"/>
    </row>
    <row r="160" spans="1:17" x14ac:dyDescent="0.25">
      <c r="A160" s="2">
        <v>14</v>
      </c>
      <c r="B160" s="34" t="s">
        <v>7</v>
      </c>
      <c r="C160" s="36"/>
      <c r="D160" s="36"/>
      <c r="E160" s="60"/>
      <c r="F160" s="37"/>
      <c r="G160" s="34"/>
      <c r="I160" s="8"/>
    </row>
    <row r="161" spans="1:19" x14ac:dyDescent="0.25">
      <c r="A161" s="2">
        <v>15</v>
      </c>
      <c r="B161" s="34" t="s">
        <v>8</v>
      </c>
      <c r="C161" s="35"/>
      <c r="D161" s="36"/>
      <c r="E161" s="60"/>
      <c r="F161" s="37"/>
      <c r="G161" s="34"/>
      <c r="I161" s="8"/>
    </row>
    <row r="162" spans="1:19" x14ac:dyDescent="0.25">
      <c r="A162" s="2">
        <v>16</v>
      </c>
      <c r="B162" s="34" t="s">
        <v>9</v>
      </c>
      <c r="C162" s="45">
        <v>0.41666666666666669</v>
      </c>
      <c r="D162" s="45">
        <v>0.5625</v>
      </c>
      <c r="E162" s="60">
        <v>3.5</v>
      </c>
      <c r="F162" s="37"/>
      <c r="G162" s="1" t="s">
        <v>80</v>
      </c>
      <c r="I162" s="8"/>
      <c r="M162" s="41"/>
      <c r="N162" s="41"/>
      <c r="O162" s="41"/>
      <c r="P162" s="41"/>
      <c r="Q162" s="41"/>
    </row>
    <row r="163" spans="1:19" x14ac:dyDescent="0.25">
      <c r="A163" s="2">
        <v>17</v>
      </c>
      <c r="B163" s="34" t="s">
        <v>10</v>
      </c>
      <c r="C163" s="45">
        <v>0.4375</v>
      </c>
      <c r="D163" s="45">
        <v>0.52083333333333337</v>
      </c>
      <c r="E163" s="1">
        <v>2</v>
      </c>
      <c r="F163" s="1"/>
      <c r="G163" s="1" t="s">
        <v>80</v>
      </c>
      <c r="I163" s="8"/>
      <c r="M163" s="34"/>
      <c r="N163" s="36"/>
      <c r="O163" s="36"/>
      <c r="P163" s="60"/>
      <c r="Q163" s="37"/>
      <c r="S163" s="34"/>
    </row>
    <row r="164" spans="1:19" x14ac:dyDescent="0.25">
      <c r="B164" s="34"/>
      <c r="C164" s="46">
        <v>4.1666666666666664E-2</v>
      </c>
      <c r="D164" s="46">
        <v>0.125</v>
      </c>
      <c r="E164" s="61">
        <v>2</v>
      </c>
      <c r="F164" s="48"/>
      <c r="G164" s="47" t="s">
        <v>34</v>
      </c>
      <c r="I164" s="8"/>
      <c r="M164" s="34"/>
      <c r="N164" s="35"/>
      <c r="O164" s="36"/>
      <c r="P164" s="60"/>
      <c r="Q164" s="37"/>
      <c r="S164" s="34"/>
    </row>
    <row r="165" spans="1:19" x14ac:dyDescent="0.25">
      <c r="A165" s="2">
        <v>18</v>
      </c>
      <c r="B165" s="34" t="s">
        <v>11</v>
      </c>
      <c r="C165" s="45">
        <v>0.41666666666666669</v>
      </c>
      <c r="D165" s="45">
        <v>0.58333333333333337</v>
      </c>
      <c r="E165" s="60">
        <v>4</v>
      </c>
      <c r="F165" s="37"/>
      <c r="G165" s="34" t="s">
        <v>81</v>
      </c>
      <c r="I165" s="8"/>
      <c r="M165" s="34"/>
      <c r="N165" s="45"/>
      <c r="O165" s="45"/>
      <c r="P165" s="60"/>
      <c r="Q165" s="37"/>
    </row>
    <row r="166" spans="1:19" x14ac:dyDescent="0.25">
      <c r="A166" s="2">
        <v>19</v>
      </c>
      <c r="B166" s="34" t="s">
        <v>12</v>
      </c>
      <c r="C166" s="45">
        <v>0.4375</v>
      </c>
      <c r="D166" s="45">
        <v>0.5625</v>
      </c>
      <c r="E166" s="60">
        <v>3.5</v>
      </c>
      <c r="F166" s="37"/>
      <c r="G166" s="34" t="s">
        <v>82</v>
      </c>
      <c r="I166" s="8"/>
      <c r="M166" s="34"/>
      <c r="N166" s="45"/>
      <c r="O166" s="45"/>
    </row>
    <row r="167" spans="1:19" x14ac:dyDescent="0.25">
      <c r="A167" s="2">
        <v>20</v>
      </c>
      <c r="B167" s="34" t="s">
        <v>13</v>
      </c>
      <c r="C167" s="36"/>
      <c r="D167" s="36"/>
      <c r="E167" s="60"/>
      <c r="F167" s="37"/>
      <c r="G167" s="34"/>
      <c r="I167" s="8"/>
      <c r="M167" s="34"/>
      <c r="N167" s="46"/>
      <c r="O167" s="46"/>
      <c r="P167" s="61"/>
      <c r="Q167" s="48"/>
      <c r="S167" s="47"/>
    </row>
    <row r="168" spans="1:19" x14ac:dyDescent="0.25">
      <c r="B168" s="3" t="s">
        <v>23</v>
      </c>
      <c r="C168" s="9"/>
      <c r="D168" s="9"/>
      <c r="E168" s="9">
        <f>SUM(E160:E167)</f>
        <v>15</v>
      </c>
      <c r="G168" s="1"/>
      <c r="I168" s="8"/>
      <c r="M168" s="34"/>
      <c r="N168" s="45"/>
      <c r="O168" s="45"/>
      <c r="P168" s="60"/>
      <c r="Q168" s="37"/>
      <c r="S168" s="34"/>
    </row>
    <row r="169" spans="1:19" x14ac:dyDescent="0.25">
      <c r="G169" s="1"/>
      <c r="I169" s="8"/>
      <c r="M169" s="34"/>
      <c r="N169" s="45"/>
      <c r="O169" s="45"/>
      <c r="P169" s="60"/>
      <c r="Q169" s="37"/>
      <c r="S169" s="34"/>
    </row>
    <row r="170" spans="1:19" x14ac:dyDescent="0.25">
      <c r="B170" s="3" t="s">
        <v>83</v>
      </c>
      <c r="C170" s="3" t="s">
        <v>2</v>
      </c>
      <c r="D170" s="3" t="s">
        <v>3</v>
      </c>
      <c r="E170" s="3" t="s">
        <v>4</v>
      </c>
      <c r="F170" s="3" t="s">
        <v>5</v>
      </c>
      <c r="G170" s="41" t="s">
        <v>6</v>
      </c>
      <c r="I170" s="8"/>
      <c r="M170" s="34"/>
      <c r="N170" s="36"/>
      <c r="O170" s="36"/>
      <c r="P170" s="60"/>
      <c r="Q170" s="37"/>
      <c r="S170" s="34"/>
    </row>
    <row r="171" spans="1:19" x14ac:dyDescent="0.25">
      <c r="A171" s="2">
        <v>21</v>
      </c>
      <c r="B171" s="34" t="s">
        <v>7</v>
      </c>
      <c r="C171" s="36"/>
      <c r="D171" s="36"/>
      <c r="E171" s="60"/>
      <c r="F171" s="37"/>
      <c r="G171" s="34"/>
      <c r="I171" s="8"/>
    </row>
    <row r="172" spans="1:19" x14ac:dyDescent="0.25">
      <c r="A172" s="2">
        <v>22</v>
      </c>
      <c r="B172" s="34" t="s">
        <v>8</v>
      </c>
      <c r="C172" s="35"/>
      <c r="D172" s="36"/>
      <c r="E172" s="60"/>
      <c r="F172" s="37"/>
      <c r="G172" s="34"/>
      <c r="I172" s="8"/>
    </row>
    <row r="173" spans="1:19" x14ac:dyDescent="0.25">
      <c r="A173" s="2">
        <v>23</v>
      </c>
      <c r="B173" s="34" t="s">
        <v>9</v>
      </c>
      <c r="C173" s="45">
        <v>0.41666666666666669</v>
      </c>
      <c r="D173" s="45">
        <v>0.5625</v>
      </c>
      <c r="E173" s="60">
        <v>3.5</v>
      </c>
      <c r="F173" s="37"/>
      <c r="G173" s="1" t="s">
        <v>80</v>
      </c>
      <c r="I173" s="8"/>
      <c r="M173" s="41"/>
      <c r="N173" s="41"/>
      <c r="O173" s="41"/>
      <c r="P173" s="41"/>
      <c r="Q173" s="41"/>
    </row>
    <row r="174" spans="1:19" x14ac:dyDescent="0.25">
      <c r="A174" s="2">
        <v>24</v>
      </c>
      <c r="B174" s="34" t="s">
        <v>10</v>
      </c>
      <c r="C174" s="45">
        <v>0.4375</v>
      </c>
      <c r="D174" s="45">
        <v>0.52083333333333337</v>
      </c>
      <c r="E174" s="1">
        <v>2</v>
      </c>
      <c r="F174" s="1"/>
      <c r="G174" s="1" t="s">
        <v>80</v>
      </c>
      <c r="I174" s="8"/>
      <c r="M174" s="34"/>
      <c r="N174" s="36"/>
      <c r="O174" s="36"/>
      <c r="P174" s="60"/>
      <c r="Q174" s="37"/>
      <c r="S174" s="34"/>
    </row>
    <row r="175" spans="1:19" x14ac:dyDescent="0.25">
      <c r="B175" s="34"/>
      <c r="C175" s="46">
        <v>4.1666666666666664E-2</v>
      </c>
      <c r="D175" s="46">
        <v>0.125</v>
      </c>
      <c r="E175" s="61">
        <v>2</v>
      </c>
      <c r="F175" s="48"/>
      <c r="G175" s="47" t="s">
        <v>34</v>
      </c>
      <c r="I175" s="8"/>
      <c r="M175" s="34"/>
      <c r="N175" s="35"/>
      <c r="O175" s="36"/>
      <c r="P175" s="60"/>
      <c r="Q175" s="37"/>
      <c r="S175" s="34"/>
    </row>
    <row r="176" spans="1:19" x14ac:dyDescent="0.25">
      <c r="A176" s="2">
        <v>25</v>
      </c>
      <c r="B176" s="34" t="s">
        <v>11</v>
      </c>
      <c r="C176" s="45">
        <v>0.41666666666666669</v>
      </c>
      <c r="D176" s="45">
        <v>0.58333333333333337</v>
      </c>
      <c r="E176" s="60">
        <v>4</v>
      </c>
      <c r="F176" s="37"/>
      <c r="G176" s="34" t="s">
        <v>84</v>
      </c>
      <c r="I176" s="8"/>
      <c r="M176" s="34"/>
      <c r="N176" s="45"/>
      <c r="O176" s="45"/>
      <c r="P176" s="60"/>
      <c r="Q176" s="37"/>
    </row>
    <row r="177" spans="1:19" x14ac:dyDescent="0.25">
      <c r="A177" s="2">
        <v>26</v>
      </c>
      <c r="B177" s="34" t="s">
        <v>12</v>
      </c>
      <c r="C177" s="45">
        <v>0.4375</v>
      </c>
      <c r="D177" s="45">
        <v>0.5625</v>
      </c>
      <c r="E177" s="60">
        <v>3.5</v>
      </c>
      <c r="F177" s="37"/>
      <c r="G177" s="34" t="s">
        <v>85</v>
      </c>
      <c r="I177" s="8"/>
      <c r="M177" s="34"/>
      <c r="N177" s="45"/>
      <c r="O177" s="45"/>
    </row>
    <row r="178" spans="1:19" x14ac:dyDescent="0.25">
      <c r="A178" s="2">
        <v>27</v>
      </c>
      <c r="B178" s="34" t="s">
        <v>13</v>
      </c>
      <c r="C178" s="36"/>
      <c r="D178" s="36"/>
      <c r="E178" s="60"/>
      <c r="F178" s="37"/>
      <c r="G178" s="34"/>
      <c r="I178" s="8"/>
      <c r="M178" s="34"/>
      <c r="N178" s="46"/>
      <c r="O178" s="46"/>
      <c r="P178" s="61"/>
      <c r="Q178" s="48"/>
      <c r="S178" s="47"/>
    </row>
    <row r="179" spans="1:19" ht="30" x14ac:dyDescent="0.25">
      <c r="B179" s="3" t="s">
        <v>23</v>
      </c>
      <c r="C179" s="9"/>
      <c r="D179" s="9"/>
      <c r="E179" s="62">
        <f>SUM(E171:E178)</f>
        <v>15</v>
      </c>
      <c r="F179" s="11" t="s">
        <v>24</v>
      </c>
      <c r="G179" s="12" t="s">
        <v>25</v>
      </c>
      <c r="I179" s="8"/>
      <c r="M179" s="34"/>
      <c r="N179" s="45"/>
      <c r="O179" s="45"/>
      <c r="P179" s="60"/>
      <c r="Q179" s="37"/>
      <c r="S179" s="34"/>
    </row>
    <row r="180" spans="1:19" x14ac:dyDescent="0.25">
      <c r="A180" s="13" t="s">
        <v>86</v>
      </c>
      <c r="B180" s="14" t="s">
        <v>27</v>
      </c>
      <c r="C180" s="15"/>
      <c r="D180" s="15"/>
      <c r="E180" s="14">
        <f>SUM(E160:E167,E171:E178)</f>
        <v>30</v>
      </c>
      <c r="F180" s="11">
        <f>SUM(Angelica_hist!G27 +Angelica_hist!G28 +Angelica_hist!G29)</f>
        <v>55</v>
      </c>
      <c r="G180" s="16">
        <f>SUM(G157+E180)-F180</f>
        <v>1</v>
      </c>
      <c r="H180" s="17"/>
      <c r="I180" s="8"/>
      <c r="M180" s="34"/>
      <c r="N180" s="45"/>
      <c r="O180" s="45"/>
      <c r="P180" s="60"/>
      <c r="Q180" s="37"/>
      <c r="S180" s="34"/>
    </row>
    <row r="181" spans="1:19" x14ac:dyDescent="0.25">
      <c r="A181" s="24"/>
      <c r="B181" s="41"/>
      <c r="C181" s="24"/>
      <c r="D181" s="24"/>
      <c r="E181" s="41"/>
      <c r="F181" s="41"/>
      <c r="G181" s="63"/>
      <c r="I181" s="8"/>
      <c r="M181" s="34"/>
      <c r="N181" s="36"/>
      <c r="O181" s="36"/>
      <c r="P181" s="60"/>
      <c r="Q181" s="37"/>
      <c r="S181" s="34"/>
    </row>
    <row r="182" spans="1:19" x14ac:dyDescent="0.25">
      <c r="A182" s="24"/>
      <c r="B182" s="41"/>
      <c r="C182" s="24"/>
      <c r="D182" s="24"/>
      <c r="E182" s="41"/>
      <c r="F182" s="41"/>
      <c r="G182" s="63"/>
      <c r="I182" s="8"/>
      <c r="M182" s="34"/>
      <c r="N182" s="36"/>
      <c r="O182" s="36"/>
      <c r="P182" s="60"/>
      <c r="Q182" s="37"/>
      <c r="S182" s="34"/>
    </row>
    <row r="183" spans="1:19" x14ac:dyDescent="0.25">
      <c r="A183" s="24"/>
      <c r="B183" s="41"/>
      <c r="C183" s="24"/>
      <c r="D183" s="24"/>
      <c r="E183" s="41"/>
      <c r="F183" s="41"/>
      <c r="G183" s="63"/>
      <c r="I183" s="8"/>
    </row>
    <row r="184" spans="1:19" x14ac:dyDescent="0.25">
      <c r="B184" s="3" t="s">
        <v>87</v>
      </c>
      <c r="C184" s="3" t="s">
        <v>2</v>
      </c>
      <c r="D184" s="3" t="s">
        <v>3</v>
      </c>
      <c r="E184" s="3" t="s">
        <v>4</v>
      </c>
      <c r="F184" s="3" t="s">
        <v>5</v>
      </c>
      <c r="G184" s="41" t="s">
        <v>6</v>
      </c>
      <c r="I184" s="8"/>
    </row>
    <row r="185" spans="1:19" x14ac:dyDescent="0.25">
      <c r="A185" s="2">
        <v>28</v>
      </c>
      <c r="B185" s="34" t="s">
        <v>7</v>
      </c>
      <c r="C185" s="36"/>
      <c r="D185" s="36"/>
      <c r="E185" s="60"/>
      <c r="F185" s="37"/>
      <c r="G185" s="34"/>
      <c r="I185" s="8"/>
      <c r="M185" s="41"/>
      <c r="N185" s="41"/>
      <c r="O185" s="41"/>
      <c r="P185" s="41"/>
      <c r="Q185" s="41"/>
    </row>
    <row r="186" spans="1:19" x14ac:dyDescent="0.25">
      <c r="A186" s="2">
        <v>29</v>
      </c>
      <c r="B186" s="34" t="s">
        <v>8</v>
      </c>
      <c r="C186" s="35"/>
      <c r="D186" s="36"/>
      <c r="E186" s="60"/>
      <c r="F186" s="37"/>
      <c r="G186" s="34"/>
      <c r="I186" s="8"/>
      <c r="M186" s="34"/>
      <c r="N186" s="36"/>
      <c r="O186" s="36"/>
      <c r="P186" s="60"/>
      <c r="Q186" s="37"/>
      <c r="S186" s="34"/>
    </row>
    <row r="187" spans="1:19" x14ac:dyDescent="0.25">
      <c r="A187" s="2">
        <v>30</v>
      </c>
      <c r="B187" s="34" t="s">
        <v>9</v>
      </c>
      <c r="C187" s="45">
        <v>0.41666666666666669</v>
      </c>
      <c r="D187" s="45">
        <v>0.5625</v>
      </c>
      <c r="E187" s="60">
        <v>3.5</v>
      </c>
      <c r="F187" s="37"/>
      <c r="G187" s="1" t="s">
        <v>80</v>
      </c>
      <c r="I187" s="8"/>
      <c r="M187" s="34"/>
      <c r="N187" s="35"/>
      <c r="O187" s="36"/>
      <c r="P187" s="60"/>
      <c r="Q187" s="37"/>
      <c r="S187" s="34"/>
    </row>
    <row r="188" spans="1:19" x14ac:dyDescent="0.25">
      <c r="A188" s="2">
        <v>31</v>
      </c>
      <c r="B188" s="34" t="s">
        <v>10</v>
      </c>
      <c r="C188" s="45">
        <v>0.4375</v>
      </c>
      <c r="D188" s="45">
        <v>0.52083333333333337</v>
      </c>
      <c r="E188" s="1">
        <v>2</v>
      </c>
      <c r="F188" s="1"/>
      <c r="G188" s="1" t="s">
        <v>80</v>
      </c>
      <c r="I188" s="8"/>
      <c r="M188" s="34"/>
      <c r="N188" s="45"/>
      <c r="O188" s="45"/>
      <c r="P188" s="60"/>
      <c r="Q188" s="37"/>
    </row>
    <row r="189" spans="1:19" x14ac:dyDescent="0.25">
      <c r="B189" s="34"/>
      <c r="C189" s="46">
        <v>4.1666666666666664E-2</v>
      </c>
      <c r="D189" s="46">
        <v>0.125</v>
      </c>
      <c r="E189" s="61">
        <v>2</v>
      </c>
      <c r="F189" s="48"/>
      <c r="G189" s="47" t="s">
        <v>34</v>
      </c>
      <c r="I189" s="8"/>
      <c r="M189" s="34"/>
      <c r="N189" s="45"/>
      <c r="O189" s="45"/>
    </row>
    <row r="190" spans="1:19" ht="30" x14ac:dyDescent="0.25">
      <c r="A190" s="2">
        <v>1</v>
      </c>
      <c r="B190" s="34" t="s">
        <v>11</v>
      </c>
      <c r="C190" s="45">
        <v>0.41666666666666669</v>
      </c>
      <c r="D190" s="45">
        <v>0.58333333333333337</v>
      </c>
      <c r="E190" s="60">
        <v>4</v>
      </c>
      <c r="F190" s="37"/>
      <c r="G190" s="34" t="s">
        <v>88</v>
      </c>
      <c r="I190" s="8"/>
      <c r="M190" s="34"/>
      <c r="N190" s="46"/>
      <c r="O190" s="46"/>
      <c r="P190" s="61"/>
      <c r="Q190" s="48"/>
      <c r="S190" s="47"/>
    </row>
    <row r="191" spans="1:19" x14ac:dyDescent="0.25">
      <c r="A191" s="2">
        <v>2</v>
      </c>
      <c r="B191" s="34" t="s">
        <v>12</v>
      </c>
      <c r="C191" s="45">
        <v>0.4375</v>
      </c>
      <c r="D191" s="45">
        <v>0.5625</v>
      </c>
      <c r="E191" s="60">
        <v>3.5</v>
      </c>
      <c r="F191" s="37"/>
      <c r="G191" s="34" t="s">
        <v>82</v>
      </c>
      <c r="I191" s="8"/>
      <c r="M191" s="34"/>
      <c r="N191" s="45"/>
      <c r="O191" s="45"/>
      <c r="P191" s="60"/>
      <c r="Q191" s="37"/>
      <c r="S191" s="34"/>
    </row>
    <row r="192" spans="1:19" x14ac:dyDescent="0.25">
      <c r="A192" s="2">
        <v>3</v>
      </c>
      <c r="B192" s="34" t="s">
        <v>13</v>
      </c>
      <c r="C192" s="36"/>
      <c r="D192" s="36"/>
      <c r="E192" s="60"/>
      <c r="F192" s="37"/>
      <c r="G192" s="34"/>
      <c r="I192" s="8"/>
      <c r="M192" s="34"/>
      <c r="N192" s="45"/>
      <c r="O192" s="45"/>
      <c r="P192" s="60"/>
      <c r="Q192" s="37"/>
      <c r="S192" s="34"/>
    </row>
    <row r="193" spans="1:19" x14ac:dyDescent="0.25">
      <c r="B193" s="3" t="s">
        <v>23</v>
      </c>
      <c r="C193" s="9"/>
      <c r="D193" s="9"/>
      <c r="E193" s="9">
        <f>SUM(E185:E192)</f>
        <v>15</v>
      </c>
      <c r="G193" s="1"/>
      <c r="I193" s="8"/>
      <c r="M193" s="34"/>
      <c r="N193" s="36"/>
      <c r="O193" s="36"/>
      <c r="P193" s="60"/>
      <c r="Q193" s="37"/>
      <c r="S193" s="34"/>
    </row>
    <row r="194" spans="1:19" x14ac:dyDescent="0.25">
      <c r="I194" s="8"/>
    </row>
    <row r="195" spans="1:19" x14ac:dyDescent="0.25">
      <c r="B195" s="3" t="s">
        <v>89</v>
      </c>
      <c r="C195" s="3" t="s">
        <v>2</v>
      </c>
      <c r="D195" s="3" t="s">
        <v>3</v>
      </c>
      <c r="E195" s="3" t="s">
        <v>4</v>
      </c>
      <c r="F195" s="3" t="s">
        <v>5</v>
      </c>
      <c r="G195" s="41" t="s">
        <v>6</v>
      </c>
      <c r="I195" s="8"/>
    </row>
    <row r="196" spans="1:19" x14ac:dyDescent="0.25">
      <c r="A196" s="2">
        <v>4</v>
      </c>
      <c r="B196" s="34" t="s">
        <v>7</v>
      </c>
      <c r="C196" s="36"/>
      <c r="D196" s="36"/>
      <c r="E196" s="60"/>
      <c r="F196" s="37"/>
      <c r="G196" s="34"/>
      <c r="I196" s="8"/>
      <c r="M196" s="41"/>
      <c r="N196" s="41"/>
      <c r="O196" s="41"/>
      <c r="P196" s="41"/>
      <c r="Q196" s="41"/>
    </row>
    <row r="197" spans="1:19" x14ac:dyDescent="0.25">
      <c r="A197" s="2">
        <v>5</v>
      </c>
      <c r="B197" s="34" t="s">
        <v>8</v>
      </c>
      <c r="C197" s="35"/>
      <c r="D197" s="36"/>
      <c r="E197" s="60"/>
      <c r="F197" s="37"/>
      <c r="G197" s="34"/>
      <c r="I197" s="8"/>
      <c r="M197" s="34"/>
      <c r="N197" s="36"/>
      <c r="O197" s="36"/>
      <c r="P197" s="60"/>
      <c r="Q197" s="37"/>
      <c r="S197" s="34"/>
    </row>
    <row r="198" spans="1:19" x14ac:dyDescent="0.25">
      <c r="A198" s="2">
        <v>6</v>
      </c>
      <c r="B198" s="34" t="s">
        <v>9</v>
      </c>
      <c r="C198" s="45">
        <v>0.41666666666666669</v>
      </c>
      <c r="D198" s="45">
        <v>0.5625</v>
      </c>
      <c r="E198" s="60">
        <v>3.5</v>
      </c>
      <c r="F198" s="37"/>
      <c r="G198" s="1" t="s">
        <v>80</v>
      </c>
      <c r="I198" s="8"/>
      <c r="M198" s="34"/>
      <c r="N198" s="35"/>
      <c r="O198" s="36"/>
      <c r="P198" s="60"/>
      <c r="Q198" s="37"/>
      <c r="S198" s="34"/>
    </row>
    <row r="199" spans="1:19" x14ac:dyDescent="0.25">
      <c r="A199" s="2">
        <v>7</v>
      </c>
      <c r="B199" s="34" t="s">
        <v>10</v>
      </c>
      <c r="C199" s="45">
        <v>0.4375</v>
      </c>
      <c r="D199" s="45">
        <v>0.52083333333333337</v>
      </c>
      <c r="E199" s="1">
        <v>2</v>
      </c>
      <c r="F199" s="1"/>
      <c r="G199" s="1" t="s">
        <v>90</v>
      </c>
      <c r="I199" s="8"/>
      <c r="M199" s="34"/>
      <c r="N199" s="45"/>
      <c r="O199" s="45"/>
      <c r="P199" s="60"/>
      <c r="Q199" s="37"/>
    </row>
    <row r="200" spans="1:19" x14ac:dyDescent="0.25">
      <c r="B200" s="34"/>
      <c r="C200" s="46">
        <v>4.1666666666666664E-2</v>
      </c>
      <c r="D200" s="46">
        <v>0.125</v>
      </c>
      <c r="E200" s="61">
        <v>2</v>
      </c>
      <c r="F200" s="48"/>
      <c r="G200" s="47" t="s">
        <v>34</v>
      </c>
      <c r="I200" s="8"/>
      <c r="M200" s="34"/>
      <c r="N200" s="45"/>
      <c r="O200" s="45"/>
    </row>
    <row r="201" spans="1:19" x14ac:dyDescent="0.25">
      <c r="A201" s="2">
        <v>8</v>
      </c>
      <c r="B201" s="34" t="s">
        <v>11</v>
      </c>
      <c r="C201" s="45">
        <v>0.41666666666666669</v>
      </c>
      <c r="D201" s="45">
        <v>0.58333333333333337</v>
      </c>
      <c r="E201" s="60">
        <v>4</v>
      </c>
      <c r="F201" s="37"/>
      <c r="G201" s="34" t="s">
        <v>91</v>
      </c>
      <c r="I201" s="8"/>
      <c r="M201" s="34"/>
      <c r="N201" s="46"/>
      <c r="O201" s="46"/>
      <c r="P201" s="61"/>
      <c r="Q201" s="48"/>
      <c r="S201" s="47"/>
    </row>
    <row r="202" spans="1:19" x14ac:dyDescent="0.25">
      <c r="A202" s="2">
        <v>9</v>
      </c>
      <c r="B202" s="34" t="s">
        <v>12</v>
      </c>
      <c r="C202" s="45">
        <v>0.4375</v>
      </c>
      <c r="D202" s="45">
        <v>0.5625</v>
      </c>
      <c r="E202" s="60">
        <v>3.5</v>
      </c>
      <c r="F202" s="37"/>
      <c r="G202" s="34" t="s">
        <v>92</v>
      </c>
      <c r="I202" s="8"/>
      <c r="M202" s="34"/>
      <c r="N202" s="45"/>
      <c r="O202" s="45"/>
      <c r="P202" s="60"/>
      <c r="Q202" s="37"/>
      <c r="S202" s="34"/>
    </row>
    <row r="203" spans="1:19" x14ac:dyDescent="0.25">
      <c r="A203" s="2">
        <v>10</v>
      </c>
      <c r="B203" s="34" t="s">
        <v>13</v>
      </c>
      <c r="C203" s="36"/>
      <c r="D203" s="36"/>
      <c r="E203" s="60"/>
      <c r="F203" s="37"/>
      <c r="G203" s="34"/>
      <c r="I203" s="8"/>
      <c r="M203" s="34"/>
      <c r="N203" s="45"/>
      <c r="O203" s="45"/>
      <c r="P203" s="60"/>
      <c r="Q203" s="37"/>
      <c r="S203" s="34"/>
    </row>
    <row r="204" spans="1:19" ht="30" x14ac:dyDescent="0.25">
      <c r="B204" s="3" t="s">
        <v>23</v>
      </c>
      <c r="C204" s="9"/>
      <c r="D204" s="9"/>
      <c r="E204" s="62">
        <f>SUM(E196:E203)</f>
        <v>15</v>
      </c>
      <c r="F204" s="11" t="s">
        <v>24</v>
      </c>
      <c r="G204" s="12" t="s">
        <v>25</v>
      </c>
      <c r="I204" s="8"/>
      <c r="M204" s="34"/>
      <c r="N204" s="36"/>
      <c r="O204" s="36"/>
      <c r="P204" s="60"/>
      <c r="Q204" s="37"/>
      <c r="S204" s="34"/>
    </row>
    <row r="205" spans="1:19" x14ac:dyDescent="0.25">
      <c r="A205" s="13" t="s">
        <v>93</v>
      </c>
      <c r="B205" s="14" t="s">
        <v>27</v>
      </c>
      <c r="C205" s="52"/>
      <c r="D205" s="38"/>
      <c r="E205" s="14">
        <f>SUM(E204,E193)</f>
        <v>30</v>
      </c>
      <c r="F205" s="11">
        <f>SUM(Angelica_hist!G35)</f>
        <v>30</v>
      </c>
      <c r="G205" s="16">
        <f>SUM(E205+G180)-F205</f>
        <v>1</v>
      </c>
      <c r="H205" s="17"/>
      <c r="I205" s="8"/>
      <c r="M205" s="34"/>
      <c r="N205" s="36"/>
      <c r="O205" s="36"/>
      <c r="Q205" s="37"/>
      <c r="S205" s="34"/>
    </row>
    <row r="206" spans="1:19" x14ac:dyDescent="0.25">
      <c r="C206" s="9"/>
      <c r="D206" s="9"/>
      <c r="E206" s="62"/>
      <c r="I206" s="8"/>
    </row>
    <row r="207" spans="1:19" x14ac:dyDescent="0.25">
      <c r="A207" s="1"/>
      <c r="B207" s="1"/>
      <c r="C207" s="24"/>
      <c r="D207" s="24"/>
      <c r="E207" s="41"/>
      <c r="F207" s="1"/>
      <c r="G207" s="1"/>
      <c r="I207" s="8"/>
      <c r="M207" s="41"/>
      <c r="N207" s="41"/>
      <c r="O207" s="41"/>
      <c r="P207" s="41"/>
      <c r="Q207" s="41"/>
    </row>
    <row r="208" spans="1:19" x14ac:dyDescent="0.25">
      <c r="A208" s="1"/>
      <c r="B208" s="1"/>
      <c r="C208" s="1"/>
      <c r="D208" s="1"/>
      <c r="E208" s="1"/>
      <c r="F208" s="1"/>
      <c r="G208" s="1"/>
      <c r="I208" s="8"/>
      <c r="M208" s="34"/>
      <c r="N208" s="36"/>
      <c r="O208" s="36"/>
      <c r="P208" s="60"/>
      <c r="Q208" s="37"/>
      <c r="S208" s="34"/>
    </row>
    <row r="209" spans="1:19" x14ac:dyDescent="0.25">
      <c r="B209" s="3" t="s">
        <v>94</v>
      </c>
      <c r="C209" s="3" t="s">
        <v>2</v>
      </c>
      <c r="D209" s="3" t="s">
        <v>3</v>
      </c>
      <c r="E209" s="3" t="s">
        <v>4</v>
      </c>
      <c r="F209" s="3" t="s">
        <v>5</v>
      </c>
      <c r="G209" s="41" t="s">
        <v>6</v>
      </c>
      <c r="I209" s="8"/>
      <c r="M209" s="34"/>
      <c r="N209" s="35"/>
      <c r="O209" s="36"/>
      <c r="P209" s="60"/>
      <c r="Q209" s="37"/>
      <c r="S209" s="34"/>
    </row>
    <row r="210" spans="1:19" x14ac:dyDescent="0.25">
      <c r="A210" s="2">
        <v>11</v>
      </c>
      <c r="B210" s="34" t="s">
        <v>7</v>
      </c>
      <c r="C210" s="36"/>
      <c r="D210" s="36"/>
      <c r="E210" s="60"/>
      <c r="F210" s="37"/>
      <c r="G210" s="34"/>
      <c r="I210" s="8"/>
      <c r="M210" s="34"/>
      <c r="N210" s="45"/>
      <c r="O210" s="45"/>
      <c r="P210" s="60"/>
      <c r="Q210" s="37"/>
    </row>
    <row r="211" spans="1:19" x14ac:dyDescent="0.25">
      <c r="A211" s="2">
        <v>12</v>
      </c>
      <c r="B211" s="34" t="s">
        <v>8</v>
      </c>
      <c r="C211" s="35"/>
      <c r="D211" s="36"/>
      <c r="E211" s="60"/>
      <c r="F211" s="37"/>
      <c r="G211" s="34"/>
      <c r="I211" s="8"/>
      <c r="M211" s="34"/>
      <c r="N211" s="45"/>
      <c r="O211" s="45"/>
    </row>
    <row r="212" spans="1:19" x14ac:dyDescent="0.25">
      <c r="A212" s="2">
        <v>13</v>
      </c>
      <c r="B212" s="34" t="s">
        <v>9</v>
      </c>
      <c r="C212" s="45">
        <v>0.41666666666666669</v>
      </c>
      <c r="D212" s="45">
        <v>0.5625</v>
      </c>
      <c r="E212" s="60">
        <v>3.5</v>
      </c>
      <c r="F212" s="37"/>
      <c r="G212" s="1" t="s">
        <v>80</v>
      </c>
      <c r="I212" s="8"/>
      <c r="M212" s="34"/>
      <c r="N212" s="46"/>
      <c r="O212" s="46"/>
      <c r="P212" s="61"/>
      <c r="Q212" s="48"/>
      <c r="S212" s="47"/>
    </row>
    <row r="213" spans="1:19" x14ac:dyDescent="0.25">
      <c r="A213" s="2">
        <v>14</v>
      </c>
      <c r="B213" s="34" t="s">
        <v>10</v>
      </c>
      <c r="C213" s="45">
        <v>0.4375</v>
      </c>
      <c r="D213" s="45">
        <v>0.52083333333333337</v>
      </c>
      <c r="E213" s="1">
        <v>2</v>
      </c>
      <c r="F213" s="1"/>
      <c r="G213" s="1" t="s">
        <v>80</v>
      </c>
      <c r="I213" s="8"/>
      <c r="M213" s="34"/>
      <c r="N213" s="45"/>
      <c r="O213" s="45"/>
      <c r="P213" s="60"/>
      <c r="Q213" s="37"/>
      <c r="S213" s="34"/>
    </row>
    <row r="214" spans="1:19" x14ac:dyDescent="0.25">
      <c r="B214" s="34"/>
      <c r="C214" s="46">
        <v>4.1666666666666664E-2</v>
      </c>
      <c r="D214" s="46">
        <v>0.125</v>
      </c>
      <c r="E214" s="61">
        <v>2</v>
      </c>
      <c r="F214" s="48"/>
      <c r="G214" s="47" t="s">
        <v>34</v>
      </c>
      <c r="I214" s="8"/>
      <c r="M214" s="34"/>
      <c r="N214" s="45"/>
      <c r="O214" s="45"/>
      <c r="P214" s="60"/>
      <c r="Q214" s="37"/>
      <c r="S214" s="34"/>
    </row>
    <row r="215" spans="1:19" x14ac:dyDescent="0.25">
      <c r="A215" s="2">
        <v>15</v>
      </c>
      <c r="B215" s="34" t="s">
        <v>11</v>
      </c>
      <c r="C215" s="45">
        <v>0.41666666666666669</v>
      </c>
      <c r="D215" s="45">
        <v>0.58333333333333337</v>
      </c>
      <c r="E215" s="60">
        <v>4</v>
      </c>
      <c r="F215" s="37"/>
      <c r="G215" s="34" t="s">
        <v>95</v>
      </c>
      <c r="I215" s="8"/>
      <c r="M215" s="34"/>
      <c r="N215" s="36"/>
      <c r="O215" s="36"/>
      <c r="P215" s="60"/>
      <c r="Q215" s="37"/>
      <c r="S215" s="34"/>
    </row>
    <row r="216" spans="1:19" x14ac:dyDescent="0.25">
      <c r="A216" s="2">
        <v>16</v>
      </c>
      <c r="B216" s="34" t="s">
        <v>12</v>
      </c>
      <c r="C216" s="45">
        <v>0.4375</v>
      </c>
      <c r="D216" s="45">
        <v>0.5625</v>
      </c>
      <c r="E216" s="60">
        <v>3.5</v>
      </c>
      <c r="F216" s="37"/>
      <c r="G216" s="34" t="s">
        <v>96</v>
      </c>
      <c r="I216" s="8"/>
      <c r="M216" s="34"/>
      <c r="N216" s="36"/>
      <c r="O216" s="36"/>
      <c r="Q216" s="37"/>
      <c r="S216" s="34"/>
    </row>
    <row r="217" spans="1:19" x14ac:dyDescent="0.25">
      <c r="A217" s="2">
        <v>17</v>
      </c>
      <c r="B217" s="34" t="s">
        <v>13</v>
      </c>
      <c r="C217" s="36"/>
      <c r="D217" s="36"/>
      <c r="E217" s="60"/>
      <c r="F217" s="37"/>
      <c r="G217" s="34"/>
      <c r="I217" s="8"/>
    </row>
    <row r="218" spans="1:19" x14ac:dyDescent="0.25">
      <c r="B218" s="3" t="s">
        <v>23</v>
      </c>
      <c r="C218" s="9"/>
      <c r="D218" s="9"/>
      <c r="E218" s="9">
        <f>SUM(E210:E217)</f>
        <v>15</v>
      </c>
      <c r="I218" s="8"/>
    </row>
    <row r="219" spans="1:19" x14ac:dyDescent="0.25">
      <c r="I219" s="8"/>
    </row>
    <row r="220" spans="1:19" x14ac:dyDescent="0.25">
      <c r="A220" s="17"/>
      <c r="B220" s="95" t="s">
        <v>97</v>
      </c>
      <c r="C220" s="95" t="s">
        <v>2</v>
      </c>
      <c r="D220" s="95" t="s">
        <v>3</v>
      </c>
      <c r="E220" s="95" t="s">
        <v>4</v>
      </c>
      <c r="F220" s="95" t="s">
        <v>5</v>
      </c>
      <c r="G220" s="95" t="s">
        <v>6</v>
      </c>
      <c r="H220" s="102" t="s">
        <v>98</v>
      </c>
      <c r="I220" s="8"/>
    </row>
    <row r="221" spans="1:19" x14ac:dyDescent="0.25">
      <c r="A221" s="17"/>
      <c r="B221" s="49" t="s">
        <v>7</v>
      </c>
      <c r="C221" s="96"/>
      <c r="D221" s="97"/>
      <c r="E221" s="49"/>
      <c r="F221" s="98"/>
      <c r="G221" s="49"/>
      <c r="H221" s="102"/>
      <c r="I221" s="8"/>
    </row>
    <row r="222" spans="1:19" x14ac:dyDescent="0.25">
      <c r="A222" s="17"/>
      <c r="B222" s="49" t="s">
        <v>8</v>
      </c>
      <c r="C222" s="99"/>
      <c r="D222" s="99"/>
      <c r="E222" s="17"/>
      <c r="F222" s="17"/>
      <c r="G222" s="17"/>
      <c r="H222" s="102"/>
      <c r="I222" s="8"/>
    </row>
    <row r="223" spans="1:19" x14ac:dyDescent="0.25">
      <c r="A223" s="17"/>
      <c r="B223" s="49" t="s">
        <v>9</v>
      </c>
      <c r="C223" s="99"/>
      <c r="D223" s="99"/>
      <c r="E223" s="17"/>
      <c r="F223" s="17"/>
      <c r="G223" s="49"/>
      <c r="H223" s="102"/>
      <c r="I223" s="8"/>
    </row>
    <row r="224" spans="1:19" x14ac:dyDescent="0.25">
      <c r="A224" s="17"/>
      <c r="B224" s="49" t="s">
        <v>10</v>
      </c>
      <c r="C224" s="97"/>
      <c r="D224" s="97"/>
      <c r="E224" s="49"/>
      <c r="F224" s="98"/>
      <c r="G224" s="49"/>
      <c r="H224" s="102"/>
      <c r="I224" s="8"/>
    </row>
    <row r="225" spans="1:19" x14ac:dyDescent="0.25">
      <c r="A225" s="17"/>
      <c r="B225" s="49" t="s">
        <v>11</v>
      </c>
      <c r="C225" s="100"/>
      <c r="D225" s="100"/>
      <c r="E225" s="49"/>
      <c r="F225" s="17"/>
      <c r="G225" s="98"/>
      <c r="H225" s="102"/>
      <c r="I225" s="8"/>
    </row>
    <row r="226" spans="1:19" x14ac:dyDescent="0.25">
      <c r="A226" s="17"/>
      <c r="B226" s="49" t="s">
        <v>12</v>
      </c>
      <c r="C226" s="100"/>
      <c r="D226" s="100"/>
      <c r="E226" s="49"/>
      <c r="F226" s="98"/>
      <c r="G226" s="49"/>
      <c r="H226" s="102"/>
      <c r="I226" s="8"/>
    </row>
    <row r="227" spans="1:19" x14ac:dyDescent="0.25">
      <c r="A227" s="17"/>
      <c r="B227" s="49" t="s">
        <v>13</v>
      </c>
      <c r="C227" s="97"/>
      <c r="D227" s="97"/>
      <c r="E227" s="49"/>
      <c r="F227" s="98"/>
      <c r="G227" s="49"/>
      <c r="H227" s="102"/>
      <c r="I227" s="8"/>
    </row>
    <row r="228" spans="1:19" ht="30" x14ac:dyDescent="0.25">
      <c r="A228" s="49"/>
      <c r="B228" s="95" t="s">
        <v>23</v>
      </c>
      <c r="C228" s="101"/>
      <c r="D228" s="101"/>
      <c r="E228" s="101">
        <f>SUM(E220:E227)</f>
        <v>0</v>
      </c>
      <c r="F228" s="11" t="s">
        <v>24</v>
      </c>
      <c r="G228" s="12" t="s">
        <v>25</v>
      </c>
      <c r="H228" s="102"/>
      <c r="I228" s="8"/>
    </row>
    <row r="229" spans="1:19" x14ac:dyDescent="0.25">
      <c r="A229" s="13" t="s">
        <v>99</v>
      </c>
      <c r="B229" s="14" t="s">
        <v>27</v>
      </c>
      <c r="C229" s="52"/>
      <c r="D229" s="38"/>
      <c r="E229" s="14">
        <f>SUM(E228, E218)</f>
        <v>15</v>
      </c>
      <c r="F229" s="64">
        <f>SUM(Angelica_hist!G41)</f>
        <v>30</v>
      </c>
      <c r="G229" s="123">
        <f>SUM(E229+G205)-F229</f>
        <v>-14</v>
      </c>
      <c r="H229" s="17"/>
      <c r="I229" s="8"/>
    </row>
    <row r="230" spans="1:19" x14ac:dyDescent="0.25">
      <c r="I230" s="8"/>
      <c r="M230" s="41"/>
      <c r="N230" s="41"/>
      <c r="O230" s="41"/>
      <c r="P230" s="41"/>
      <c r="Q230" s="41"/>
    </row>
    <row r="231" spans="1:19" x14ac:dyDescent="0.25">
      <c r="B231" s="3" t="s">
        <v>100</v>
      </c>
      <c r="C231" s="3" t="s">
        <v>2</v>
      </c>
      <c r="D231" s="3" t="s">
        <v>3</v>
      </c>
      <c r="E231" s="3" t="s">
        <v>4</v>
      </c>
      <c r="F231" s="3" t="s">
        <v>5</v>
      </c>
      <c r="G231" s="41" t="s">
        <v>6</v>
      </c>
      <c r="I231" s="8"/>
      <c r="M231" s="34"/>
      <c r="N231" s="36"/>
      <c r="O231" s="36"/>
      <c r="P231" s="60"/>
      <c r="Q231" s="37"/>
      <c r="S231" s="34"/>
    </row>
    <row r="232" spans="1:19" x14ac:dyDescent="0.25">
      <c r="A232" s="2">
        <v>18</v>
      </c>
      <c r="B232" s="34" t="s">
        <v>7</v>
      </c>
      <c r="C232" s="36"/>
      <c r="D232" s="36"/>
      <c r="E232" s="60" t="s">
        <v>101</v>
      </c>
      <c r="F232" s="37"/>
      <c r="G232" s="34"/>
      <c r="I232" s="8"/>
      <c r="M232" s="34"/>
      <c r="N232" s="35"/>
      <c r="O232" s="36"/>
      <c r="P232" s="60"/>
      <c r="Q232" s="37"/>
      <c r="S232" s="34"/>
    </row>
    <row r="233" spans="1:19" x14ac:dyDescent="0.25">
      <c r="A233" s="2">
        <v>19</v>
      </c>
      <c r="B233" s="34" t="s">
        <v>8</v>
      </c>
      <c r="C233" s="35"/>
      <c r="D233" s="36"/>
      <c r="E233" s="60"/>
      <c r="F233" s="37"/>
      <c r="G233" s="34"/>
      <c r="I233" s="8"/>
      <c r="M233" s="34"/>
      <c r="N233" s="45"/>
      <c r="O233" s="45"/>
      <c r="P233" s="60"/>
      <c r="Q233" s="37"/>
    </row>
    <row r="234" spans="1:19" x14ac:dyDescent="0.25">
      <c r="A234" s="2">
        <v>20</v>
      </c>
      <c r="B234" s="34" t="s">
        <v>9</v>
      </c>
      <c r="C234" s="45">
        <v>0.41666666666666669</v>
      </c>
      <c r="D234" s="45">
        <v>0.5625</v>
      </c>
      <c r="E234" s="60">
        <v>3.5</v>
      </c>
      <c r="F234" s="37"/>
      <c r="G234" s="1" t="s">
        <v>80</v>
      </c>
      <c r="I234" s="8"/>
      <c r="M234" s="34"/>
      <c r="N234" s="45"/>
      <c r="O234" s="45"/>
    </row>
    <row r="235" spans="1:19" x14ac:dyDescent="0.25">
      <c r="A235" s="2">
        <v>21</v>
      </c>
      <c r="B235" s="34" t="s">
        <v>10</v>
      </c>
      <c r="C235" s="45">
        <v>0.4375</v>
      </c>
      <c r="D235" s="45">
        <v>0.52083333333333337</v>
      </c>
      <c r="E235" s="1">
        <v>2</v>
      </c>
      <c r="F235" s="1"/>
      <c r="G235" s="1" t="s">
        <v>80</v>
      </c>
      <c r="I235" s="8"/>
      <c r="M235" s="34"/>
      <c r="N235" s="46"/>
      <c r="O235" s="46"/>
      <c r="P235" s="61"/>
      <c r="Q235" s="48"/>
      <c r="S235" s="47"/>
    </row>
    <row r="236" spans="1:19" x14ac:dyDescent="0.25">
      <c r="B236" s="34"/>
      <c r="C236" s="46">
        <v>4.1666666666666664E-2</v>
      </c>
      <c r="D236" s="46">
        <v>0.125</v>
      </c>
      <c r="E236" s="61">
        <v>2</v>
      </c>
      <c r="F236" s="48"/>
      <c r="G236" s="47" t="s">
        <v>34</v>
      </c>
      <c r="I236" s="8"/>
      <c r="M236" s="34"/>
      <c r="N236" s="45"/>
      <c r="O236" s="45"/>
      <c r="P236" s="60"/>
      <c r="Q236" s="37"/>
      <c r="S236" s="34"/>
    </row>
    <row r="237" spans="1:19" x14ac:dyDescent="0.25">
      <c r="A237" s="2">
        <v>22</v>
      </c>
      <c r="B237" s="34" t="s">
        <v>11</v>
      </c>
      <c r="C237" s="45">
        <v>0.41666666666666669</v>
      </c>
      <c r="D237" s="45">
        <v>0.58333333333333337</v>
      </c>
      <c r="E237" s="60">
        <v>4</v>
      </c>
      <c r="F237" s="37"/>
      <c r="G237" s="34" t="s">
        <v>102</v>
      </c>
      <c r="I237" s="8"/>
      <c r="M237" s="34"/>
      <c r="N237" s="45"/>
      <c r="O237" s="45"/>
      <c r="P237" s="60"/>
      <c r="Q237" s="37"/>
      <c r="S237" s="34"/>
    </row>
    <row r="238" spans="1:19" x14ac:dyDescent="0.25">
      <c r="A238" s="2">
        <v>23</v>
      </c>
      <c r="B238" s="34" t="s">
        <v>12</v>
      </c>
      <c r="C238" s="45">
        <v>0.4375</v>
      </c>
      <c r="D238" s="45">
        <v>0.5625</v>
      </c>
      <c r="E238" s="60">
        <v>3.5</v>
      </c>
      <c r="F238" s="37"/>
      <c r="G238" s="34" t="s">
        <v>103</v>
      </c>
      <c r="I238" s="8"/>
      <c r="M238" s="34"/>
      <c r="N238" s="36"/>
      <c r="O238" s="36"/>
      <c r="P238" s="60"/>
      <c r="Q238" s="37"/>
      <c r="S238" s="34"/>
    </row>
    <row r="239" spans="1:19" x14ac:dyDescent="0.25">
      <c r="A239" s="2">
        <v>24</v>
      </c>
      <c r="B239" s="34" t="s">
        <v>13</v>
      </c>
      <c r="C239" s="36"/>
      <c r="D239" s="36"/>
      <c r="E239" s="60"/>
      <c r="F239" s="37"/>
      <c r="G239" s="34"/>
      <c r="I239" s="8"/>
    </row>
    <row r="240" spans="1:19" x14ac:dyDescent="0.25">
      <c r="B240" s="3" t="s">
        <v>23</v>
      </c>
      <c r="C240" s="9"/>
      <c r="D240" s="9"/>
      <c r="E240" s="9">
        <f>SUM(E232:E239)</f>
        <v>15</v>
      </c>
      <c r="G240" s="1"/>
      <c r="I240" s="8"/>
    </row>
    <row r="241" spans="1:19" x14ac:dyDescent="0.25">
      <c r="B241" s="3"/>
      <c r="C241" s="9"/>
      <c r="D241" s="9"/>
      <c r="E241" s="9"/>
      <c r="G241" s="1"/>
      <c r="I241" s="8"/>
    </row>
    <row r="242" spans="1:19" ht="61.5" customHeight="1" x14ac:dyDescent="0.9">
      <c r="A242" s="103" t="s">
        <v>61</v>
      </c>
      <c r="B242" s="103"/>
      <c r="C242" s="103"/>
      <c r="D242" s="103"/>
      <c r="E242" s="103"/>
      <c r="F242" s="103"/>
      <c r="G242" s="103"/>
      <c r="H242" s="103"/>
      <c r="I242" s="103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</row>
    <row r="243" spans="1:19" x14ac:dyDescent="0.25">
      <c r="I243" s="8"/>
    </row>
    <row r="244" spans="1:19" x14ac:dyDescent="0.25">
      <c r="B244" s="3" t="s">
        <v>104</v>
      </c>
      <c r="C244" s="3" t="s">
        <v>2</v>
      </c>
      <c r="D244" s="3" t="s">
        <v>3</v>
      </c>
      <c r="E244" s="3" t="s">
        <v>4</v>
      </c>
      <c r="F244" s="3" t="s">
        <v>5</v>
      </c>
      <c r="G244" s="41" t="s">
        <v>6</v>
      </c>
      <c r="I244" s="8"/>
      <c r="M244" s="41"/>
      <c r="N244" s="41"/>
      <c r="O244" s="41"/>
      <c r="P244" s="41"/>
      <c r="Q244" s="41"/>
    </row>
    <row r="245" spans="1:19" x14ac:dyDescent="0.25">
      <c r="A245" s="2">
        <v>2</v>
      </c>
      <c r="B245" s="34" t="s">
        <v>7</v>
      </c>
      <c r="C245" s="36"/>
      <c r="D245" s="36"/>
      <c r="E245" s="60"/>
      <c r="F245" s="37"/>
      <c r="G245" s="34"/>
      <c r="I245" s="8"/>
      <c r="M245" s="34"/>
      <c r="N245" s="36"/>
      <c r="O245" s="36"/>
      <c r="P245" s="60"/>
      <c r="Q245" s="37"/>
      <c r="S245" s="34"/>
    </row>
    <row r="246" spans="1:19" x14ac:dyDescent="0.25">
      <c r="A246" s="2">
        <v>3</v>
      </c>
      <c r="B246" s="34" t="s">
        <v>8</v>
      </c>
      <c r="C246" s="35"/>
      <c r="D246" s="36"/>
      <c r="E246" s="60"/>
      <c r="F246" s="37"/>
      <c r="G246" s="34"/>
      <c r="I246" s="8"/>
      <c r="M246" s="34"/>
      <c r="N246" s="35"/>
      <c r="O246" s="36"/>
      <c r="P246" s="60"/>
      <c r="Q246" s="37"/>
      <c r="S246" s="34"/>
    </row>
    <row r="247" spans="1:19" x14ac:dyDescent="0.25">
      <c r="A247" s="2">
        <v>4</v>
      </c>
      <c r="B247" s="34" t="s">
        <v>9</v>
      </c>
      <c r="C247" s="45"/>
      <c r="D247" s="45"/>
      <c r="E247" s="60"/>
      <c r="F247" s="37"/>
      <c r="G247" s="1"/>
      <c r="I247" s="8"/>
      <c r="M247" s="34"/>
      <c r="N247" s="45"/>
      <c r="O247" s="45"/>
      <c r="P247" s="60"/>
      <c r="Q247" s="37"/>
    </row>
    <row r="248" spans="1:19" x14ac:dyDescent="0.25">
      <c r="A248" s="2">
        <v>5</v>
      </c>
      <c r="B248" s="34" t="s">
        <v>10</v>
      </c>
      <c r="C248" s="45">
        <v>0.4375</v>
      </c>
      <c r="D248" s="45">
        <v>0.47916666666666669</v>
      </c>
      <c r="E248" s="1">
        <v>1</v>
      </c>
      <c r="F248" s="1"/>
      <c r="G248" s="1" t="s">
        <v>105</v>
      </c>
      <c r="I248" s="8"/>
      <c r="M248" s="34"/>
      <c r="N248" s="45"/>
      <c r="O248" s="45"/>
    </row>
    <row r="249" spans="1:19" x14ac:dyDescent="0.25">
      <c r="B249" s="34"/>
      <c r="C249" s="46">
        <v>4.1666666666666664E-2</v>
      </c>
      <c r="D249" s="46">
        <v>0.125</v>
      </c>
      <c r="E249" s="61">
        <v>2</v>
      </c>
      <c r="F249" s="48"/>
      <c r="G249" s="47" t="s">
        <v>34</v>
      </c>
      <c r="I249" s="8"/>
      <c r="M249" s="34"/>
      <c r="N249" s="46"/>
      <c r="O249" s="46"/>
      <c r="P249" s="61"/>
      <c r="Q249" s="48"/>
      <c r="S249" s="47"/>
    </row>
    <row r="250" spans="1:19" x14ac:dyDescent="0.25">
      <c r="A250" s="2">
        <v>6</v>
      </c>
      <c r="B250" s="34" t="s">
        <v>11</v>
      </c>
      <c r="C250" s="45"/>
      <c r="D250" s="45"/>
      <c r="E250" s="60"/>
      <c r="F250" s="37"/>
      <c r="G250" s="34"/>
      <c r="I250" s="8"/>
      <c r="M250" s="34"/>
      <c r="N250" s="45"/>
      <c r="O250" s="45"/>
      <c r="P250" s="60"/>
      <c r="Q250" s="37"/>
      <c r="S250" s="34"/>
    </row>
    <row r="251" spans="1:19" x14ac:dyDescent="0.25">
      <c r="A251" s="2">
        <v>7</v>
      </c>
      <c r="B251" s="34" t="s">
        <v>12</v>
      </c>
      <c r="C251" s="45">
        <v>0.4375</v>
      </c>
      <c r="D251" s="45">
        <v>0.5625</v>
      </c>
      <c r="E251" s="60">
        <v>2</v>
      </c>
      <c r="F251" s="37"/>
      <c r="G251" s="34" t="s">
        <v>106</v>
      </c>
      <c r="I251" s="8"/>
      <c r="M251" s="34"/>
      <c r="N251" s="45"/>
      <c r="O251" s="45"/>
      <c r="P251" s="60"/>
      <c r="Q251" s="37"/>
      <c r="S251" s="34"/>
    </row>
    <row r="252" spans="1:19" x14ac:dyDescent="0.25">
      <c r="A252" s="2">
        <v>8</v>
      </c>
      <c r="B252" s="34" t="s">
        <v>13</v>
      </c>
      <c r="C252" s="36"/>
      <c r="D252" s="36"/>
      <c r="E252" s="60"/>
      <c r="F252" s="37"/>
      <c r="G252" s="34"/>
      <c r="I252" s="8"/>
      <c r="M252" s="34"/>
      <c r="N252" s="36"/>
      <c r="O252" s="36"/>
      <c r="P252" s="60"/>
      <c r="Q252" s="37"/>
      <c r="S252" s="34"/>
    </row>
    <row r="253" spans="1:19" ht="30" x14ac:dyDescent="0.25">
      <c r="B253" s="3" t="s">
        <v>23</v>
      </c>
      <c r="C253" s="9"/>
      <c r="D253" s="9"/>
      <c r="E253" s="9">
        <f>SUM(E245:E252)</f>
        <v>5</v>
      </c>
      <c r="F253" s="11" t="s">
        <v>24</v>
      </c>
      <c r="G253" s="12" t="s">
        <v>25</v>
      </c>
      <c r="I253" s="8"/>
      <c r="M253" s="34"/>
      <c r="N253" s="36"/>
      <c r="O253" s="36"/>
      <c r="P253" s="60"/>
      <c r="Q253" s="37"/>
      <c r="S253" s="34"/>
    </row>
    <row r="254" spans="1:19" x14ac:dyDescent="0.25">
      <c r="A254" s="65" t="s">
        <v>107</v>
      </c>
      <c r="B254" s="14" t="s">
        <v>27</v>
      </c>
      <c r="C254" s="52"/>
      <c r="D254" s="38"/>
      <c r="E254" s="14">
        <f>SUM(E232:E239,E245:E252)</f>
        <v>20</v>
      </c>
      <c r="F254" s="64">
        <f>SUM(Angelica_hist!G47,Angelica_hist!G48)</f>
        <v>31</v>
      </c>
      <c r="G254" s="123">
        <f>SUM(E254+G229)-F254</f>
        <v>-25</v>
      </c>
      <c r="H254" s="17" t="s">
        <v>113</v>
      </c>
      <c r="I254" s="8"/>
    </row>
    <row r="255" spans="1:19" x14ac:dyDescent="0.25">
      <c r="I255" s="8"/>
      <c r="M255" s="41"/>
      <c r="N255" s="41"/>
      <c r="O255" s="41"/>
      <c r="P255" s="41"/>
      <c r="Q255" s="41"/>
    </row>
    <row r="256" spans="1:19" x14ac:dyDescent="0.25">
      <c r="B256" s="3" t="s">
        <v>108</v>
      </c>
      <c r="C256" s="3" t="s">
        <v>2</v>
      </c>
      <c r="D256" s="3" t="s">
        <v>3</v>
      </c>
      <c r="E256" s="3" t="s">
        <v>4</v>
      </c>
      <c r="F256" s="3" t="s">
        <v>5</v>
      </c>
      <c r="G256" s="41" t="s">
        <v>6</v>
      </c>
      <c r="I256" s="8"/>
      <c r="M256" s="34"/>
      <c r="N256" s="36"/>
      <c r="O256" s="36"/>
      <c r="P256" s="60"/>
      <c r="Q256" s="37"/>
      <c r="S256" s="34"/>
    </row>
    <row r="257" spans="1:19" x14ac:dyDescent="0.25">
      <c r="A257" s="2">
        <v>9</v>
      </c>
      <c r="B257" s="34" t="s">
        <v>7</v>
      </c>
      <c r="C257" s="36"/>
      <c r="D257" s="36"/>
      <c r="E257" s="60"/>
      <c r="F257" s="37"/>
      <c r="G257" s="34"/>
      <c r="I257" s="8"/>
      <c r="M257" s="34"/>
      <c r="N257" s="35"/>
      <c r="O257" s="36"/>
      <c r="P257" s="60"/>
      <c r="Q257" s="37"/>
      <c r="S257" s="34"/>
    </row>
    <row r="258" spans="1:19" x14ac:dyDescent="0.25">
      <c r="A258" s="2">
        <v>10</v>
      </c>
      <c r="B258" s="34" t="s">
        <v>8</v>
      </c>
      <c r="C258" s="35"/>
      <c r="D258" s="36"/>
      <c r="E258" s="60"/>
      <c r="F258" s="37"/>
      <c r="G258" s="34"/>
      <c r="I258" s="8"/>
      <c r="M258" s="34"/>
      <c r="N258" s="45"/>
      <c r="O258" s="45"/>
      <c r="P258" s="60"/>
      <c r="Q258" s="37"/>
    </row>
    <row r="259" spans="1:19" x14ac:dyDescent="0.25">
      <c r="A259" s="2">
        <v>11</v>
      </c>
      <c r="B259" s="34" t="s">
        <v>9</v>
      </c>
      <c r="C259" s="45"/>
      <c r="D259" s="45"/>
      <c r="E259" s="60"/>
      <c r="F259" s="37"/>
      <c r="G259" s="1"/>
      <c r="I259" s="8"/>
      <c r="M259" s="34"/>
      <c r="N259" s="45"/>
      <c r="O259" s="45"/>
    </row>
    <row r="260" spans="1:19" x14ac:dyDescent="0.25">
      <c r="A260" s="2">
        <v>12</v>
      </c>
      <c r="B260" s="34" t="s">
        <v>10</v>
      </c>
      <c r="C260" s="45">
        <v>0.16666666666666666</v>
      </c>
      <c r="D260" s="45">
        <v>0.25</v>
      </c>
      <c r="E260" s="1">
        <v>2</v>
      </c>
      <c r="F260" s="1"/>
      <c r="G260" s="1" t="s">
        <v>109</v>
      </c>
      <c r="I260" s="8"/>
      <c r="M260" s="34"/>
      <c r="N260" s="45"/>
      <c r="O260" s="45"/>
      <c r="P260" s="60"/>
      <c r="Q260" s="37"/>
      <c r="S260" s="34"/>
    </row>
    <row r="261" spans="1:19" x14ac:dyDescent="0.25">
      <c r="A261" s="2">
        <v>13</v>
      </c>
      <c r="B261" s="34" t="s">
        <v>11</v>
      </c>
      <c r="C261" s="45"/>
      <c r="D261" s="45"/>
      <c r="E261" s="60"/>
      <c r="F261" s="37"/>
      <c r="G261" s="34"/>
      <c r="I261" s="8"/>
      <c r="M261" s="34"/>
      <c r="N261" s="45"/>
      <c r="O261" s="45"/>
      <c r="P261" s="60"/>
      <c r="Q261" s="37"/>
      <c r="S261" s="34"/>
    </row>
    <row r="262" spans="1:19" x14ac:dyDescent="0.25">
      <c r="A262" s="2">
        <v>14</v>
      </c>
      <c r="B262" s="34" t="s">
        <v>12</v>
      </c>
      <c r="C262" s="45"/>
      <c r="D262" s="45"/>
      <c r="E262" s="60"/>
      <c r="F262" s="37"/>
      <c r="G262" s="34"/>
      <c r="I262" s="8"/>
      <c r="M262" s="34"/>
      <c r="N262" s="36"/>
      <c r="O262" s="36"/>
      <c r="P262" s="60"/>
      <c r="Q262" s="37"/>
      <c r="S262" s="34"/>
    </row>
    <row r="263" spans="1:19" x14ac:dyDescent="0.25">
      <c r="A263" s="2">
        <v>15</v>
      </c>
      <c r="B263" s="34" t="s">
        <v>13</v>
      </c>
      <c r="C263" s="36"/>
      <c r="D263" s="36"/>
      <c r="E263" s="60"/>
      <c r="F263" s="37"/>
      <c r="G263" s="34"/>
      <c r="I263" s="8"/>
    </row>
    <row r="264" spans="1:19" x14ac:dyDescent="0.25">
      <c r="B264" s="3" t="s">
        <v>23</v>
      </c>
      <c r="C264" s="9"/>
      <c r="D264" s="9"/>
      <c r="E264" s="9">
        <f>SUM(E256:E263)</f>
        <v>2</v>
      </c>
      <c r="G264" s="1"/>
      <c r="I264" s="8"/>
    </row>
    <row r="265" spans="1:19" x14ac:dyDescent="0.25">
      <c r="G265" s="1"/>
      <c r="I265" s="8"/>
      <c r="M265" s="41"/>
      <c r="N265" s="41"/>
      <c r="O265" s="41"/>
      <c r="P265" s="41"/>
      <c r="Q265" s="41"/>
    </row>
    <row r="266" spans="1:19" x14ac:dyDescent="0.25">
      <c r="B266" s="3" t="s">
        <v>110</v>
      </c>
      <c r="C266" s="3" t="s">
        <v>2</v>
      </c>
      <c r="D266" s="3" t="s">
        <v>3</v>
      </c>
      <c r="E266" s="3" t="s">
        <v>4</v>
      </c>
      <c r="F266" s="3" t="s">
        <v>5</v>
      </c>
      <c r="G266" s="41" t="s">
        <v>6</v>
      </c>
      <c r="I266" s="8"/>
      <c r="M266" s="34"/>
      <c r="N266" s="36"/>
      <c r="O266" s="36"/>
      <c r="P266" s="60"/>
      <c r="Q266" s="37"/>
    </row>
    <row r="267" spans="1:19" x14ac:dyDescent="0.25">
      <c r="B267" s="4" t="s">
        <v>7</v>
      </c>
      <c r="C267" s="18"/>
      <c r="D267" s="5"/>
      <c r="E267" s="4"/>
      <c r="F267" s="6"/>
      <c r="G267" s="34"/>
      <c r="I267" s="8"/>
      <c r="M267" s="34"/>
      <c r="N267" s="35"/>
      <c r="O267" s="36"/>
      <c r="P267" s="60"/>
      <c r="Q267" s="37"/>
    </row>
    <row r="268" spans="1:19" ht="15" customHeight="1" x14ac:dyDescent="0.25">
      <c r="B268" s="4" t="s">
        <v>8</v>
      </c>
      <c r="C268" s="7"/>
      <c r="D268" s="7"/>
      <c r="G268" s="1"/>
      <c r="I268" s="8"/>
      <c r="M268" s="34"/>
      <c r="N268" s="45"/>
      <c r="O268" s="45"/>
      <c r="P268" s="60"/>
      <c r="Q268" s="37"/>
    </row>
    <row r="269" spans="1:19" x14ac:dyDescent="0.25">
      <c r="B269" s="4" t="s">
        <v>9</v>
      </c>
      <c r="C269" s="122" t="s">
        <v>157</v>
      </c>
      <c r="D269" s="122"/>
      <c r="E269" s="122"/>
      <c r="F269" s="122"/>
      <c r="G269" s="122"/>
      <c r="I269" s="8"/>
      <c r="M269" s="34"/>
      <c r="N269" s="45"/>
      <c r="O269" s="45"/>
    </row>
    <row r="270" spans="1:19" x14ac:dyDescent="0.25">
      <c r="B270" s="4" t="s">
        <v>10</v>
      </c>
      <c r="C270" s="122"/>
      <c r="D270" s="122"/>
      <c r="E270" s="122"/>
      <c r="F270" s="122"/>
      <c r="G270" s="122"/>
      <c r="I270" s="8"/>
      <c r="M270" s="34"/>
      <c r="N270" s="45"/>
      <c r="O270" s="45"/>
      <c r="P270" s="60"/>
      <c r="Q270" s="37"/>
    </row>
    <row r="271" spans="1:19" ht="15" customHeight="1" x14ac:dyDescent="0.25">
      <c r="B271" s="4" t="s">
        <v>11</v>
      </c>
      <c r="C271" s="122"/>
      <c r="D271" s="122"/>
      <c r="E271" s="122"/>
      <c r="F271" s="122"/>
      <c r="G271" s="122"/>
      <c r="I271" s="8"/>
      <c r="M271" s="34"/>
      <c r="N271" s="45"/>
      <c r="O271" s="45"/>
      <c r="P271" s="60"/>
      <c r="Q271" s="37"/>
    </row>
    <row r="272" spans="1:19" x14ac:dyDescent="0.25">
      <c r="B272" s="4" t="s">
        <v>12</v>
      </c>
      <c r="C272" s="33"/>
      <c r="D272" s="33"/>
      <c r="E272" s="4"/>
      <c r="F272" s="6"/>
      <c r="G272" s="34"/>
      <c r="I272" s="8"/>
      <c r="M272" s="34"/>
      <c r="N272" s="36"/>
      <c r="O272" s="36"/>
      <c r="P272" s="60"/>
      <c r="Q272" s="37"/>
    </row>
    <row r="273" spans="1:9" x14ac:dyDescent="0.25">
      <c r="A273" s="34"/>
      <c r="B273" s="4" t="s">
        <v>13</v>
      </c>
      <c r="C273" s="5"/>
      <c r="D273" s="5"/>
      <c r="E273" s="4"/>
      <c r="F273" s="6"/>
      <c r="G273" s="34"/>
      <c r="I273" s="8"/>
    </row>
    <row r="274" spans="1:9" ht="30" x14ac:dyDescent="0.25">
      <c r="A274" s="38" t="s">
        <v>52</v>
      </c>
      <c r="B274" s="3" t="s">
        <v>23</v>
      </c>
      <c r="C274" s="9"/>
      <c r="D274" s="9"/>
      <c r="E274" s="101">
        <v>12</v>
      </c>
      <c r="F274" s="11" t="s">
        <v>24</v>
      </c>
      <c r="G274" s="12" t="s">
        <v>25</v>
      </c>
      <c r="I274" s="8"/>
    </row>
    <row r="275" spans="1:9" x14ac:dyDescent="0.25">
      <c r="A275" s="13"/>
      <c r="B275" s="14" t="s">
        <v>27</v>
      </c>
      <c r="C275" s="52"/>
      <c r="D275" s="38" t="s">
        <v>52</v>
      </c>
      <c r="E275" s="14">
        <f>SUM(E274,E264)</f>
        <v>14</v>
      </c>
      <c r="F275" s="11">
        <v>0</v>
      </c>
      <c r="G275" s="123">
        <f>SUM(E275+G254)-F275</f>
        <v>-11</v>
      </c>
      <c r="H275" s="17" t="s">
        <v>113</v>
      </c>
      <c r="I275" s="8"/>
    </row>
    <row r="276" spans="1:9" x14ac:dyDescent="0.25">
      <c r="I276" s="8"/>
    </row>
    <row r="277" spans="1:9" x14ac:dyDescent="0.25">
      <c r="B277" s="3" t="s">
        <v>111</v>
      </c>
      <c r="C277" s="3" t="s">
        <v>2</v>
      </c>
      <c r="D277" s="3" t="s">
        <v>3</v>
      </c>
      <c r="E277" s="3" t="s">
        <v>4</v>
      </c>
      <c r="F277" s="3" t="s">
        <v>5</v>
      </c>
      <c r="G277" s="3" t="s">
        <v>6</v>
      </c>
      <c r="I277" s="8"/>
    </row>
    <row r="278" spans="1:9" x14ac:dyDescent="0.25">
      <c r="B278" s="4" t="s">
        <v>7</v>
      </c>
      <c r="C278" s="18"/>
      <c r="D278" s="5"/>
      <c r="E278" s="4"/>
      <c r="F278" s="6"/>
      <c r="G278" s="4"/>
      <c r="I278" s="8"/>
    </row>
    <row r="279" spans="1:9" x14ac:dyDescent="0.25">
      <c r="B279" s="4" t="s">
        <v>8</v>
      </c>
      <c r="C279" s="7"/>
      <c r="D279" s="7"/>
      <c r="I279" s="8"/>
    </row>
    <row r="280" spans="1:9" x14ac:dyDescent="0.25">
      <c r="B280" s="4" t="s">
        <v>9</v>
      </c>
      <c r="C280" s="122" t="s">
        <v>158</v>
      </c>
      <c r="D280" s="122"/>
      <c r="E280" s="122"/>
      <c r="F280" s="122"/>
      <c r="G280" s="122"/>
      <c r="I280" s="8"/>
    </row>
    <row r="281" spans="1:9" x14ac:dyDescent="0.25">
      <c r="B281" s="4" t="s">
        <v>10</v>
      </c>
      <c r="C281" s="122"/>
      <c r="D281" s="122"/>
      <c r="E281" s="122"/>
      <c r="F281" s="122"/>
      <c r="G281" s="122"/>
      <c r="I281" s="8"/>
    </row>
    <row r="282" spans="1:9" x14ac:dyDescent="0.25">
      <c r="B282" s="4" t="s">
        <v>11</v>
      </c>
      <c r="C282" s="122"/>
      <c r="D282" s="122"/>
      <c r="E282" s="122"/>
      <c r="F282" s="122"/>
      <c r="G282" s="122"/>
      <c r="I282" s="8"/>
    </row>
    <row r="283" spans="1:9" x14ac:dyDescent="0.25">
      <c r="B283" s="4" t="s">
        <v>12</v>
      </c>
      <c r="C283" s="33"/>
      <c r="D283" s="33"/>
      <c r="E283" s="4"/>
      <c r="F283" s="6"/>
      <c r="G283" s="4"/>
      <c r="I283" s="8"/>
    </row>
    <row r="284" spans="1:9" x14ac:dyDescent="0.25">
      <c r="B284" s="4" t="s">
        <v>13</v>
      </c>
      <c r="C284" s="5"/>
      <c r="D284" s="5"/>
      <c r="E284" s="4"/>
      <c r="F284" s="6"/>
      <c r="G284" s="4"/>
      <c r="I284" s="8"/>
    </row>
    <row r="285" spans="1:9" x14ac:dyDescent="0.25">
      <c r="B285" s="3" t="s">
        <v>23</v>
      </c>
      <c r="C285" s="9"/>
      <c r="D285" s="9"/>
      <c r="E285" s="101">
        <v>8</v>
      </c>
      <c r="I285" s="8"/>
    </row>
    <row r="286" spans="1:9" x14ac:dyDescent="0.25">
      <c r="I286" s="8"/>
    </row>
    <row r="287" spans="1:9" x14ac:dyDescent="0.25">
      <c r="B287" s="3" t="s">
        <v>112</v>
      </c>
      <c r="C287" s="3" t="s">
        <v>2</v>
      </c>
      <c r="D287" s="3" t="s">
        <v>3</v>
      </c>
      <c r="E287" s="3" t="s">
        <v>4</v>
      </c>
      <c r="F287" s="3" t="s">
        <v>5</v>
      </c>
      <c r="G287" s="3" t="s">
        <v>6</v>
      </c>
      <c r="I287" s="8"/>
    </row>
    <row r="288" spans="1:9" x14ac:dyDescent="0.25">
      <c r="B288" s="4" t="s">
        <v>7</v>
      </c>
      <c r="C288" s="18"/>
      <c r="D288" s="5"/>
      <c r="E288" s="4"/>
      <c r="F288" s="6"/>
      <c r="G288" s="4"/>
      <c r="I288" s="8"/>
    </row>
    <row r="289" spans="1:9" ht="30" x14ac:dyDescent="0.25">
      <c r="A289" s="17" t="s">
        <v>113</v>
      </c>
      <c r="B289" s="4" t="s">
        <v>8</v>
      </c>
      <c r="C289" s="7"/>
      <c r="D289" s="7"/>
      <c r="I289" s="8"/>
    </row>
    <row r="290" spans="1:9" x14ac:dyDescent="0.25">
      <c r="B290" s="4" t="s">
        <v>9</v>
      </c>
      <c r="C290" s="122" t="s">
        <v>159</v>
      </c>
      <c r="D290" s="122"/>
      <c r="E290" s="122"/>
      <c r="F290" s="122"/>
      <c r="G290" s="122"/>
      <c r="I290" s="8"/>
    </row>
    <row r="291" spans="1:9" x14ac:dyDescent="0.25">
      <c r="B291" s="4" t="s">
        <v>10</v>
      </c>
      <c r="C291" s="122"/>
      <c r="D291" s="122"/>
      <c r="E291" s="122"/>
      <c r="F291" s="122"/>
      <c r="G291" s="122"/>
      <c r="I291" s="8"/>
    </row>
    <row r="292" spans="1:9" x14ac:dyDescent="0.25">
      <c r="B292" s="4" t="s">
        <v>11</v>
      </c>
      <c r="C292" s="122"/>
      <c r="D292" s="122"/>
      <c r="E292" s="122"/>
      <c r="F292" s="122"/>
      <c r="G292" s="122"/>
      <c r="I292" s="8"/>
    </row>
    <row r="293" spans="1:9" x14ac:dyDescent="0.25">
      <c r="B293" s="4" t="s">
        <v>12</v>
      </c>
      <c r="C293" s="33"/>
      <c r="D293" s="33"/>
      <c r="E293" s="4"/>
      <c r="F293" s="6"/>
      <c r="G293" s="4"/>
      <c r="I293" s="8"/>
    </row>
    <row r="294" spans="1:9" x14ac:dyDescent="0.25">
      <c r="A294" s="34"/>
      <c r="B294" s="4" t="s">
        <v>13</v>
      </c>
      <c r="C294" s="5"/>
      <c r="D294" s="5"/>
      <c r="E294" s="4"/>
      <c r="F294" s="6"/>
      <c r="G294" s="4"/>
      <c r="I294" s="8"/>
    </row>
    <row r="295" spans="1:9" ht="30" x14ac:dyDescent="0.25">
      <c r="B295" s="3" t="s">
        <v>23</v>
      </c>
      <c r="C295" s="9"/>
      <c r="D295" s="9"/>
      <c r="E295" s="101">
        <v>6</v>
      </c>
      <c r="F295" s="11" t="s">
        <v>24</v>
      </c>
      <c r="G295" s="12" t="s">
        <v>25</v>
      </c>
      <c r="I295" s="8"/>
    </row>
    <row r="296" spans="1:9" x14ac:dyDescent="0.25">
      <c r="A296" s="65" t="s">
        <v>114</v>
      </c>
      <c r="B296" s="14" t="s">
        <v>27</v>
      </c>
      <c r="C296" s="66"/>
      <c r="D296" s="67"/>
      <c r="E296" s="14">
        <f>SUM(E295,E285)</f>
        <v>14</v>
      </c>
      <c r="F296" s="113">
        <v>0</v>
      </c>
      <c r="G296" s="16">
        <f>SUM(E296+G275)-F296</f>
        <v>3</v>
      </c>
      <c r="H296" s="17" t="s">
        <v>113</v>
      </c>
      <c r="I296" s="8"/>
    </row>
    <row r="297" spans="1:9" x14ac:dyDescent="0.25">
      <c r="I297" s="8"/>
    </row>
    <row r="298" spans="1:9" x14ac:dyDescent="0.25">
      <c r="B298" s="3" t="s">
        <v>115</v>
      </c>
      <c r="C298" s="3" t="s">
        <v>2</v>
      </c>
      <c r="D298" s="3" t="s">
        <v>3</v>
      </c>
      <c r="E298" s="3" t="s">
        <v>4</v>
      </c>
      <c r="F298" s="3" t="s">
        <v>5</v>
      </c>
      <c r="G298" s="3" t="s">
        <v>6</v>
      </c>
      <c r="I298" s="8"/>
    </row>
    <row r="299" spans="1:9" x14ac:dyDescent="0.25">
      <c r="B299" s="4" t="s">
        <v>7</v>
      </c>
      <c r="C299" s="18"/>
      <c r="D299" s="5"/>
      <c r="E299" s="4"/>
      <c r="F299" s="6"/>
      <c r="G299" s="4"/>
      <c r="I299" s="8"/>
    </row>
    <row r="300" spans="1:9" x14ac:dyDescent="0.25">
      <c r="B300" s="4" t="s">
        <v>8</v>
      </c>
      <c r="C300" s="7"/>
      <c r="D300" s="7"/>
      <c r="I300" s="8"/>
    </row>
    <row r="301" spans="1:9" x14ac:dyDescent="0.25">
      <c r="B301" s="4" t="s">
        <v>9</v>
      </c>
      <c r="C301" s="7"/>
      <c r="D301" s="7"/>
      <c r="G301" s="4"/>
      <c r="I301" s="8"/>
    </row>
    <row r="302" spans="1:9" x14ac:dyDescent="0.25">
      <c r="B302" s="4" t="s">
        <v>10</v>
      </c>
      <c r="C302" s="5"/>
      <c r="D302" s="5"/>
      <c r="E302" s="4"/>
      <c r="F302" s="6"/>
      <c r="G302" s="4"/>
      <c r="I302" s="8"/>
    </row>
    <row r="303" spans="1:9" x14ac:dyDescent="0.25">
      <c r="B303" s="4" t="s">
        <v>11</v>
      </c>
      <c r="C303" s="33"/>
      <c r="D303" s="33"/>
      <c r="E303" s="4"/>
      <c r="G303" s="6"/>
      <c r="I303" s="8"/>
    </row>
    <row r="304" spans="1:9" x14ac:dyDescent="0.25">
      <c r="B304" s="4" t="s">
        <v>12</v>
      </c>
      <c r="C304" s="33"/>
      <c r="D304" s="33"/>
      <c r="E304" s="4"/>
      <c r="F304" s="6"/>
      <c r="G304" s="4"/>
      <c r="I304" s="8"/>
    </row>
    <row r="305" spans="1:9" x14ac:dyDescent="0.25">
      <c r="B305" s="4" t="s">
        <v>13</v>
      </c>
      <c r="C305" s="5"/>
      <c r="D305" s="5"/>
      <c r="E305" s="4"/>
      <c r="F305" s="6"/>
      <c r="G305" s="4"/>
      <c r="I305" s="8"/>
    </row>
    <row r="306" spans="1:9" x14ac:dyDescent="0.25">
      <c r="B306" s="3" t="s">
        <v>23</v>
      </c>
      <c r="C306" s="9"/>
      <c r="D306" s="9"/>
      <c r="E306" s="101">
        <v>5</v>
      </c>
      <c r="I306" s="8"/>
    </row>
    <row r="307" spans="1:9" x14ac:dyDescent="0.25">
      <c r="I307" s="8"/>
    </row>
    <row r="308" spans="1:9" x14ac:dyDescent="0.25">
      <c r="B308" s="3" t="s">
        <v>116</v>
      </c>
      <c r="C308" s="3" t="s">
        <v>2</v>
      </c>
      <c r="D308" s="3" t="s">
        <v>3</v>
      </c>
      <c r="E308" s="3" t="s">
        <v>4</v>
      </c>
      <c r="F308" s="3" t="s">
        <v>5</v>
      </c>
      <c r="G308" s="3" t="s">
        <v>6</v>
      </c>
      <c r="I308" s="8"/>
    </row>
    <row r="309" spans="1:9" x14ac:dyDescent="0.25">
      <c r="B309" s="4" t="s">
        <v>7</v>
      </c>
      <c r="C309" s="18"/>
      <c r="D309" s="5"/>
      <c r="E309" s="4"/>
      <c r="F309" s="6"/>
      <c r="G309" s="4"/>
      <c r="I309" s="8"/>
    </row>
    <row r="310" spans="1:9" x14ac:dyDescent="0.25">
      <c r="B310" s="4" t="s">
        <v>8</v>
      </c>
      <c r="C310" s="7"/>
      <c r="D310" s="7"/>
      <c r="I310" s="8"/>
    </row>
    <row r="311" spans="1:9" x14ac:dyDescent="0.25">
      <c r="B311" s="4" t="s">
        <v>9</v>
      </c>
      <c r="C311" s="7"/>
      <c r="D311" s="7"/>
      <c r="G311" s="4"/>
      <c r="I311" s="8"/>
    </row>
    <row r="312" spans="1:9" x14ac:dyDescent="0.25">
      <c r="B312" s="4" t="s">
        <v>10</v>
      </c>
      <c r="C312" s="5"/>
      <c r="D312" s="5"/>
      <c r="E312" s="4"/>
      <c r="F312" s="6"/>
      <c r="G312" s="4"/>
      <c r="I312" s="8"/>
    </row>
    <row r="313" spans="1:9" x14ac:dyDescent="0.25">
      <c r="B313" s="4" t="s">
        <v>11</v>
      </c>
      <c r="C313" s="33"/>
      <c r="D313" s="33"/>
      <c r="E313" s="4"/>
      <c r="G313" s="6"/>
      <c r="I313" s="8"/>
    </row>
    <row r="314" spans="1:9" x14ac:dyDescent="0.25">
      <c r="B314" s="4" t="s">
        <v>12</v>
      </c>
      <c r="C314" s="33"/>
      <c r="D314" s="33"/>
      <c r="E314" s="4"/>
      <c r="F314" s="6"/>
      <c r="G314" s="4"/>
      <c r="I314" s="8"/>
    </row>
    <row r="315" spans="1:9" x14ac:dyDescent="0.25">
      <c r="A315" s="34"/>
      <c r="B315" s="4" t="s">
        <v>13</v>
      </c>
      <c r="C315" s="5"/>
      <c r="D315" s="5"/>
      <c r="E315" s="4"/>
      <c r="F315" s="6"/>
      <c r="G315" s="4"/>
      <c r="I315" s="8"/>
    </row>
    <row r="316" spans="1:9" ht="30" x14ac:dyDescent="0.25">
      <c r="B316" s="3" t="s">
        <v>23</v>
      </c>
      <c r="C316" s="9"/>
      <c r="D316" s="9"/>
      <c r="E316" s="101">
        <v>2</v>
      </c>
      <c r="F316" s="11" t="s">
        <v>24</v>
      </c>
      <c r="G316" s="12" t="s">
        <v>25</v>
      </c>
      <c r="I316" s="8"/>
    </row>
    <row r="317" spans="1:9" x14ac:dyDescent="0.25">
      <c r="A317" s="65" t="s">
        <v>117</v>
      </c>
      <c r="B317" s="14" t="s">
        <v>27</v>
      </c>
      <c r="C317" s="66"/>
      <c r="D317" s="67"/>
      <c r="E317" s="14">
        <f>SUM(E316,E306)</f>
        <v>7</v>
      </c>
      <c r="F317" s="113">
        <v>10</v>
      </c>
      <c r="G317" s="63">
        <f>SUM(E317+G296)-F317</f>
        <v>0</v>
      </c>
      <c r="H317" s="17" t="s">
        <v>113</v>
      </c>
      <c r="I317" s="8"/>
    </row>
    <row r="318" spans="1:9" x14ac:dyDescent="0.25">
      <c r="I318" s="8"/>
    </row>
    <row r="319" spans="1:9" x14ac:dyDescent="0.25">
      <c r="B319" s="3" t="s">
        <v>118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I319" s="8"/>
    </row>
    <row r="320" spans="1:9" x14ac:dyDescent="0.25">
      <c r="B320" s="4" t="s">
        <v>7</v>
      </c>
      <c r="C320" s="18"/>
      <c r="D320" s="5"/>
      <c r="E320" s="4"/>
      <c r="F320" s="6"/>
      <c r="G320" s="4"/>
      <c r="I320" s="8"/>
    </row>
    <row r="321" spans="1:9" x14ac:dyDescent="0.25">
      <c r="B321" s="4" t="s">
        <v>8</v>
      </c>
      <c r="C321" s="7"/>
      <c r="D321" s="7"/>
      <c r="I321" s="8"/>
    </row>
    <row r="322" spans="1:9" x14ac:dyDescent="0.25">
      <c r="B322" s="4" t="s">
        <v>9</v>
      </c>
      <c r="C322" s="7"/>
      <c r="D322" s="7"/>
      <c r="G322" s="4"/>
      <c r="I322" s="8"/>
    </row>
    <row r="323" spans="1:9" x14ac:dyDescent="0.25">
      <c r="B323" s="4" t="s">
        <v>10</v>
      </c>
      <c r="C323" s="5"/>
      <c r="D323" s="5"/>
      <c r="E323" s="4"/>
      <c r="F323" s="6"/>
      <c r="G323" s="4"/>
      <c r="I323" s="8"/>
    </row>
    <row r="324" spans="1:9" x14ac:dyDescent="0.25">
      <c r="B324" s="4" t="s">
        <v>11</v>
      </c>
      <c r="C324" s="33"/>
      <c r="D324" s="33"/>
      <c r="E324" s="4"/>
      <c r="G324" s="6"/>
      <c r="I324" s="8"/>
    </row>
    <row r="325" spans="1:9" x14ac:dyDescent="0.25">
      <c r="B325" s="4" t="s">
        <v>12</v>
      </c>
      <c r="C325" s="33"/>
      <c r="D325" s="33"/>
      <c r="E325" s="4"/>
      <c r="F325" s="6"/>
      <c r="G325" s="4"/>
      <c r="I325" s="8"/>
    </row>
    <row r="326" spans="1:9" x14ac:dyDescent="0.25">
      <c r="B326" s="4" t="s">
        <v>13</v>
      </c>
      <c r="C326" s="5"/>
      <c r="D326" s="5"/>
      <c r="E326" s="4"/>
      <c r="F326" s="6"/>
      <c r="G326" s="4"/>
      <c r="I326" s="8"/>
    </row>
    <row r="327" spans="1:9" x14ac:dyDescent="0.25">
      <c r="B327" s="3" t="s">
        <v>23</v>
      </c>
      <c r="C327" s="9"/>
      <c r="D327" s="9"/>
      <c r="E327" s="101">
        <f>SUM(E319:E326)</f>
        <v>0</v>
      </c>
      <c r="I327" s="8"/>
    </row>
    <row r="328" spans="1:9" x14ac:dyDescent="0.25">
      <c r="I328" s="8"/>
    </row>
    <row r="329" spans="1:9" x14ac:dyDescent="0.25">
      <c r="B329" s="3" t="s">
        <v>119</v>
      </c>
      <c r="C329" s="3" t="s">
        <v>2</v>
      </c>
      <c r="D329" s="3" t="s">
        <v>3</v>
      </c>
      <c r="E329" s="3" t="s">
        <v>4</v>
      </c>
      <c r="F329" s="3" t="s">
        <v>5</v>
      </c>
      <c r="G329" s="3" t="s">
        <v>6</v>
      </c>
      <c r="I329" s="8"/>
    </row>
    <row r="330" spans="1:9" x14ac:dyDescent="0.25">
      <c r="B330" s="4" t="s">
        <v>7</v>
      </c>
      <c r="C330" s="18"/>
      <c r="D330" s="5"/>
      <c r="E330" s="4"/>
      <c r="F330" s="6"/>
      <c r="G330" s="4"/>
      <c r="I330" s="8"/>
    </row>
    <row r="331" spans="1:9" x14ac:dyDescent="0.25">
      <c r="B331" s="4" t="s">
        <v>8</v>
      </c>
      <c r="C331" s="7"/>
      <c r="D331" s="7"/>
      <c r="I331" s="8"/>
    </row>
    <row r="332" spans="1:9" x14ac:dyDescent="0.25">
      <c r="B332" s="4" t="s">
        <v>9</v>
      </c>
      <c r="C332" s="7"/>
      <c r="D332" s="7"/>
      <c r="G332" s="4"/>
      <c r="I332" s="8"/>
    </row>
    <row r="333" spans="1:9" x14ac:dyDescent="0.25">
      <c r="B333" s="4" t="s">
        <v>10</v>
      </c>
      <c r="C333" s="5"/>
      <c r="D333" s="5"/>
      <c r="E333" s="4"/>
      <c r="F333" s="6"/>
      <c r="G333" s="4"/>
      <c r="I333" s="8"/>
    </row>
    <row r="334" spans="1:9" x14ac:dyDescent="0.25">
      <c r="B334" s="4" t="s">
        <v>11</v>
      </c>
      <c r="C334" s="33"/>
      <c r="D334" s="33"/>
      <c r="E334" s="4"/>
      <c r="G334" s="6"/>
      <c r="I334" s="8"/>
    </row>
    <row r="335" spans="1:9" x14ac:dyDescent="0.25">
      <c r="B335" s="4" t="s">
        <v>12</v>
      </c>
      <c r="C335" s="33"/>
      <c r="D335" s="33"/>
      <c r="E335" s="4"/>
      <c r="F335" s="6"/>
      <c r="G335" s="4"/>
      <c r="I335" s="8"/>
    </row>
    <row r="336" spans="1:9" x14ac:dyDescent="0.25">
      <c r="A336" s="34"/>
      <c r="B336" s="4" t="s">
        <v>13</v>
      </c>
      <c r="C336" s="5"/>
      <c r="D336" s="5"/>
      <c r="E336" s="4"/>
      <c r="F336" s="6"/>
      <c r="G336" s="4"/>
      <c r="I336" s="8"/>
    </row>
    <row r="337" spans="1:9" ht="30" x14ac:dyDescent="0.25">
      <c r="B337" s="3" t="s">
        <v>23</v>
      </c>
      <c r="C337" s="9"/>
      <c r="D337" s="9"/>
      <c r="E337" s="101">
        <v>5</v>
      </c>
      <c r="F337" s="11" t="s">
        <v>24</v>
      </c>
      <c r="G337" s="12" t="s">
        <v>25</v>
      </c>
      <c r="I337" s="8"/>
    </row>
    <row r="338" spans="1:9" ht="30" x14ac:dyDescent="0.25">
      <c r="A338" s="65" t="s">
        <v>120</v>
      </c>
      <c r="B338" s="14" t="s">
        <v>27</v>
      </c>
      <c r="C338" s="66"/>
      <c r="D338" s="67"/>
      <c r="E338" s="14">
        <f>SUM(E337,E327)</f>
        <v>5</v>
      </c>
      <c r="F338" s="113">
        <v>5</v>
      </c>
      <c r="G338" s="63">
        <f>SUM(E338+G317)-F338</f>
        <v>0</v>
      </c>
      <c r="H338" s="17" t="s">
        <v>113</v>
      </c>
      <c r="I338" s="8"/>
    </row>
    <row r="342" spans="1:9" ht="33.75" x14ac:dyDescent="0.5">
      <c r="A342" s="104" t="s">
        <v>121</v>
      </c>
      <c r="B342" s="104"/>
      <c r="C342" s="104"/>
      <c r="D342" s="104"/>
      <c r="E342" s="104"/>
      <c r="F342" s="104"/>
      <c r="G342" s="104"/>
      <c r="H342" s="104"/>
    </row>
    <row r="343" spans="1:9" ht="33.75" customHeight="1" x14ac:dyDescent="0.5">
      <c r="A343" s="68" t="s">
        <v>122</v>
      </c>
      <c r="B343" s="68" t="s">
        <v>123</v>
      </c>
      <c r="C343" s="68" t="s">
        <v>124</v>
      </c>
      <c r="D343" s="114" t="s">
        <v>154</v>
      </c>
      <c r="E343" s="114"/>
      <c r="F343" s="114"/>
      <c r="G343" s="114"/>
      <c r="H343" s="114"/>
      <c r="I343" s="2"/>
    </row>
    <row r="344" spans="1:9" ht="30" customHeight="1" x14ac:dyDescent="0.25">
      <c r="A344" s="69" t="s">
        <v>125</v>
      </c>
      <c r="B344" s="70">
        <f>SUM(Angelica_hist!G54)</f>
        <v>188.5</v>
      </c>
      <c r="C344" s="69" t="s">
        <v>126</v>
      </c>
      <c r="D344" s="114"/>
      <c r="E344" s="114"/>
      <c r="F344" s="114"/>
      <c r="G344" s="114"/>
      <c r="H344" s="114"/>
      <c r="I344" s="2"/>
    </row>
    <row r="345" spans="1:9" ht="90" customHeight="1" x14ac:dyDescent="0.25">
      <c r="A345" s="40" t="s">
        <v>127</v>
      </c>
      <c r="B345" s="40">
        <f>SUM(E337,E218,B104327,E316,E295,E285,E274,E264,E253,E228,E204,E193,E168,E179,E156,E102,E90,E76,E42,E54,E64,E119,E132,E240,E145,E306)</f>
        <v>203.5</v>
      </c>
      <c r="C345" s="40" t="s">
        <v>128</v>
      </c>
      <c r="D345" s="114"/>
      <c r="E345" s="114"/>
      <c r="F345" s="114"/>
      <c r="G345" s="114"/>
      <c r="H345" s="114"/>
      <c r="I345" s="2"/>
    </row>
    <row r="346" spans="1:9" ht="72" x14ac:dyDescent="0.55000000000000004">
      <c r="A346" s="71" t="s">
        <v>129</v>
      </c>
      <c r="B346" s="94">
        <f>SUM(B344-B345)</f>
        <v>-15</v>
      </c>
      <c r="C346" s="2" t="s">
        <v>153</v>
      </c>
      <c r="D346" s="114"/>
      <c r="E346" s="114"/>
      <c r="F346" s="114"/>
      <c r="G346" s="114"/>
      <c r="H346" s="114"/>
      <c r="I346" s="2"/>
    </row>
    <row r="347" spans="1:9" ht="30" x14ac:dyDescent="0.25">
      <c r="A347" s="2" t="s">
        <v>155</v>
      </c>
      <c r="B347" s="39">
        <f>SUM(F254,F229,F205,F180,F157,F65,F43,F133,F275,F296,F317,F338)</f>
        <v>203.5</v>
      </c>
    </row>
    <row r="348" spans="1:9" ht="31.5" x14ac:dyDescent="0.5">
      <c r="A348" s="2" t="s">
        <v>156</v>
      </c>
      <c r="B348" s="115">
        <f>SUM(B347-B345)</f>
        <v>0</v>
      </c>
    </row>
    <row r="530" spans="1:21" x14ac:dyDescent="0.25">
      <c r="A530" s="72"/>
      <c r="B530" s="73"/>
      <c r="C530" s="74"/>
      <c r="D530" s="74"/>
      <c r="E530" s="73"/>
      <c r="F530" s="75"/>
      <c r="G530" s="76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</row>
    <row r="531" spans="1:21" x14ac:dyDescent="0.25">
      <c r="A531" s="72"/>
      <c r="B531" s="73"/>
      <c r="C531" s="74"/>
      <c r="D531" s="74"/>
      <c r="E531" s="73"/>
      <c r="F531" s="76"/>
      <c r="G531" s="73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</row>
    <row r="532" spans="1:21" x14ac:dyDescent="0.25">
      <c r="A532" s="72"/>
      <c r="B532" s="73"/>
      <c r="C532" s="78"/>
      <c r="D532" s="78"/>
      <c r="E532" s="73"/>
      <c r="F532" s="76"/>
      <c r="G532" s="73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</row>
    <row r="533" spans="1:21" x14ac:dyDescent="0.25">
      <c r="A533" s="72"/>
      <c r="B533" s="79"/>
      <c r="C533" s="80"/>
      <c r="D533" s="80"/>
      <c r="E533" s="80"/>
      <c r="F533" s="75"/>
      <c r="G533" s="72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</row>
    <row r="534" spans="1:21" x14ac:dyDescent="0.25">
      <c r="A534" s="72"/>
      <c r="B534" s="81"/>
      <c r="C534" s="82"/>
      <c r="D534" s="83"/>
      <c r="E534" s="81"/>
      <c r="F534" s="81"/>
      <c r="G534" s="72"/>
      <c r="H534" s="84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</row>
    <row r="535" spans="1:21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</row>
    <row r="536" spans="1:21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</row>
    <row r="537" spans="1:21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</row>
    <row r="538" spans="1:21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</row>
    <row r="539" spans="1:21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</row>
    <row r="540" spans="1:21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</row>
    <row r="541" spans="1:21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</row>
    <row r="542" spans="1:21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</row>
    <row r="543" spans="1:21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</row>
    <row r="544" spans="1:21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</row>
    <row r="545" spans="1:21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</row>
    <row r="546" spans="1:21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</row>
    <row r="547" spans="1:21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</row>
    <row r="548" spans="1:21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</row>
    <row r="549" spans="1:21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</row>
    <row r="550" spans="1:21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</row>
    <row r="551" spans="1:21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</row>
    <row r="552" spans="1:21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</row>
    <row r="553" spans="1:21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</row>
    <row r="554" spans="1:21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</row>
    <row r="555" spans="1:21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</row>
    <row r="556" spans="1:21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</row>
    <row r="557" spans="1:21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</row>
    <row r="558" spans="1:21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</row>
    <row r="559" spans="1:21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</row>
    <row r="560" spans="1:21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</row>
    <row r="561" spans="1:21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</row>
    <row r="562" spans="1:21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</row>
    <row r="563" spans="1:21" x14ac:dyDescent="0.25">
      <c r="A563" s="77"/>
      <c r="B563" s="77"/>
      <c r="C563" s="77"/>
      <c r="D563" s="77"/>
      <c r="E563" s="77"/>
      <c r="F563" s="77"/>
      <c r="G563" s="77"/>
      <c r="H563" s="77"/>
    </row>
  </sheetData>
  <mergeCells count="13">
    <mergeCell ref="C269:G271"/>
    <mergeCell ref="C280:G282"/>
    <mergeCell ref="C290:G292"/>
    <mergeCell ref="H220:H228"/>
    <mergeCell ref="A342:H342"/>
    <mergeCell ref="A1:G3"/>
    <mergeCell ref="B29:H31"/>
    <mergeCell ref="J29:Q31"/>
    <mergeCell ref="H67:H76"/>
    <mergeCell ref="D343:H346"/>
    <mergeCell ref="A242:I242"/>
    <mergeCell ref="A120:I120"/>
    <mergeCell ref="A27:I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EB08-F7EC-4FC9-A1AF-9461CBD1F058}">
  <dimension ref="A1:I54"/>
  <sheetViews>
    <sheetView zoomScaleNormal="100" workbookViewId="0">
      <selection activeCell="G66" sqref="G66"/>
    </sheetView>
  </sheetViews>
  <sheetFormatPr defaultRowHeight="15" x14ac:dyDescent="0.25"/>
  <cols>
    <col min="1" max="1" width="8.5703125" bestFit="1" customWidth="1"/>
    <col min="6" max="6" width="12.5703125" customWidth="1"/>
    <col min="8" max="8" width="12.140625" bestFit="1" customWidth="1"/>
  </cols>
  <sheetData>
    <row r="1" spans="1:8" ht="45" x14ac:dyDescent="0.25">
      <c r="A1" s="85" t="s">
        <v>130</v>
      </c>
      <c r="B1" s="85" t="s">
        <v>131</v>
      </c>
      <c r="C1" s="85" t="s">
        <v>132</v>
      </c>
      <c r="D1" s="85" t="s">
        <v>133</v>
      </c>
      <c r="E1" s="85" t="s">
        <v>134</v>
      </c>
      <c r="F1" s="85" t="s">
        <v>135</v>
      </c>
      <c r="G1" s="85" t="s">
        <v>136</v>
      </c>
      <c r="H1" s="85" t="s">
        <v>137</v>
      </c>
    </row>
    <row r="2" spans="1:8" x14ac:dyDescent="0.25">
      <c r="A2" s="110">
        <v>43180</v>
      </c>
      <c r="B2" s="111"/>
      <c r="C2" s="111"/>
      <c r="D2" s="111"/>
      <c r="E2" s="111"/>
      <c r="F2" s="111"/>
      <c r="G2" s="111"/>
      <c r="H2" s="112"/>
    </row>
    <row r="3" spans="1:8" x14ac:dyDescent="0.25">
      <c r="A3" s="86">
        <v>43180</v>
      </c>
      <c r="B3" s="87" t="s">
        <v>138</v>
      </c>
      <c r="C3" s="87" t="s">
        <v>139</v>
      </c>
      <c r="D3" s="87" t="s">
        <v>140</v>
      </c>
      <c r="E3" s="87" t="s">
        <v>141</v>
      </c>
      <c r="F3" s="88" t="s">
        <v>142</v>
      </c>
      <c r="G3" s="89">
        <v>5</v>
      </c>
      <c r="H3" s="90">
        <v>226.4</v>
      </c>
    </row>
    <row r="4" spans="1:8" x14ac:dyDescent="0.25">
      <c r="A4" s="86">
        <v>43180</v>
      </c>
      <c r="B4" s="87" t="s">
        <v>138</v>
      </c>
      <c r="C4" s="87" t="s">
        <v>139</v>
      </c>
      <c r="D4" s="87" t="s">
        <v>143</v>
      </c>
      <c r="E4" s="87" t="s">
        <v>144</v>
      </c>
      <c r="F4" s="88" t="s">
        <v>143</v>
      </c>
      <c r="G4" s="89"/>
      <c r="H4" s="90">
        <v>15.51</v>
      </c>
    </row>
    <row r="5" spans="1:8" x14ac:dyDescent="0.25">
      <c r="A5" s="86">
        <v>43180</v>
      </c>
      <c r="B5" s="87" t="s">
        <v>138</v>
      </c>
      <c r="C5" s="87" t="s">
        <v>139</v>
      </c>
      <c r="D5" s="87" t="s">
        <v>143</v>
      </c>
      <c r="E5" s="87" t="s">
        <v>145</v>
      </c>
      <c r="F5" s="88" t="s">
        <v>143</v>
      </c>
      <c r="G5" s="89"/>
      <c r="H5" s="90">
        <v>1.47</v>
      </c>
    </row>
    <row r="6" spans="1:8" x14ac:dyDescent="0.25">
      <c r="A6" s="86">
        <v>43180</v>
      </c>
      <c r="B6" s="87" t="s">
        <v>138</v>
      </c>
      <c r="C6" s="87" t="s">
        <v>139</v>
      </c>
      <c r="D6" s="87" t="s">
        <v>143</v>
      </c>
      <c r="E6" s="87" t="s">
        <v>146</v>
      </c>
      <c r="F6" s="88" t="s">
        <v>143</v>
      </c>
      <c r="G6" s="89"/>
      <c r="H6" s="90">
        <v>2.83</v>
      </c>
    </row>
    <row r="7" spans="1:8" x14ac:dyDescent="0.25">
      <c r="A7" s="86">
        <v>43180</v>
      </c>
      <c r="B7" s="87" t="s">
        <v>138</v>
      </c>
      <c r="C7" s="87" t="s">
        <v>139</v>
      </c>
      <c r="D7" s="87" t="s">
        <v>147</v>
      </c>
      <c r="E7" s="87" t="s">
        <v>148</v>
      </c>
      <c r="F7" s="88" t="s">
        <v>149</v>
      </c>
      <c r="G7" s="89"/>
      <c r="H7" s="90">
        <v>21.51</v>
      </c>
    </row>
    <row r="8" spans="1:8" x14ac:dyDescent="0.25">
      <c r="A8" s="110">
        <v>43194</v>
      </c>
      <c r="B8" s="111"/>
      <c r="C8" s="111"/>
      <c r="D8" s="111"/>
      <c r="E8" s="111"/>
      <c r="F8" s="111"/>
      <c r="G8" s="111"/>
      <c r="H8" s="112"/>
    </row>
    <row r="9" spans="1:8" x14ac:dyDescent="0.25">
      <c r="A9" s="86">
        <v>43194</v>
      </c>
      <c r="B9" s="87" t="s">
        <v>138</v>
      </c>
      <c r="C9" s="87" t="s">
        <v>139</v>
      </c>
      <c r="D9" s="87" t="s">
        <v>140</v>
      </c>
      <c r="E9" s="87" t="s">
        <v>141</v>
      </c>
      <c r="F9" s="88" t="s">
        <v>142</v>
      </c>
      <c r="G9" s="89">
        <v>5</v>
      </c>
      <c r="H9" s="90">
        <v>226.4</v>
      </c>
    </row>
    <row r="10" spans="1:8" x14ac:dyDescent="0.25">
      <c r="A10" s="86">
        <v>43194</v>
      </c>
      <c r="B10" s="87" t="s">
        <v>138</v>
      </c>
      <c r="C10" s="87" t="s">
        <v>139</v>
      </c>
      <c r="D10" s="87" t="s">
        <v>143</v>
      </c>
      <c r="E10" s="87" t="s">
        <v>144</v>
      </c>
      <c r="F10" s="88" t="s">
        <v>143</v>
      </c>
      <c r="G10" s="89"/>
      <c r="H10" s="90">
        <v>15.51</v>
      </c>
    </row>
    <row r="11" spans="1:8" x14ac:dyDescent="0.25">
      <c r="A11" s="86">
        <v>43194</v>
      </c>
      <c r="B11" s="87" t="s">
        <v>138</v>
      </c>
      <c r="C11" s="87" t="s">
        <v>139</v>
      </c>
      <c r="D11" s="87" t="s">
        <v>143</v>
      </c>
      <c r="E11" s="87" t="s">
        <v>146</v>
      </c>
      <c r="F11" s="88" t="s">
        <v>143</v>
      </c>
      <c r="G11" s="89"/>
      <c r="H11" s="90">
        <v>2.83</v>
      </c>
    </row>
    <row r="12" spans="1:8" x14ac:dyDescent="0.25">
      <c r="A12" s="86">
        <v>43208</v>
      </c>
      <c r="B12" s="87" t="s">
        <v>138</v>
      </c>
      <c r="C12" s="87" t="s">
        <v>139</v>
      </c>
      <c r="D12" s="87" t="s">
        <v>143</v>
      </c>
      <c r="E12" s="87" t="s">
        <v>145</v>
      </c>
      <c r="F12" s="88" t="s">
        <v>143</v>
      </c>
      <c r="G12" s="89"/>
      <c r="H12" s="90">
        <v>1.47</v>
      </c>
    </row>
    <row r="13" spans="1:8" x14ac:dyDescent="0.25">
      <c r="A13" s="86">
        <v>43208</v>
      </c>
      <c r="B13" s="87" t="s">
        <v>138</v>
      </c>
      <c r="C13" s="87" t="s">
        <v>139</v>
      </c>
      <c r="D13" s="87" t="s">
        <v>147</v>
      </c>
      <c r="E13" s="87" t="s">
        <v>148</v>
      </c>
      <c r="F13" s="88" t="s">
        <v>149</v>
      </c>
      <c r="G13" s="89"/>
      <c r="H13" s="90">
        <v>21.51</v>
      </c>
    </row>
    <row r="14" spans="1:8" x14ac:dyDescent="0.25">
      <c r="A14" s="110">
        <v>43222</v>
      </c>
      <c r="B14" s="111"/>
      <c r="C14" s="111"/>
      <c r="D14" s="111"/>
      <c r="E14" s="111"/>
      <c r="F14" s="111"/>
      <c r="G14" s="111"/>
      <c r="H14" s="112"/>
    </row>
    <row r="15" spans="1:8" x14ac:dyDescent="0.25">
      <c r="A15" s="86">
        <v>43222</v>
      </c>
      <c r="B15" s="87" t="s">
        <v>138</v>
      </c>
      <c r="C15" s="87" t="s">
        <v>139</v>
      </c>
      <c r="D15" s="87" t="s">
        <v>140</v>
      </c>
      <c r="E15" s="87" t="s">
        <v>141</v>
      </c>
      <c r="F15" s="88" t="s">
        <v>142</v>
      </c>
      <c r="G15" s="89">
        <v>10</v>
      </c>
      <c r="H15" s="90">
        <v>452.78</v>
      </c>
    </row>
    <row r="16" spans="1:8" x14ac:dyDescent="0.25">
      <c r="A16" s="86">
        <v>43222</v>
      </c>
      <c r="B16" s="87" t="s">
        <v>138</v>
      </c>
      <c r="C16" s="87" t="s">
        <v>139</v>
      </c>
      <c r="D16" s="87" t="s">
        <v>143</v>
      </c>
      <c r="E16" s="87" t="s">
        <v>144</v>
      </c>
      <c r="F16" s="88" t="s">
        <v>143</v>
      </c>
      <c r="G16" s="89"/>
      <c r="H16" s="90">
        <v>31.02</v>
      </c>
    </row>
    <row r="17" spans="1:8" x14ac:dyDescent="0.25">
      <c r="A17" s="86">
        <v>43222</v>
      </c>
      <c r="B17" s="87" t="s">
        <v>138</v>
      </c>
      <c r="C17" s="87" t="s">
        <v>139</v>
      </c>
      <c r="D17" s="87" t="s">
        <v>143</v>
      </c>
      <c r="E17" s="87" t="s">
        <v>145</v>
      </c>
      <c r="F17" s="88" t="s">
        <v>143</v>
      </c>
      <c r="G17" s="89"/>
      <c r="H17" s="90">
        <v>2.95</v>
      </c>
    </row>
    <row r="18" spans="1:8" x14ac:dyDescent="0.25">
      <c r="A18" s="86">
        <v>43222</v>
      </c>
      <c r="B18" s="87" t="s">
        <v>138</v>
      </c>
      <c r="C18" s="87" t="s">
        <v>139</v>
      </c>
      <c r="D18" s="87" t="s">
        <v>143</v>
      </c>
      <c r="E18" s="87" t="s">
        <v>146</v>
      </c>
      <c r="F18" s="88" t="s">
        <v>143</v>
      </c>
      <c r="G18" s="89"/>
      <c r="H18" s="90">
        <v>5.66</v>
      </c>
    </row>
    <row r="19" spans="1:8" x14ac:dyDescent="0.25">
      <c r="A19" s="86">
        <v>43222</v>
      </c>
      <c r="B19" s="87" t="s">
        <v>138</v>
      </c>
      <c r="C19" s="87" t="s">
        <v>139</v>
      </c>
      <c r="D19" s="87" t="s">
        <v>147</v>
      </c>
      <c r="E19" s="87" t="s">
        <v>148</v>
      </c>
      <c r="F19" s="88" t="s">
        <v>149</v>
      </c>
      <c r="G19" s="89"/>
      <c r="H19" s="90">
        <v>43.01</v>
      </c>
    </row>
    <row r="20" spans="1:8" x14ac:dyDescent="0.25">
      <c r="A20" s="110">
        <v>43236</v>
      </c>
      <c r="B20" s="111"/>
      <c r="C20" s="111"/>
      <c r="D20" s="111"/>
      <c r="E20" s="111"/>
      <c r="F20" s="111"/>
      <c r="G20" s="111"/>
      <c r="H20" s="112"/>
    </row>
    <row r="21" spans="1:8" x14ac:dyDescent="0.25">
      <c r="A21" s="86">
        <v>43236</v>
      </c>
      <c r="B21" s="87" t="s">
        <v>138</v>
      </c>
      <c r="C21" s="87" t="s">
        <v>139</v>
      </c>
      <c r="D21" s="87" t="s">
        <v>140</v>
      </c>
      <c r="E21" s="87" t="s">
        <v>141</v>
      </c>
      <c r="F21" s="88" t="s">
        <v>150</v>
      </c>
      <c r="G21" s="89">
        <v>22.5</v>
      </c>
      <c r="H21" s="90">
        <v>1215.8699999999999</v>
      </c>
    </row>
    <row r="22" spans="1:8" x14ac:dyDescent="0.25">
      <c r="A22" s="86">
        <v>43236</v>
      </c>
      <c r="B22" s="87" t="s">
        <v>138</v>
      </c>
      <c r="C22" s="87" t="s">
        <v>139</v>
      </c>
      <c r="D22" s="87" t="s">
        <v>143</v>
      </c>
      <c r="E22" s="87" t="s">
        <v>144</v>
      </c>
      <c r="F22" s="88" t="s">
        <v>143</v>
      </c>
      <c r="G22" s="89"/>
      <c r="H22" s="90">
        <v>83.29</v>
      </c>
    </row>
    <row r="23" spans="1:8" x14ac:dyDescent="0.25">
      <c r="A23" s="86">
        <v>43236</v>
      </c>
      <c r="B23" s="87" t="s">
        <v>138</v>
      </c>
      <c r="C23" s="87" t="s">
        <v>139</v>
      </c>
      <c r="D23" s="87" t="s">
        <v>143</v>
      </c>
      <c r="E23" s="87" t="s">
        <v>145</v>
      </c>
      <c r="F23" s="88" t="s">
        <v>143</v>
      </c>
      <c r="G23" s="89"/>
      <c r="H23" s="90">
        <v>7.91</v>
      </c>
    </row>
    <row r="24" spans="1:8" x14ac:dyDescent="0.25">
      <c r="A24" s="86">
        <v>43236</v>
      </c>
      <c r="B24" s="87" t="s">
        <v>138</v>
      </c>
      <c r="C24" s="87" t="s">
        <v>139</v>
      </c>
      <c r="D24" s="87" t="s">
        <v>143</v>
      </c>
      <c r="E24" s="87" t="s">
        <v>146</v>
      </c>
      <c r="F24" s="88" t="s">
        <v>143</v>
      </c>
      <c r="G24" s="89"/>
      <c r="H24" s="90">
        <v>15.19</v>
      </c>
    </row>
    <row r="25" spans="1:8" x14ac:dyDescent="0.25">
      <c r="A25" s="86">
        <v>43236</v>
      </c>
      <c r="B25" s="87" t="s">
        <v>138</v>
      </c>
      <c r="C25" s="87" t="s">
        <v>139</v>
      </c>
      <c r="D25" s="87" t="s">
        <v>147</v>
      </c>
      <c r="E25" s="87" t="s">
        <v>148</v>
      </c>
      <c r="F25" s="88" t="s">
        <v>149</v>
      </c>
      <c r="G25" s="89"/>
      <c r="H25" s="90">
        <v>115.51</v>
      </c>
    </row>
    <row r="26" spans="1:8" x14ac:dyDescent="0.25">
      <c r="A26" s="110">
        <v>43250</v>
      </c>
      <c r="B26" s="111"/>
      <c r="C26" s="111"/>
      <c r="D26" s="111"/>
      <c r="E26" s="111"/>
      <c r="F26" s="111"/>
      <c r="G26" s="111"/>
      <c r="H26" s="112"/>
    </row>
    <row r="27" spans="1:8" x14ac:dyDescent="0.25">
      <c r="A27" s="86">
        <v>43250</v>
      </c>
      <c r="B27" s="87" t="s">
        <v>138</v>
      </c>
      <c r="C27" s="87" t="s">
        <v>139</v>
      </c>
      <c r="D27" s="87" t="s">
        <v>140</v>
      </c>
      <c r="E27" s="87" t="s">
        <v>141</v>
      </c>
      <c r="F27" s="88" t="s">
        <v>150</v>
      </c>
      <c r="G27" s="89">
        <v>-22.5</v>
      </c>
      <c r="H27" s="90">
        <v>-1215.8699999999999</v>
      </c>
    </row>
    <row r="28" spans="1:8" x14ac:dyDescent="0.25">
      <c r="A28" s="86">
        <v>43250</v>
      </c>
      <c r="B28" s="87" t="s">
        <v>138</v>
      </c>
      <c r="C28" s="87" t="s">
        <v>139</v>
      </c>
      <c r="D28" s="87" t="s">
        <v>140</v>
      </c>
      <c r="E28" s="87" t="s">
        <v>141</v>
      </c>
      <c r="F28" s="88" t="s">
        <v>142</v>
      </c>
      <c r="G28" s="89">
        <v>52.5</v>
      </c>
      <c r="H28" s="90">
        <v>2377.15</v>
      </c>
    </row>
    <row r="29" spans="1:8" x14ac:dyDescent="0.25">
      <c r="A29" s="86">
        <v>43250</v>
      </c>
      <c r="B29" s="87" t="s">
        <v>138</v>
      </c>
      <c r="C29" s="87" t="s">
        <v>139</v>
      </c>
      <c r="D29" s="87" t="s">
        <v>140</v>
      </c>
      <c r="E29" s="87" t="s">
        <v>141</v>
      </c>
      <c r="F29" s="88" t="s">
        <v>151</v>
      </c>
      <c r="G29" s="89">
        <v>25</v>
      </c>
      <c r="H29" s="90">
        <v>1350.96</v>
      </c>
    </row>
    <row r="30" spans="1:8" x14ac:dyDescent="0.25">
      <c r="A30" s="86">
        <v>43250</v>
      </c>
      <c r="B30" s="87" t="s">
        <v>138</v>
      </c>
      <c r="C30" s="87" t="s">
        <v>139</v>
      </c>
      <c r="D30" s="87" t="s">
        <v>143</v>
      </c>
      <c r="E30" s="87" t="s">
        <v>144</v>
      </c>
      <c r="F30" s="88" t="s">
        <v>143</v>
      </c>
      <c r="G30" s="89"/>
      <c r="H30" s="90">
        <v>172.08</v>
      </c>
    </row>
    <row r="31" spans="1:8" x14ac:dyDescent="0.25">
      <c r="A31" s="86">
        <v>43250</v>
      </c>
      <c r="B31" s="87" t="s">
        <v>138</v>
      </c>
      <c r="C31" s="87" t="s">
        <v>139</v>
      </c>
      <c r="D31" s="87" t="s">
        <v>143</v>
      </c>
      <c r="E31" s="87" t="s">
        <v>145</v>
      </c>
      <c r="F31" s="88" t="s">
        <v>143</v>
      </c>
      <c r="G31" s="89"/>
      <c r="H31" s="90">
        <v>17.82</v>
      </c>
    </row>
    <row r="32" spans="1:8" x14ac:dyDescent="0.25">
      <c r="A32" s="86">
        <v>43250</v>
      </c>
      <c r="B32" s="87" t="s">
        <v>138</v>
      </c>
      <c r="C32" s="87" t="s">
        <v>139</v>
      </c>
      <c r="D32" s="87" t="s">
        <v>143</v>
      </c>
      <c r="E32" s="87" t="s">
        <v>146</v>
      </c>
      <c r="F32" s="88" t="s">
        <v>143</v>
      </c>
      <c r="G32" s="89"/>
      <c r="H32" s="90">
        <v>31.4</v>
      </c>
    </row>
    <row r="33" spans="1:8" x14ac:dyDescent="0.25">
      <c r="A33" s="86">
        <v>43250</v>
      </c>
      <c r="B33" s="87" t="s">
        <v>138</v>
      </c>
      <c r="C33" s="87" t="s">
        <v>139</v>
      </c>
      <c r="D33" s="87" t="s">
        <v>147</v>
      </c>
      <c r="E33" s="87" t="s">
        <v>148</v>
      </c>
      <c r="F33" s="88" t="s">
        <v>149</v>
      </c>
      <c r="G33" s="89"/>
      <c r="H33" s="90">
        <v>260.17</v>
      </c>
    </row>
    <row r="34" spans="1:8" x14ac:dyDescent="0.25">
      <c r="A34" s="110">
        <v>43264</v>
      </c>
      <c r="B34" s="111"/>
      <c r="C34" s="111"/>
      <c r="D34" s="111"/>
      <c r="E34" s="111"/>
      <c r="F34" s="111"/>
      <c r="G34" s="111"/>
      <c r="H34" s="112"/>
    </row>
    <row r="35" spans="1:8" x14ac:dyDescent="0.25">
      <c r="A35" s="86">
        <v>43264</v>
      </c>
      <c r="B35" s="87" t="s">
        <v>138</v>
      </c>
      <c r="C35" s="87" t="s">
        <v>139</v>
      </c>
      <c r="D35" s="87" t="s">
        <v>140</v>
      </c>
      <c r="E35" s="87" t="s">
        <v>141</v>
      </c>
      <c r="F35" s="88" t="s">
        <v>142</v>
      </c>
      <c r="G35" s="89">
        <v>30</v>
      </c>
      <c r="H35" s="90">
        <v>1358.37</v>
      </c>
    </row>
    <row r="36" spans="1:8" x14ac:dyDescent="0.25">
      <c r="A36" s="86">
        <v>43264</v>
      </c>
      <c r="B36" s="87" t="s">
        <v>138</v>
      </c>
      <c r="C36" s="87" t="s">
        <v>139</v>
      </c>
      <c r="D36" s="87" t="s">
        <v>143</v>
      </c>
      <c r="E36" s="87" t="s">
        <v>144</v>
      </c>
      <c r="F36" s="88" t="s">
        <v>143</v>
      </c>
      <c r="G36" s="89"/>
      <c r="H36" s="90">
        <v>93.04</v>
      </c>
    </row>
    <row r="37" spans="1:8" x14ac:dyDescent="0.25">
      <c r="A37" s="86">
        <v>43264</v>
      </c>
      <c r="B37" s="87" t="s">
        <v>138</v>
      </c>
      <c r="C37" s="87" t="s">
        <v>139</v>
      </c>
      <c r="D37" s="87" t="s">
        <v>143</v>
      </c>
      <c r="E37" s="87" t="s">
        <v>145</v>
      </c>
      <c r="F37" s="88" t="s">
        <v>143</v>
      </c>
      <c r="G37" s="89"/>
      <c r="H37" s="90">
        <v>8.84</v>
      </c>
    </row>
    <row r="38" spans="1:8" x14ac:dyDescent="0.25">
      <c r="A38" s="86">
        <v>43264</v>
      </c>
      <c r="B38" s="87" t="s">
        <v>138</v>
      </c>
      <c r="C38" s="87" t="s">
        <v>139</v>
      </c>
      <c r="D38" s="87" t="s">
        <v>143</v>
      </c>
      <c r="E38" s="87" t="s">
        <v>146</v>
      </c>
      <c r="F38" s="88" t="s">
        <v>143</v>
      </c>
      <c r="G38" s="89"/>
      <c r="H38" s="90">
        <v>16.98</v>
      </c>
    </row>
    <row r="39" spans="1:8" x14ac:dyDescent="0.25">
      <c r="A39" s="86">
        <v>43264</v>
      </c>
      <c r="B39" s="87" t="s">
        <v>138</v>
      </c>
      <c r="C39" s="87" t="s">
        <v>139</v>
      </c>
      <c r="D39" s="87" t="s">
        <v>147</v>
      </c>
      <c r="E39" s="87" t="s">
        <v>148</v>
      </c>
      <c r="F39" s="88" t="s">
        <v>149</v>
      </c>
      <c r="G39" s="89"/>
      <c r="H39" s="90">
        <v>129.05000000000001</v>
      </c>
    </row>
    <row r="40" spans="1:8" x14ac:dyDescent="0.25">
      <c r="A40" s="110">
        <v>43278</v>
      </c>
      <c r="B40" s="111"/>
      <c r="C40" s="111"/>
      <c r="D40" s="111"/>
      <c r="E40" s="111"/>
      <c r="F40" s="111"/>
      <c r="G40" s="111"/>
      <c r="H40" s="112"/>
    </row>
    <row r="41" spans="1:8" x14ac:dyDescent="0.25">
      <c r="A41" s="86">
        <v>43278</v>
      </c>
      <c r="B41" s="87" t="s">
        <v>138</v>
      </c>
      <c r="C41" s="87" t="s">
        <v>139</v>
      </c>
      <c r="D41" s="87" t="s">
        <v>140</v>
      </c>
      <c r="E41" s="87" t="s">
        <v>141</v>
      </c>
      <c r="F41" s="88" t="s">
        <v>142</v>
      </c>
      <c r="G41" s="89">
        <v>30</v>
      </c>
      <c r="H41" s="90">
        <v>1358.37</v>
      </c>
    </row>
    <row r="42" spans="1:8" x14ac:dyDescent="0.25">
      <c r="A42" s="86">
        <v>43278</v>
      </c>
      <c r="B42" s="87" t="s">
        <v>138</v>
      </c>
      <c r="C42" s="87" t="s">
        <v>139</v>
      </c>
      <c r="D42" s="87" t="s">
        <v>143</v>
      </c>
      <c r="E42" s="87" t="s">
        <v>144</v>
      </c>
      <c r="F42" s="88" t="s">
        <v>143</v>
      </c>
      <c r="G42" s="89"/>
      <c r="H42" s="90">
        <v>93.04</v>
      </c>
    </row>
    <row r="43" spans="1:8" x14ac:dyDescent="0.25">
      <c r="A43" s="86">
        <v>43278</v>
      </c>
      <c r="B43" s="87" t="s">
        <v>138</v>
      </c>
      <c r="C43" s="87" t="s">
        <v>139</v>
      </c>
      <c r="D43" s="87" t="s">
        <v>143</v>
      </c>
      <c r="E43" s="87" t="s">
        <v>145</v>
      </c>
      <c r="F43" s="88" t="s">
        <v>143</v>
      </c>
      <c r="G43" s="89"/>
      <c r="H43" s="90">
        <v>8.84</v>
      </c>
    </row>
    <row r="44" spans="1:8" x14ac:dyDescent="0.25">
      <c r="A44" s="86">
        <v>43278</v>
      </c>
      <c r="B44" s="87" t="s">
        <v>138</v>
      </c>
      <c r="C44" s="87" t="s">
        <v>139</v>
      </c>
      <c r="D44" s="87" t="s">
        <v>143</v>
      </c>
      <c r="E44" s="87" t="s">
        <v>146</v>
      </c>
      <c r="F44" s="88" t="s">
        <v>143</v>
      </c>
      <c r="G44" s="89"/>
      <c r="H44" s="90">
        <v>16.98</v>
      </c>
    </row>
    <row r="45" spans="1:8" x14ac:dyDescent="0.25">
      <c r="A45" s="86">
        <v>43278</v>
      </c>
      <c r="B45" s="87" t="s">
        <v>138</v>
      </c>
      <c r="C45" s="87" t="s">
        <v>139</v>
      </c>
      <c r="D45" s="87" t="s">
        <v>147</v>
      </c>
      <c r="E45" s="87" t="s">
        <v>148</v>
      </c>
      <c r="F45" s="88" t="s">
        <v>149</v>
      </c>
      <c r="G45" s="89"/>
      <c r="H45" s="90">
        <v>129.05000000000001</v>
      </c>
    </row>
    <row r="46" spans="1:8" x14ac:dyDescent="0.25">
      <c r="A46" s="110">
        <v>43292</v>
      </c>
      <c r="B46" s="111"/>
      <c r="C46" s="111"/>
      <c r="D46" s="111"/>
      <c r="E46" s="111"/>
      <c r="F46" s="111"/>
      <c r="G46" s="111"/>
      <c r="H46" s="112"/>
    </row>
    <row r="47" spans="1:8" x14ac:dyDescent="0.25">
      <c r="A47" s="86">
        <v>43292</v>
      </c>
      <c r="B47" s="87" t="s">
        <v>138</v>
      </c>
      <c r="C47" s="87" t="s">
        <v>139</v>
      </c>
      <c r="D47" s="87" t="s">
        <v>140</v>
      </c>
      <c r="E47" s="87" t="s">
        <v>141</v>
      </c>
      <c r="F47" s="88" t="s">
        <v>142</v>
      </c>
      <c r="G47" s="89">
        <v>15</v>
      </c>
      <c r="H47" s="90">
        <v>679.19</v>
      </c>
    </row>
    <row r="48" spans="1:8" x14ac:dyDescent="0.25">
      <c r="A48" s="86">
        <v>43292</v>
      </c>
      <c r="B48" s="87" t="s">
        <v>138</v>
      </c>
      <c r="C48" s="87" t="s">
        <v>139</v>
      </c>
      <c r="D48" s="87" t="s">
        <v>140</v>
      </c>
      <c r="E48" s="87" t="s">
        <v>141</v>
      </c>
      <c r="F48" s="88" t="s">
        <v>151</v>
      </c>
      <c r="G48" s="89">
        <v>16</v>
      </c>
      <c r="H48" s="90">
        <v>864.62</v>
      </c>
    </row>
    <row r="49" spans="1:9" x14ac:dyDescent="0.25">
      <c r="A49" s="86">
        <v>43292</v>
      </c>
      <c r="B49" s="87" t="s">
        <v>138</v>
      </c>
      <c r="C49" s="87" t="s">
        <v>139</v>
      </c>
      <c r="D49" s="87" t="s">
        <v>143</v>
      </c>
      <c r="E49" s="87" t="s">
        <v>144</v>
      </c>
      <c r="F49" s="88" t="s">
        <v>143</v>
      </c>
      <c r="G49" s="89"/>
      <c r="H49" s="90">
        <v>105.75</v>
      </c>
    </row>
    <row r="50" spans="1:9" x14ac:dyDescent="0.25">
      <c r="A50" s="86">
        <v>43292</v>
      </c>
      <c r="B50" s="87" t="s">
        <v>138</v>
      </c>
      <c r="C50" s="87" t="s">
        <v>139</v>
      </c>
      <c r="D50" s="87" t="s">
        <v>143</v>
      </c>
      <c r="E50" s="87" t="s">
        <v>145</v>
      </c>
      <c r="F50" s="88" t="s">
        <v>143</v>
      </c>
      <c r="G50" s="89"/>
      <c r="H50" s="90">
        <v>10.050000000000001</v>
      </c>
    </row>
    <row r="51" spans="1:9" x14ac:dyDescent="0.25">
      <c r="A51" s="86">
        <v>43292</v>
      </c>
      <c r="B51" s="87" t="s">
        <v>138</v>
      </c>
      <c r="C51" s="87" t="s">
        <v>139</v>
      </c>
      <c r="D51" s="87" t="s">
        <v>143</v>
      </c>
      <c r="E51" s="87" t="s">
        <v>146</v>
      </c>
      <c r="F51" s="88" t="s">
        <v>143</v>
      </c>
      <c r="G51" s="89"/>
      <c r="H51" s="90">
        <v>19.3</v>
      </c>
    </row>
    <row r="52" spans="1:9" x14ac:dyDescent="0.25">
      <c r="A52" s="86">
        <v>43292</v>
      </c>
      <c r="B52" s="87" t="s">
        <v>138</v>
      </c>
      <c r="C52" s="87" t="s">
        <v>139</v>
      </c>
      <c r="D52" s="87" t="s">
        <v>147</v>
      </c>
      <c r="E52" s="87" t="s">
        <v>148</v>
      </c>
      <c r="F52" s="88" t="s">
        <v>149</v>
      </c>
      <c r="G52" s="89"/>
      <c r="H52" s="90">
        <v>146.66</v>
      </c>
    </row>
    <row r="54" spans="1:9" x14ac:dyDescent="0.25">
      <c r="A54" s="91" t="s">
        <v>23</v>
      </c>
      <c r="B54" s="92"/>
      <c r="C54" s="92"/>
      <c r="D54" s="92"/>
      <c r="E54" s="92"/>
      <c r="F54" s="92"/>
      <c r="G54" s="93">
        <f>SUM(G47:G52,G41:G45,G35:G39,G27:G33,G21:G25,G15:G19,G9:G13,G3:G7)</f>
        <v>188.5</v>
      </c>
      <c r="H54" s="93">
        <f>SUM(H47:H52,H41:H45,H35:H39,H27:H33,H21:H25,H15:H19,H9:H13,H3:H7)</f>
        <v>10540.470000000001</v>
      </c>
      <c r="I54" s="91">
        <f>SUM(H54/G54)</f>
        <v>55.917612732095499</v>
      </c>
    </row>
  </sheetData>
  <mergeCells count="8">
    <mergeCell ref="A40:H40"/>
    <mergeCell ref="A46:H46"/>
    <mergeCell ref="A2:H2"/>
    <mergeCell ref="A8:H8"/>
    <mergeCell ref="A14:H14"/>
    <mergeCell ref="A20:H20"/>
    <mergeCell ref="A26:H26"/>
    <mergeCell ref="A34:H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Angelica</vt:lpstr>
      <vt:lpstr>Angelica_hist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 Davidson</dc:creator>
  <cp:lastModifiedBy>Anthony R Davidson</cp:lastModifiedBy>
  <dcterms:created xsi:type="dcterms:W3CDTF">2018-07-24T03:39:36Z</dcterms:created>
  <dcterms:modified xsi:type="dcterms:W3CDTF">2018-07-31T06:10:29Z</dcterms:modified>
</cp:coreProperties>
</file>