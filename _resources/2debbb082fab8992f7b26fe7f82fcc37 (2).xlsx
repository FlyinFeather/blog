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0" windowWidth="15300" windowHeight="25340"/>
  </bookViews>
  <sheets>
    <sheet name="Dorjee timesheet" sheetId="1" r:id="rId1"/>
  </sheets>
  <calcPr calcId="145621" concurrentCalc="0"/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1" i="1"/>
  <c r="E32" i="1"/>
  <c r="E33" i="1"/>
  <c r="E34" i="1"/>
  <c r="E35" i="1"/>
  <c r="E36" i="1"/>
  <c r="E37" i="1"/>
  <c r="E38" i="1"/>
  <c r="E40" i="1"/>
  <c r="E41" i="1"/>
  <c r="E42" i="1"/>
  <c r="E43" i="1"/>
  <c r="E44" i="1"/>
  <c r="E45" i="1"/>
  <c r="E46" i="1"/>
  <c r="E47" i="1"/>
  <c r="E49" i="1"/>
  <c r="E50" i="1"/>
  <c r="E51" i="1"/>
  <c r="E52" i="1"/>
  <c r="E53" i="1"/>
  <c r="E54" i="1"/>
  <c r="E55" i="1"/>
  <c r="E56" i="1"/>
  <c r="E58" i="1"/>
  <c r="E59" i="1"/>
  <c r="E60" i="1"/>
  <c r="E61" i="1"/>
  <c r="E62" i="1"/>
  <c r="E63" i="1"/>
  <c r="E64" i="1"/>
  <c r="E65" i="1"/>
  <c r="E67" i="1"/>
  <c r="E68" i="1"/>
  <c r="E69" i="1"/>
  <c r="E70" i="1"/>
  <c r="E71" i="1"/>
  <c r="E72" i="1"/>
  <c r="E73" i="1"/>
  <c r="E75" i="1"/>
  <c r="E76" i="1"/>
  <c r="E77" i="1"/>
  <c r="E78" i="1"/>
  <c r="E79" i="1"/>
  <c r="E80" i="1"/>
  <c r="E81" i="1"/>
  <c r="E83" i="1"/>
  <c r="E84" i="1"/>
  <c r="E85" i="1"/>
  <c r="E86" i="1"/>
  <c r="E87" i="1"/>
  <c r="E88" i="1"/>
  <c r="E89" i="1"/>
  <c r="E91" i="1"/>
  <c r="E92" i="1"/>
  <c r="E93" i="1"/>
  <c r="E94" i="1"/>
  <c r="E95" i="1"/>
  <c r="D97" i="1"/>
  <c r="E97" i="1"/>
</calcChain>
</file>

<file path=xl/sharedStrings.xml><?xml version="1.0" encoding="utf-8"?>
<sst xmlns="http://schemas.openxmlformats.org/spreadsheetml/2006/main" count="156" uniqueCount="43">
  <si>
    <t>TOTAL</t>
  </si>
  <si>
    <t>HAND-IN DAY</t>
  </si>
  <si>
    <t>Friday</t>
  </si>
  <si>
    <t>Thursday</t>
  </si>
  <si>
    <t>Wednesday</t>
  </si>
  <si>
    <t>Tuesday</t>
  </si>
  <si>
    <t>Monday</t>
  </si>
  <si>
    <t xml:space="preserve"> Total Pay </t>
  </si>
  <si>
    <t>Hrs worked</t>
  </si>
  <si>
    <t>Finish</t>
  </si>
  <si>
    <t>Start</t>
  </si>
  <si>
    <t>Week of 18/12/2017</t>
  </si>
  <si>
    <t>Sunday</t>
  </si>
  <si>
    <t>Saturday</t>
  </si>
  <si>
    <t>Week of 11/12/2017</t>
  </si>
  <si>
    <t>Week of 04/12/2017</t>
  </si>
  <si>
    <t>Week of 27/11/2017</t>
  </si>
  <si>
    <t>Week of 20/11/2017</t>
  </si>
  <si>
    <t>Week of 13/11/2017</t>
  </si>
  <si>
    <t>Meeting</t>
  </si>
  <si>
    <t>Big session on regression</t>
  </si>
  <si>
    <t>Week of 06/11/2017</t>
  </si>
  <si>
    <t>Regression model</t>
  </si>
  <si>
    <t>Based plots for Chapter 2</t>
  </si>
  <si>
    <t xml:space="preserve"> 11:00 PM</t>
  </si>
  <si>
    <t>set-up for chapter 2 and 5 work</t>
  </si>
  <si>
    <t>10:00PM</t>
  </si>
  <si>
    <t>Week of 30/10/2017</t>
  </si>
  <si>
    <t>Power investigation</t>
  </si>
  <si>
    <t>Consulation re chapter 5, 3 and 4</t>
  </si>
  <si>
    <t>8.30 PM</t>
  </si>
  <si>
    <t>Week of 23/10/2017</t>
  </si>
  <si>
    <t>Writing</t>
  </si>
  <si>
    <t>plots</t>
  </si>
  <si>
    <t>Top species</t>
  </si>
  <si>
    <t>Week of 16/10/2017</t>
  </si>
  <si>
    <t>Consulation re chapter 5</t>
  </si>
  <si>
    <t>Week of 09/10/17</t>
  </si>
  <si>
    <t>Hourly Rate</t>
  </si>
  <si>
    <t>Weeks of:</t>
  </si>
  <si>
    <t>Anthony Davidson</t>
  </si>
  <si>
    <t>Name:</t>
  </si>
  <si>
    <t>October-December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</si>
</sst>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;[Red]\-&quot;$&quot;#,##0.00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8" fontId="0" fillId="0" borderId="0" xfId="0" applyNumberFormat="1"/>
    <xf numFmtId="18" fontId="0" fillId="0" borderId="0" xfId="0" applyNumberFormat="1"/>
    <xf numFmtId="0" fontId="2" fillId="0" borderId="0" xfId="0" applyFont="1"/>
    <xf numFmtId="164" fontId="2" fillId="2" borderId="0" xfId="0" applyNumberFormat="1" applyFont="1" applyFill="1"/>
    <xf numFmtId="8" fontId="1" fillId="0" borderId="0" xfId="0" applyNumberFormat="1" applyFont="1"/>
    <xf numFmtId="18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abSelected="1" workbookViewId="0">
      <selection activeCell="I54" sqref="I54"/>
    </sheetView>
  </sheetViews>
  <sheetFormatPr defaultColWidth="8.81640625" defaultRowHeight="14.5" x14ac:dyDescent="0.35"/>
  <cols>
    <col min="1" max="1" width="19" bestFit="1" customWidth="1"/>
    <col min="2" max="2" width="15.453125" bestFit="1" customWidth="1"/>
    <col min="3" max="3" width="9.81640625" bestFit="1" customWidth="1"/>
    <col min="4" max="4" width="10.453125" bestFit="1" customWidth="1"/>
    <col min="5" max="5" width="9.453125" bestFit="1" customWidth="1"/>
  </cols>
  <sheetData>
    <row r="1" spans="1:6" x14ac:dyDescent="0.35">
      <c r="A1" t="s">
        <v>41</v>
      </c>
      <c r="B1" t="s">
        <v>40</v>
      </c>
    </row>
    <row r="2" spans="1:6" x14ac:dyDescent="0.35">
      <c r="A2" t="s">
        <v>39</v>
      </c>
      <c r="B2" t="s">
        <v>42</v>
      </c>
    </row>
    <row r="3" spans="1:6" x14ac:dyDescent="0.35">
      <c r="A3" t="s">
        <v>38</v>
      </c>
      <c r="B3" s="1">
        <v>53</v>
      </c>
    </row>
    <row r="5" spans="1:6" x14ac:dyDescent="0.35">
      <c r="A5" s="3" t="s">
        <v>37</v>
      </c>
      <c r="B5" s="3" t="s">
        <v>10</v>
      </c>
      <c r="C5" s="3" t="s">
        <v>9</v>
      </c>
      <c r="D5" s="3" t="s">
        <v>8</v>
      </c>
      <c r="E5" s="3" t="s">
        <v>7</v>
      </c>
    </row>
    <row r="6" spans="1:6" x14ac:dyDescent="0.35">
      <c r="A6" t="s">
        <v>6</v>
      </c>
      <c r="B6" s="2">
        <v>0.75</v>
      </c>
      <c r="C6" s="2">
        <v>0.875</v>
      </c>
      <c r="D6">
        <v>3</v>
      </c>
      <c r="E6" s="1">
        <f>SUM(B$3*D6)</f>
        <v>159</v>
      </c>
      <c r="F6" t="s">
        <v>36</v>
      </c>
    </row>
    <row r="7" spans="1:6" x14ac:dyDescent="0.35">
      <c r="A7" t="s">
        <v>5</v>
      </c>
      <c r="D7">
        <v>0</v>
      </c>
      <c r="E7" s="1">
        <f>SUM(B$3*D7)</f>
        <v>0</v>
      </c>
    </row>
    <row r="8" spans="1:6" x14ac:dyDescent="0.35">
      <c r="A8" t="s">
        <v>4</v>
      </c>
      <c r="B8" s="2">
        <v>0.5</v>
      </c>
      <c r="C8" s="2">
        <v>0.54166666666666663</v>
      </c>
      <c r="D8">
        <v>1</v>
      </c>
      <c r="E8" s="1">
        <f>SUM(B$3*D8)</f>
        <v>53</v>
      </c>
      <c r="F8" t="s">
        <v>33</v>
      </c>
    </row>
    <row r="9" spans="1:6" x14ac:dyDescent="0.35">
      <c r="A9" t="s">
        <v>3</v>
      </c>
      <c r="B9" s="2">
        <v>0.75</v>
      </c>
      <c r="C9" s="2">
        <v>0.79166666666666663</v>
      </c>
      <c r="D9">
        <v>1</v>
      </c>
      <c r="E9" s="1">
        <f>SUM(B$3*D9)</f>
        <v>53</v>
      </c>
      <c r="F9" t="s">
        <v>33</v>
      </c>
    </row>
    <row r="10" spans="1:6" x14ac:dyDescent="0.35">
      <c r="A10" t="s">
        <v>2</v>
      </c>
      <c r="D10">
        <v>0</v>
      </c>
      <c r="E10" s="1">
        <f>SUM(B$3*D10)</f>
        <v>0</v>
      </c>
    </row>
    <row r="11" spans="1:6" x14ac:dyDescent="0.35">
      <c r="A11" t="s">
        <v>13</v>
      </c>
      <c r="D11">
        <v>0</v>
      </c>
      <c r="E11" s="1">
        <f>SUM(B$3*D11)</f>
        <v>0</v>
      </c>
    </row>
    <row r="12" spans="1:6" x14ac:dyDescent="0.35">
      <c r="A12" t="s">
        <v>12</v>
      </c>
      <c r="D12">
        <v>0</v>
      </c>
      <c r="E12" s="1">
        <f>SUM(B$3*D12)</f>
        <v>0</v>
      </c>
    </row>
    <row r="13" spans="1:6" x14ac:dyDescent="0.35">
      <c r="A13" s="3" t="s">
        <v>35</v>
      </c>
      <c r="B13" s="3" t="s">
        <v>10</v>
      </c>
      <c r="C13" s="3" t="s">
        <v>9</v>
      </c>
      <c r="D13" s="3" t="s">
        <v>8</v>
      </c>
      <c r="E13" s="3" t="s">
        <v>7</v>
      </c>
    </row>
    <row r="14" spans="1:6" x14ac:dyDescent="0.35">
      <c r="A14" t="s">
        <v>6</v>
      </c>
      <c r="B14" s="2">
        <v>0.72916666666666663</v>
      </c>
      <c r="C14" s="2">
        <v>0.875</v>
      </c>
      <c r="D14">
        <v>3.5</v>
      </c>
      <c r="E14" s="1">
        <f>SUM(B$3*D14)</f>
        <v>185.5</v>
      </c>
      <c r="F14" t="s">
        <v>34</v>
      </c>
    </row>
    <row r="15" spans="1:6" x14ac:dyDescent="0.35">
      <c r="A15" t="s">
        <v>5</v>
      </c>
      <c r="B15" s="2">
        <v>0.41666666666666669</v>
      </c>
      <c r="C15" s="2">
        <v>0.4375</v>
      </c>
      <c r="D15">
        <v>0.5</v>
      </c>
      <c r="E15" s="1">
        <f>SUM(B$3*D15)</f>
        <v>26.5</v>
      </c>
      <c r="F15" t="s">
        <v>33</v>
      </c>
    </row>
    <row r="16" spans="1:6" x14ac:dyDescent="0.35">
      <c r="B16" s="2">
        <v>0.875</v>
      </c>
      <c r="C16" s="2" t="s">
        <v>26</v>
      </c>
      <c r="D16">
        <v>1</v>
      </c>
      <c r="E16" s="1">
        <f>SUM(B$3*D16)</f>
        <v>53</v>
      </c>
      <c r="F16" t="s">
        <v>32</v>
      </c>
    </row>
    <row r="17" spans="1:6" x14ac:dyDescent="0.35">
      <c r="A17" t="s">
        <v>4</v>
      </c>
      <c r="D17">
        <v>0</v>
      </c>
      <c r="E17" s="1">
        <f>SUM(B$3*D17)</f>
        <v>0</v>
      </c>
    </row>
    <row r="18" spans="1:6" x14ac:dyDescent="0.35">
      <c r="A18" t="s">
        <v>3</v>
      </c>
      <c r="D18">
        <v>0</v>
      </c>
      <c r="E18" s="1">
        <f>SUM(B$3*D18)</f>
        <v>0</v>
      </c>
    </row>
    <row r="19" spans="1:6" x14ac:dyDescent="0.35">
      <c r="A19" t="s">
        <v>2</v>
      </c>
      <c r="D19">
        <v>0</v>
      </c>
      <c r="E19" s="1">
        <f>SUM(B$3*D19)</f>
        <v>0</v>
      </c>
    </row>
    <row r="20" spans="1:6" x14ac:dyDescent="0.35">
      <c r="A20" t="s">
        <v>13</v>
      </c>
      <c r="D20">
        <v>0</v>
      </c>
      <c r="E20" s="1">
        <f>SUM(B$3*D20)</f>
        <v>0</v>
      </c>
    </row>
    <row r="21" spans="1:6" x14ac:dyDescent="0.35">
      <c r="A21" t="s">
        <v>12</v>
      </c>
      <c r="D21">
        <v>0</v>
      </c>
      <c r="E21" s="1">
        <f>SUM(B$3*D21)</f>
        <v>0</v>
      </c>
    </row>
    <row r="22" spans="1:6" x14ac:dyDescent="0.35">
      <c r="A22" s="3" t="s">
        <v>31</v>
      </c>
      <c r="B22" s="3" t="s">
        <v>10</v>
      </c>
      <c r="C22" s="3" t="s">
        <v>9</v>
      </c>
      <c r="D22" s="3" t="s">
        <v>8</v>
      </c>
      <c r="E22" s="3" t="s">
        <v>7</v>
      </c>
    </row>
    <row r="23" spans="1:6" x14ac:dyDescent="0.35">
      <c r="A23" t="s">
        <v>6</v>
      </c>
      <c r="B23" s="2">
        <v>0.875</v>
      </c>
      <c r="C23" s="9" t="s">
        <v>26</v>
      </c>
      <c r="D23">
        <v>1</v>
      </c>
      <c r="E23" s="1">
        <f>SUM(B$3*D23)</f>
        <v>53</v>
      </c>
    </row>
    <row r="24" spans="1:6" x14ac:dyDescent="0.35">
      <c r="A24" t="s">
        <v>5</v>
      </c>
      <c r="B24" s="2">
        <v>0.41666666666666669</v>
      </c>
      <c r="C24" s="9">
        <v>0.4375</v>
      </c>
      <c r="D24">
        <v>0.5</v>
      </c>
      <c r="E24" s="1">
        <f>SUM(B$3*D24)</f>
        <v>26.5</v>
      </c>
    </row>
    <row r="25" spans="1:6" x14ac:dyDescent="0.35">
      <c r="A25" t="s">
        <v>4</v>
      </c>
      <c r="B25" s="2">
        <v>0.75</v>
      </c>
      <c r="C25" s="8" t="s">
        <v>30</v>
      </c>
      <c r="D25">
        <v>2.5</v>
      </c>
      <c r="E25" s="1">
        <f>SUM(B$3*D25)</f>
        <v>132.5</v>
      </c>
      <c r="F25" t="s">
        <v>29</v>
      </c>
    </row>
    <row r="26" spans="1:6" x14ac:dyDescent="0.35">
      <c r="A26" t="s">
        <v>3</v>
      </c>
      <c r="B26" s="2">
        <v>0.89583333333333337</v>
      </c>
      <c r="C26" s="2">
        <v>0.90625</v>
      </c>
      <c r="D26">
        <v>0.25</v>
      </c>
      <c r="E26" s="1">
        <f>SUM(B$3*D26)</f>
        <v>13.25</v>
      </c>
      <c r="F26" t="s">
        <v>28</v>
      </c>
    </row>
    <row r="27" spans="1:6" x14ac:dyDescent="0.35">
      <c r="A27" t="s">
        <v>2</v>
      </c>
      <c r="D27">
        <v>0</v>
      </c>
      <c r="E27" s="1">
        <f>SUM(B$3*D27)</f>
        <v>0</v>
      </c>
    </row>
    <row r="28" spans="1:6" x14ac:dyDescent="0.35">
      <c r="A28" t="s">
        <v>13</v>
      </c>
      <c r="D28">
        <v>0</v>
      </c>
      <c r="E28" s="1">
        <f>SUM(B$3*D28)</f>
        <v>0</v>
      </c>
    </row>
    <row r="29" spans="1:6" x14ac:dyDescent="0.35">
      <c r="A29" t="s">
        <v>12</v>
      </c>
      <c r="B29" s="2">
        <v>0.625</v>
      </c>
      <c r="C29" s="2">
        <v>0.70833333333333337</v>
      </c>
      <c r="D29">
        <v>2</v>
      </c>
      <c r="E29" s="1">
        <f>SUM(B$3*D29)</f>
        <v>106</v>
      </c>
      <c r="F29" t="s">
        <v>28</v>
      </c>
    </row>
    <row r="30" spans="1:6" x14ac:dyDescent="0.35">
      <c r="A30" s="3" t="s">
        <v>27</v>
      </c>
      <c r="B30" s="3" t="s">
        <v>10</v>
      </c>
      <c r="C30" s="3" t="s">
        <v>9</v>
      </c>
      <c r="D30" s="3" t="s">
        <v>8</v>
      </c>
      <c r="E30" s="3" t="s">
        <v>7</v>
      </c>
    </row>
    <row r="31" spans="1:6" x14ac:dyDescent="0.35">
      <c r="A31" t="s">
        <v>6</v>
      </c>
      <c r="B31" s="2">
        <v>0.83333333333333337</v>
      </c>
      <c r="C31" s="2" t="s">
        <v>26</v>
      </c>
      <c r="D31">
        <v>2</v>
      </c>
      <c r="E31" s="1">
        <f>SUM(B$3*D31)</f>
        <v>106</v>
      </c>
      <c r="F31" t="s">
        <v>25</v>
      </c>
    </row>
    <row r="32" spans="1:6" x14ac:dyDescent="0.35">
      <c r="B32" s="2">
        <v>0.95833333333333337</v>
      </c>
      <c r="C32" s="2">
        <v>0.97916666666666663</v>
      </c>
      <c r="D32">
        <v>0.5</v>
      </c>
      <c r="E32" s="1">
        <f>SUM(B$3*D32)</f>
        <v>26.5</v>
      </c>
    </row>
    <row r="33" spans="1:6" x14ac:dyDescent="0.35">
      <c r="A33" t="s">
        <v>5</v>
      </c>
      <c r="B33" s="2">
        <v>0.79166666666666663</v>
      </c>
      <c r="C33" s="2">
        <v>0.875</v>
      </c>
      <c r="D33">
        <v>2</v>
      </c>
      <c r="E33" s="1">
        <f>SUM(B$3*D33)</f>
        <v>106</v>
      </c>
    </row>
    <row r="34" spans="1:6" x14ac:dyDescent="0.35">
      <c r="A34" t="s">
        <v>4</v>
      </c>
      <c r="B34" s="2">
        <v>0.79166666666666663</v>
      </c>
      <c r="C34" t="s">
        <v>24</v>
      </c>
      <c r="D34">
        <v>4</v>
      </c>
      <c r="E34" s="1">
        <f>SUM(B$3*D34)</f>
        <v>212</v>
      </c>
      <c r="F34" t="s">
        <v>23</v>
      </c>
    </row>
    <row r="35" spans="1:6" x14ac:dyDescent="0.35">
      <c r="A35" t="s">
        <v>3</v>
      </c>
      <c r="B35" s="2">
        <v>0.83333333333333337</v>
      </c>
      <c r="C35" s="2">
        <v>0.95833333333333337</v>
      </c>
      <c r="D35">
        <v>3</v>
      </c>
      <c r="E35" s="1">
        <f>SUM(B$3*D35)</f>
        <v>159</v>
      </c>
      <c r="F35" t="s">
        <v>22</v>
      </c>
    </row>
    <row r="36" spans="1:6" x14ac:dyDescent="0.35">
      <c r="A36" t="s">
        <v>2</v>
      </c>
      <c r="E36" s="1">
        <f>SUM(B$3*D36)</f>
        <v>0</v>
      </c>
    </row>
    <row r="37" spans="1:6" x14ac:dyDescent="0.35">
      <c r="A37" t="s">
        <v>13</v>
      </c>
      <c r="E37" s="1">
        <f>SUM(B$3*D37)</f>
        <v>0</v>
      </c>
    </row>
    <row r="38" spans="1:6" x14ac:dyDescent="0.35">
      <c r="A38" t="s">
        <v>12</v>
      </c>
      <c r="E38" s="1">
        <f>SUM(B$3*D38)</f>
        <v>0</v>
      </c>
    </row>
    <row r="39" spans="1:6" x14ac:dyDescent="0.35">
      <c r="A39" s="3" t="s">
        <v>21</v>
      </c>
      <c r="B39" s="3" t="s">
        <v>10</v>
      </c>
      <c r="C39" s="3" t="s">
        <v>9</v>
      </c>
      <c r="D39" s="3" t="s">
        <v>8</v>
      </c>
      <c r="E39" s="3" t="s">
        <v>7</v>
      </c>
    </row>
    <row r="40" spans="1:6" x14ac:dyDescent="0.35">
      <c r="A40" t="s">
        <v>6</v>
      </c>
      <c r="B40" s="2"/>
      <c r="C40" s="2"/>
      <c r="E40" s="1">
        <f>SUM(B$3*D40)</f>
        <v>0</v>
      </c>
    </row>
    <row r="41" spans="1:6" x14ac:dyDescent="0.35">
      <c r="B41" s="2"/>
      <c r="C41" s="2"/>
      <c r="E41" s="1">
        <f>SUM(B$3*D41)</f>
        <v>0</v>
      </c>
    </row>
    <row r="42" spans="1:6" x14ac:dyDescent="0.35">
      <c r="A42" t="s">
        <v>5</v>
      </c>
      <c r="B42" s="2"/>
      <c r="C42" s="2"/>
      <c r="E42" s="1">
        <f>SUM(B$3*D42)</f>
        <v>0</v>
      </c>
    </row>
    <row r="43" spans="1:6" x14ac:dyDescent="0.35">
      <c r="A43" t="s">
        <v>4</v>
      </c>
      <c r="B43" s="2">
        <v>0.75</v>
      </c>
      <c r="C43" s="2">
        <v>0.5</v>
      </c>
      <c r="D43">
        <v>6</v>
      </c>
      <c r="E43" s="1">
        <f>SUM(B$3*D43)</f>
        <v>318</v>
      </c>
      <c r="F43" t="s">
        <v>20</v>
      </c>
    </row>
    <row r="44" spans="1:6" x14ac:dyDescent="0.35">
      <c r="A44" t="s">
        <v>3</v>
      </c>
      <c r="B44" s="2">
        <v>0.875</v>
      </c>
      <c r="C44" s="2">
        <v>0.91666666666666663</v>
      </c>
      <c r="D44">
        <v>1</v>
      </c>
      <c r="E44" s="1">
        <f>SUM(B$3*D44)</f>
        <v>53</v>
      </c>
    </row>
    <row r="45" spans="1:6" x14ac:dyDescent="0.35">
      <c r="A45" t="s">
        <v>2</v>
      </c>
      <c r="B45" s="2">
        <v>0.52083333333333337</v>
      </c>
      <c r="C45" s="2">
        <v>0.5625</v>
      </c>
      <c r="D45">
        <v>1</v>
      </c>
      <c r="E45" s="1">
        <f>SUM(B$3*D45)</f>
        <v>53</v>
      </c>
      <c r="F45" t="s">
        <v>19</v>
      </c>
    </row>
    <row r="46" spans="1:6" x14ac:dyDescent="0.35">
      <c r="A46" t="s">
        <v>13</v>
      </c>
      <c r="E46" s="1">
        <f>SUM(B$3*D46)</f>
        <v>0</v>
      </c>
    </row>
    <row r="47" spans="1:6" x14ac:dyDescent="0.35">
      <c r="A47" t="s">
        <v>12</v>
      </c>
      <c r="E47" s="1">
        <f>SUM(B$3*D47)</f>
        <v>0</v>
      </c>
    </row>
    <row r="48" spans="1:6" x14ac:dyDescent="0.35">
      <c r="A48" s="3" t="s">
        <v>18</v>
      </c>
      <c r="B48" s="3" t="s">
        <v>10</v>
      </c>
      <c r="C48" s="3" t="s">
        <v>9</v>
      </c>
      <c r="D48" s="3" t="s">
        <v>8</v>
      </c>
      <c r="E48" s="3" t="s">
        <v>7</v>
      </c>
    </row>
    <row r="49" spans="1:5" x14ac:dyDescent="0.35">
      <c r="A49" t="s">
        <v>6</v>
      </c>
      <c r="B49" s="2"/>
      <c r="C49" s="2"/>
      <c r="E49" s="1">
        <f>SUM(B$3*D49)</f>
        <v>0</v>
      </c>
    </row>
    <row r="50" spans="1:5" x14ac:dyDescent="0.35">
      <c r="B50" s="2"/>
      <c r="C50" s="2"/>
      <c r="E50" s="1">
        <f>SUM(B$3*D50)</f>
        <v>0</v>
      </c>
    </row>
    <row r="51" spans="1:5" x14ac:dyDescent="0.35">
      <c r="A51" t="s">
        <v>5</v>
      </c>
      <c r="B51" s="2"/>
      <c r="C51" s="2"/>
      <c r="E51" s="1">
        <f>SUM(B$3*D51)</f>
        <v>0</v>
      </c>
    </row>
    <row r="52" spans="1:5" x14ac:dyDescent="0.35">
      <c r="A52" t="s">
        <v>4</v>
      </c>
      <c r="B52" s="2"/>
      <c r="C52" s="2"/>
      <c r="E52" s="1">
        <f>SUM(B$3*D52)</f>
        <v>0</v>
      </c>
    </row>
    <row r="53" spans="1:5" x14ac:dyDescent="0.35">
      <c r="A53" t="s">
        <v>3</v>
      </c>
      <c r="B53" s="2"/>
      <c r="C53" s="2"/>
      <c r="E53" s="1">
        <f>SUM(B$3*D53)</f>
        <v>0</v>
      </c>
    </row>
    <row r="54" spans="1:5" x14ac:dyDescent="0.35">
      <c r="A54" t="s">
        <v>2</v>
      </c>
      <c r="B54" s="2"/>
      <c r="C54" s="2"/>
      <c r="E54" s="1">
        <f>SUM(B$3*D54)</f>
        <v>0</v>
      </c>
    </row>
    <row r="55" spans="1:5" x14ac:dyDescent="0.35">
      <c r="A55" t="s">
        <v>13</v>
      </c>
      <c r="B55" s="2">
        <v>0.45833333333333331</v>
      </c>
      <c r="C55" s="2">
        <v>0.625</v>
      </c>
      <c r="D55">
        <v>4</v>
      </c>
      <c r="E55" s="1">
        <f>SUM(B$3*D55)</f>
        <v>212</v>
      </c>
    </row>
    <row r="56" spans="1:5" x14ac:dyDescent="0.35">
      <c r="A56" t="s">
        <v>12</v>
      </c>
      <c r="B56" s="2">
        <v>0.41666666666666669</v>
      </c>
      <c r="C56" s="2">
        <v>0.54166666666666663</v>
      </c>
      <c r="D56">
        <v>3</v>
      </c>
      <c r="E56" s="1">
        <f>SUM(B$3*D56)</f>
        <v>159</v>
      </c>
    </row>
    <row r="57" spans="1:5" x14ac:dyDescent="0.35">
      <c r="A57" s="3" t="s">
        <v>17</v>
      </c>
      <c r="B57" s="3" t="s">
        <v>10</v>
      </c>
      <c r="C57" s="3" t="s">
        <v>9</v>
      </c>
      <c r="D57" s="3" t="s">
        <v>8</v>
      </c>
      <c r="E57" s="3" t="s">
        <v>7</v>
      </c>
    </row>
    <row r="58" spans="1:5" x14ac:dyDescent="0.35">
      <c r="A58" t="s">
        <v>6</v>
      </c>
      <c r="B58" s="2">
        <v>0.66666666666666663</v>
      </c>
      <c r="C58" s="2">
        <v>0.75</v>
      </c>
      <c r="D58">
        <v>2</v>
      </c>
      <c r="E58" s="1">
        <f>SUM(B$3*D58)</f>
        <v>106</v>
      </c>
    </row>
    <row r="59" spans="1:5" x14ac:dyDescent="0.35">
      <c r="B59" s="2">
        <v>0.8125</v>
      </c>
      <c r="C59" s="2">
        <v>0.91666666666666663</v>
      </c>
      <c r="D59">
        <v>2.5</v>
      </c>
      <c r="E59" s="1">
        <f>SUM(B$3*D59)</f>
        <v>132.5</v>
      </c>
    </row>
    <row r="60" spans="1:5" x14ac:dyDescent="0.35">
      <c r="A60" t="s">
        <v>5</v>
      </c>
      <c r="B60" s="2"/>
      <c r="C60" s="2"/>
      <c r="E60" s="1">
        <f>SUM(B$3*D60)</f>
        <v>0</v>
      </c>
    </row>
    <row r="61" spans="1:5" x14ac:dyDescent="0.35">
      <c r="A61" t="s">
        <v>4</v>
      </c>
      <c r="B61" s="2"/>
      <c r="C61" s="2"/>
      <c r="E61" s="1">
        <f>SUM(B$3*D61)</f>
        <v>0</v>
      </c>
    </row>
    <row r="62" spans="1:5" x14ac:dyDescent="0.35">
      <c r="A62" t="s">
        <v>3</v>
      </c>
      <c r="B62" s="2"/>
      <c r="C62" s="2"/>
      <c r="E62" s="1">
        <f>SUM(B$3*D62)</f>
        <v>0</v>
      </c>
    </row>
    <row r="63" spans="1:5" x14ac:dyDescent="0.35">
      <c r="A63" t="s">
        <v>2</v>
      </c>
      <c r="B63" s="2"/>
      <c r="C63" s="2"/>
      <c r="E63" s="1">
        <f>SUM(B$3*D63)</f>
        <v>0</v>
      </c>
    </row>
    <row r="64" spans="1:5" x14ac:dyDescent="0.35">
      <c r="A64" t="s">
        <v>13</v>
      </c>
      <c r="B64" s="2"/>
      <c r="C64" s="2"/>
      <c r="E64" s="1">
        <f>SUM(B$3*D64)</f>
        <v>0</v>
      </c>
    </row>
    <row r="65" spans="1:5" x14ac:dyDescent="0.35">
      <c r="A65" t="s">
        <v>12</v>
      </c>
      <c r="B65" s="2"/>
      <c r="C65" s="2"/>
      <c r="E65" s="1">
        <f>SUM(B$3*D65)</f>
        <v>0</v>
      </c>
    </row>
    <row r="66" spans="1:5" x14ac:dyDescent="0.35">
      <c r="A66" s="3" t="s">
        <v>16</v>
      </c>
      <c r="B66" s="3" t="s">
        <v>10</v>
      </c>
      <c r="C66" s="3" t="s">
        <v>9</v>
      </c>
      <c r="D66" s="3" t="s">
        <v>8</v>
      </c>
      <c r="E66" s="3" t="s">
        <v>7</v>
      </c>
    </row>
    <row r="67" spans="1:5" x14ac:dyDescent="0.35">
      <c r="A67" t="s">
        <v>6</v>
      </c>
      <c r="B67" s="2"/>
      <c r="C67" s="2"/>
      <c r="E67" s="1">
        <f>SUM(B$3*D67)</f>
        <v>0</v>
      </c>
    </row>
    <row r="68" spans="1:5" x14ac:dyDescent="0.35">
      <c r="A68" t="s">
        <v>5</v>
      </c>
      <c r="B68" s="2"/>
      <c r="C68" s="2"/>
      <c r="E68" s="1">
        <f>SUM(B$3*D68)</f>
        <v>0</v>
      </c>
    </row>
    <row r="69" spans="1:5" x14ac:dyDescent="0.35">
      <c r="A69" t="s">
        <v>4</v>
      </c>
      <c r="B69" s="2">
        <v>0.75</v>
      </c>
      <c r="C69" s="2">
        <v>0.83333333333333337</v>
      </c>
      <c r="D69">
        <v>2</v>
      </c>
      <c r="E69" s="1">
        <f>SUM(B$3*D69)</f>
        <v>106</v>
      </c>
    </row>
    <row r="70" spans="1:5" x14ac:dyDescent="0.35">
      <c r="A70" t="s">
        <v>3</v>
      </c>
      <c r="B70" s="2">
        <v>0.875</v>
      </c>
      <c r="C70" s="2">
        <v>0.91666666666666663</v>
      </c>
      <c r="D70">
        <v>1</v>
      </c>
      <c r="E70" s="1">
        <f>SUM(B$3*D70)</f>
        <v>53</v>
      </c>
    </row>
    <row r="71" spans="1:5" x14ac:dyDescent="0.35">
      <c r="A71" t="s">
        <v>2</v>
      </c>
      <c r="B71" s="2">
        <v>0.52083333333333337</v>
      </c>
      <c r="C71" s="2">
        <v>0.5625</v>
      </c>
      <c r="D71">
        <v>1</v>
      </c>
      <c r="E71" s="1">
        <f>SUM(B$3*D71)</f>
        <v>53</v>
      </c>
    </row>
    <row r="72" spans="1:5" x14ac:dyDescent="0.35">
      <c r="A72" t="s">
        <v>13</v>
      </c>
      <c r="B72" s="2"/>
      <c r="C72" s="2"/>
      <c r="E72" s="1">
        <f>SUM(B$3*D72)</f>
        <v>0</v>
      </c>
    </row>
    <row r="73" spans="1:5" x14ac:dyDescent="0.35">
      <c r="A73" t="s">
        <v>12</v>
      </c>
      <c r="B73" s="2"/>
      <c r="C73" s="2"/>
      <c r="E73" s="1">
        <f>SUM(B$3*D73)</f>
        <v>0</v>
      </c>
    </row>
    <row r="74" spans="1:5" x14ac:dyDescent="0.35">
      <c r="A74" s="3" t="s">
        <v>15</v>
      </c>
      <c r="B74" s="3" t="s">
        <v>10</v>
      </c>
      <c r="C74" s="3" t="s">
        <v>9</v>
      </c>
      <c r="D74" s="3" t="s">
        <v>8</v>
      </c>
      <c r="E74" s="3" t="s">
        <v>7</v>
      </c>
    </row>
    <row r="75" spans="1:5" x14ac:dyDescent="0.35">
      <c r="A75" t="s">
        <v>6</v>
      </c>
      <c r="B75" s="2"/>
      <c r="C75" s="2"/>
      <c r="E75" s="1">
        <f>SUM(B$3*D75)</f>
        <v>0</v>
      </c>
    </row>
    <row r="76" spans="1:5" x14ac:dyDescent="0.35">
      <c r="A76" t="s">
        <v>5</v>
      </c>
      <c r="B76" s="2"/>
      <c r="C76" s="2"/>
      <c r="E76" s="1">
        <f>SUM(B$3*D76)</f>
        <v>0</v>
      </c>
    </row>
    <row r="77" spans="1:5" x14ac:dyDescent="0.35">
      <c r="A77" t="s">
        <v>4</v>
      </c>
      <c r="B77" s="2"/>
      <c r="C77" s="2"/>
      <c r="E77" s="1">
        <f>SUM(B$3*D77)</f>
        <v>0</v>
      </c>
    </row>
    <row r="78" spans="1:5" x14ac:dyDescent="0.35">
      <c r="A78" t="s">
        <v>3</v>
      </c>
      <c r="B78" s="2">
        <v>0.75</v>
      </c>
      <c r="C78" s="2">
        <v>0.91666666666666663</v>
      </c>
      <c r="D78">
        <v>4</v>
      </c>
      <c r="E78" s="1">
        <f>SUM(B$3*D78)</f>
        <v>212</v>
      </c>
    </row>
    <row r="79" spans="1:5" x14ac:dyDescent="0.35">
      <c r="A79" t="s">
        <v>2</v>
      </c>
      <c r="B79" s="2">
        <v>0.875</v>
      </c>
      <c r="C79" s="2">
        <v>0.91666666666666663</v>
      </c>
      <c r="D79">
        <v>1</v>
      </c>
      <c r="E79" s="1">
        <f>SUM(B$3*D79)</f>
        <v>53</v>
      </c>
    </row>
    <row r="80" spans="1:5" x14ac:dyDescent="0.35">
      <c r="A80" t="s">
        <v>13</v>
      </c>
      <c r="B80" s="2">
        <v>0.52083333333333337</v>
      </c>
      <c r="C80" s="2">
        <v>0.5625</v>
      </c>
      <c r="D80">
        <v>1</v>
      </c>
      <c r="E80" s="1">
        <f>SUM(B$3*D80)</f>
        <v>53</v>
      </c>
    </row>
    <row r="81" spans="1:5" x14ac:dyDescent="0.35">
      <c r="A81" t="s">
        <v>12</v>
      </c>
      <c r="B81" s="2"/>
      <c r="C81" s="2"/>
      <c r="E81" s="1">
        <f>SUM(B$3*D81)</f>
        <v>0</v>
      </c>
    </row>
    <row r="82" spans="1:5" x14ac:dyDescent="0.35">
      <c r="A82" s="3" t="s">
        <v>14</v>
      </c>
      <c r="B82" s="3" t="s">
        <v>10</v>
      </c>
      <c r="C82" s="3" t="s">
        <v>9</v>
      </c>
      <c r="D82" s="3" t="s">
        <v>8</v>
      </c>
      <c r="E82" s="3" t="s">
        <v>7</v>
      </c>
    </row>
    <row r="83" spans="1:5" x14ac:dyDescent="0.35">
      <c r="A83" t="s">
        <v>6</v>
      </c>
      <c r="B83" s="2"/>
      <c r="C83" s="2"/>
      <c r="E83" s="1">
        <f>SUM(B$3*D83)</f>
        <v>0</v>
      </c>
    </row>
    <row r="84" spans="1:5" x14ac:dyDescent="0.35">
      <c r="A84" t="s">
        <v>5</v>
      </c>
      <c r="B84" s="2">
        <v>0.75</v>
      </c>
      <c r="C84" s="2">
        <v>0.83333333333333337</v>
      </c>
      <c r="D84">
        <v>2</v>
      </c>
      <c r="E84" s="1">
        <f>SUM(B$3*D84)</f>
        <v>106</v>
      </c>
    </row>
    <row r="85" spans="1:5" x14ac:dyDescent="0.35">
      <c r="A85" t="s">
        <v>4</v>
      </c>
      <c r="B85" s="2">
        <v>0.875</v>
      </c>
      <c r="C85" s="2">
        <v>0.91666666666666663</v>
      </c>
      <c r="D85">
        <v>1</v>
      </c>
      <c r="E85" s="1">
        <f>SUM(B$3*D85)</f>
        <v>53</v>
      </c>
    </row>
    <row r="86" spans="1:5" x14ac:dyDescent="0.35">
      <c r="A86" t="s">
        <v>3</v>
      </c>
      <c r="B86" s="2">
        <v>0.52083333333333337</v>
      </c>
      <c r="C86" s="2">
        <v>0.5625</v>
      </c>
      <c r="D86">
        <v>1</v>
      </c>
      <c r="E86" s="1">
        <f>SUM(B$3*D86)</f>
        <v>53</v>
      </c>
    </row>
    <row r="87" spans="1:5" x14ac:dyDescent="0.35">
      <c r="A87" t="s">
        <v>2</v>
      </c>
      <c r="B87" s="2"/>
      <c r="C87" s="2"/>
      <c r="E87" s="1">
        <f>SUM(B$3*D87)</f>
        <v>0</v>
      </c>
    </row>
    <row r="88" spans="1:5" x14ac:dyDescent="0.35">
      <c r="A88" t="s">
        <v>13</v>
      </c>
      <c r="B88" s="2"/>
      <c r="C88" s="2"/>
      <c r="E88" s="1">
        <f>SUM(B$3*D88)</f>
        <v>0</v>
      </c>
    </row>
    <row r="89" spans="1:5" x14ac:dyDescent="0.35">
      <c r="A89" t="s">
        <v>12</v>
      </c>
      <c r="B89" s="2"/>
      <c r="C89" s="2"/>
      <c r="E89" s="1">
        <f>SUM(B$3*D89)</f>
        <v>0</v>
      </c>
    </row>
    <row r="90" spans="1:5" x14ac:dyDescent="0.35">
      <c r="A90" s="3" t="s">
        <v>11</v>
      </c>
      <c r="B90" s="3" t="s">
        <v>10</v>
      </c>
      <c r="C90" s="3" t="s">
        <v>9</v>
      </c>
      <c r="D90" s="3" t="s">
        <v>8</v>
      </c>
      <c r="E90" s="3" t="s">
        <v>7</v>
      </c>
    </row>
    <row r="91" spans="1:5" x14ac:dyDescent="0.35">
      <c r="A91" t="s">
        <v>6</v>
      </c>
      <c r="B91" s="2">
        <v>0.5</v>
      </c>
      <c r="C91" s="2">
        <v>0.625</v>
      </c>
      <c r="D91">
        <v>3</v>
      </c>
      <c r="E91" s="1">
        <f>SUM(B$3*D91)</f>
        <v>159</v>
      </c>
    </row>
    <row r="92" spans="1:5" x14ac:dyDescent="0.35">
      <c r="A92" t="s">
        <v>5</v>
      </c>
      <c r="B92" s="2">
        <v>0.5</v>
      </c>
      <c r="C92" s="2">
        <v>0.625</v>
      </c>
      <c r="D92">
        <v>3</v>
      </c>
      <c r="E92" s="1">
        <f>SUM(B$3*D92)</f>
        <v>159</v>
      </c>
    </row>
    <row r="93" spans="1:5" x14ac:dyDescent="0.35">
      <c r="A93" t="s">
        <v>4</v>
      </c>
      <c r="B93" s="2">
        <v>0.5</v>
      </c>
      <c r="C93" s="2">
        <v>0.625</v>
      </c>
      <c r="D93">
        <v>3</v>
      </c>
      <c r="E93" s="1">
        <f>SUM(B$3*D93)</f>
        <v>159</v>
      </c>
    </row>
    <row r="94" spans="1:5" x14ac:dyDescent="0.35">
      <c r="A94" t="s">
        <v>3</v>
      </c>
      <c r="B94" s="2">
        <v>0.5</v>
      </c>
      <c r="C94" s="2">
        <v>0.625</v>
      </c>
      <c r="D94">
        <v>3</v>
      </c>
      <c r="E94" s="1">
        <f>SUM(B$3*D94)</f>
        <v>159</v>
      </c>
    </row>
    <row r="95" spans="1:5" x14ac:dyDescent="0.35">
      <c r="A95" s="7" t="s">
        <v>2</v>
      </c>
      <c r="B95" s="6" t="s">
        <v>1</v>
      </c>
      <c r="C95" s="6"/>
      <c r="D95" s="6"/>
      <c r="E95" s="5">
        <f>SUM(B$3*D95)</f>
        <v>0</v>
      </c>
    </row>
    <row r="96" spans="1:5" x14ac:dyDescent="0.35">
      <c r="B96" s="2"/>
      <c r="C96" s="2"/>
      <c r="E96" s="1"/>
    </row>
    <row r="97" spans="1:5" x14ac:dyDescent="0.35">
      <c r="B97" s="2"/>
      <c r="C97" t="s">
        <v>0</v>
      </c>
      <c r="D97">
        <f ca="1">SUM(D14:D21,D6:D12,D23:D29,D31:D38,D40:D47,D49:D56,D58:D65,D67:D73,D75:D81,D83:D89,D91:D97)</f>
        <v>73.25</v>
      </c>
      <c r="E97" s="4">
        <f ca="1">SUM(B$3*D97)</f>
        <v>3882.25</v>
      </c>
    </row>
    <row r="98" spans="1:5" x14ac:dyDescent="0.35">
      <c r="A98" s="3"/>
      <c r="B98" s="3"/>
      <c r="C98" s="3"/>
      <c r="D98" s="3"/>
      <c r="E98" s="3"/>
    </row>
    <row r="99" spans="1:5" x14ac:dyDescent="0.35">
      <c r="B99" s="2"/>
      <c r="C99" s="2"/>
      <c r="E99" s="1"/>
    </row>
    <row r="100" spans="1:5" x14ac:dyDescent="0.35">
      <c r="B100" s="2"/>
    </row>
    <row r="101" spans="1:5" x14ac:dyDescent="0.35">
      <c r="B101" s="2"/>
      <c r="D101" s="1"/>
      <c r="E101" s="1"/>
    </row>
    <row r="102" spans="1:5" x14ac:dyDescent="0.35">
      <c r="B102" s="2"/>
      <c r="C102" s="2"/>
      <c r="E102" s="1"/>
    </row>
    <row r="103" spans="1:5" x14ac:dyDescent="0.35">
      <c r="B103" s="2"/>
      <c r="C103" s="2"/>
      <c r="E103" s="1"/>
    </row>
    <row r="104" spans="1:5" x14ac:dyDescent="0.35">
      <c r="B104" s="2"/>
      <c r="C104" s="2"/>
      <c r="E104" s="1"/>
    </row>
    <row r="105" spans="1:5" x14ac:dyDescent="0.35">
      <c r="B105" s="2"/>
      <c r="C105" s="2"/>
      <c r="E105" s="1"/>
    </row>
    <row r="106" spans="1:5" x14ac:dyDescent="0.35">
      <c r="B106" s="2"/>
      <c r="C106" s="2"/>
      <c r="E106" s="1"/>
    </row>
  </sheetData>
  <mergeCells count="1">
    <mergeCell ref="B95:D9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Dorjee timesheet</vt:lpstr>
    </vt:vector>
  </TitlesOfParts>
  <Company>University of Canberra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 Davidson</dc:creator>
  <cp:lastModifiedBy>Anthony R Davidson</cp:lastModifiedBy>
  <dcterms:created xsi:type="dcterms:W3CDTF">2018-01-12T04:07:28Z</dcterms:created>
  <dcterms:modified xsi:type="dcterms:W3CDTF">2018-01-12T04:08:44Z</dcterms:modified>
</cp:coreProperties>
</file>